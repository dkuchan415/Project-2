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ro11\git_home\Project2\Ultimate-Fantasy-Baseball-Eval-Tool\Resources\"/>
    </mc:Choice>
  </mc:AlternateContent>
  <xr:revisionPtr revIDLastSave="0" documentId="13_ncr:1_{20998F45-8E94-459D-A40A-1E6B3D80B82F}" xr6:coauthVersionLast="46" xr6:coauthVersionMax="46" xr10:uidLastSave="{00000000-0000-0000-0000-000000000000}"/>
  <bookViews>
    <workbookView xWindow="-108" yWindow="-108" windowWidth="23256" windowHeight="12720" tabRatio="751" xr2:uid="{00000000-000D-0000-FFFF-FFFF00000000}"/>
  </bookViews>
  <sheets>
    <sheet name="All" sheetId="7" r:id="rId1"/>
    <sheet name="verticalmove_pitchers_2019" sheetId="6" r:id="rId2"/>
    <sheet name="battedball_pitchers_2019" sheetId="5" r:id="rId3"/>
    <sheet name="pitchvalue_pitchers_2019" sheetId="4" r:id="rId4"/>
    <sheet name="plate_discipline_pitchers_2019" sheetId="3" r:id="rId5"/>
    <sheet name="advanced_pitchers_2019" sheetId="2" r:id="rId6"/>
    <sheet name="standard_pitchers_2019" sheetId="1" r:id="rId7"/>
    <sheet name="velocity_pitchers_2019" sheetId="8" r:id="rId8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T2" i="7" l="1" a="1"/>
  <c r="CT2" i="7"/>
  <c r="CT3" i="7" a="1"/>
  <c r="CT3" i="7"/>
  <c r="CT4" i="7" a="1"/>
  <c r="CT4" i="7"/>
  <c r="CT5" i="7" a="1"/>
  <c r="CT5" i="7"/>
  <c r="CT6" i="7" a="1"/>
  <c r="CT6" i="7"/>
  <c r="CT7" i="7" a="1"/>
  <c r="CT7" i="7"/>
  <c r="CT8" i="7" a="1"/>
  <c r="CT8" i="7"/>
  <c r="CT9" i="7" a="1"/>
  <c r="CT9" i="7"/>
  <c r="CT10" i="7" a="1"/>
  <c r="CT10" i="7"/>
  <c r="CT11" i="7" a="1"/>
  <c r="CT11" i="7"/>
  <c r="CT12" i="7" a="1"/>
  <c r="CT12" i="7"/>
  <c r="CT13" i="7" a="1"/>
  <c r="CT13" i="7"/>
  <c r="CT14" i="7" a="1"/>
  <c r="CT14" i="7"/>
  <c r="CT15" i="7" a="1"/>
  <c r="CT15" i="7"/>
  <c r="CT16" i="7" a="1"/>
  <c r="CT16" i="7"/>
  <c r="CT17" i="7" a="1"/>
  <c r="CT17" i="7"/>
  <c r="CT18" i="7" a="1"/>
  <c r="CT18" i="7"/>
  <c r="CT19" i="7" a="1"/>
  <c r="CT19" i="7"/>
  <c r="CT20" i="7" a="1"/>
  <c r="CT20" i="7"/>
  <c r="CT21" i="7" a="1"/>
  <c r="CT21" i="7"/>
  <c r="CT22" i="7" a="1"/>
  <c r="CT22" i="7"/>
  <c r="CT23" i="7" a="1"/>
  <c r="CT23" i="7"/>
  <c r="CT24" i="7" a="1"/>
  <c r="CT24" i="7"/>
  <c r="CT25" i="7" a="1"/>
  <c r="CT25" i="7"/>
  <c r="CT26" i="7" a="1"/>
  <c r="CT26" i="7"/>
  <c r="CT27" i="7" a="1"/>
  <c r="CT27" i="7"/>
  <c r="CT28" i="7" a="1"/>
  <c r="CT28" i="7"/>
  <c r="CT29" i="7" a="1"/>
  <c r="CT29" i="7"/>
  <c r="CT30" i="7" a="1"/>
  <c r="CT30" i="7"/>
  <c r="CT31" i="7" a="1"/>
  <c r="CT31" i="7"/>
  <c r="CT32" i="7" a="1"/>
  <c r="CT32" i="7"/>
  <c r="CT33" i="7" a="1"/>
  <c r="CT33" i="7"/>
  <c r="CT34" i="7" a="1"/>
  <c r="CT34" i="7"/>
  <c r="CT35" i="7" a="1"/>
  <c r="CT35" i="7"/>
  <c r="CT36" i="7" a="1"/>
  <c r="CT36" i="7"/>
  <c r="CT37" i="7" a="1"/>
  <c r="CT37" i="7"/>
  <c r="CT38" i="7" a="1"/>
  <c r="CT38" i="7"/>
  <c r="CT39" i="7" a="1"/>
  <c r="CT39" i="7"/>
  <c r="CT40" i="7" a="1"/>
  <c r="CT40" i="7"/>
  <c r="CT41" i="7" a="1"/>
  <c r="CT41" i="7"/>
  <c r="CT42" i="7" a="1"/>
  <c r="CT42" i="7"/>
  <c r="CT43" i="7" a="1"/>
  <c r="CT43" i="7"/>
  <c r="CT44" i="7" a="1"/>
  <c r="CT44" i="7"/>
  <c r="CT45" i="7" a="1"/>
  <c r="CT45" i="7"/>
  <c r="CT46" i="7" a="1"/>
  <c r="CT46" i="7"/>
  <c r="CT47" i="7" a="1"/>
  <c r="CT47" i="7"/>
  <c r="CT48" i="7" a="1"/>
  <c r="CT48" i="7"/>
  <c r="CT49" i="7" a="1"/>
  <c r="CT49" i="7"/>
  <c r="CT50" i="7" a="1"/>
  <c r="CT50" i="7"/>
  <c r="CT51" i="7" a="1"/>
  <c r="CT51" i="7"/>
  <c r="CT52" i="7" a="1"/>
  <c r="CT52" i="7"/>
  <c r="CT53" i="7" a="1"/>
  <c r="CT53" i="7"/>
  <c r="CT54" i="7" a="1"/>
  <c r="CT54" i="7"/>
  <c r="CT55" i="7" a="1"/>
  <c r="CT55" i="7"/>
  <c r="CT56" i="7" a="1"/>
  <c r="CT56" i="7"/>
  <c r="CT57" i="7" a="1"/>
  <c r="CT57" i="7"/>
  <c r="CT58" i="7" a="1"/>
  <c r="CT58" i="7"/>
  <c r="CT59" i="7" a="1"/>
  <c r="CT59" i="7"/>
  <c r="CT60" i="7" a="1"/>
  <c r="CT60" i="7"/>
  <c r="CT61" i="7" a="1"/>
  <c r="CT61" i="7"/>
  <c r="CT62" i="7" a="1"/>
  <c r="CT62" i="7"/>
  <c r="CT63" i="7" a="1"/>
  <c r="CT63" i="7"/>
  <c r="CT64" i="7" a="1"/>
  <c r="CT64" i="7"/>
  <c r="CT65" i="7" a="1"/>
  <c r="CT65" i="7"/>
  <c r="CT66" i="7" a="1"/>
  <c r="CT66" i="7"/>
  <c r="CT67" i="7" a="1"/>
  <c r="CT67" i="7"/>
  <c r="CT68" i="7" a="1"/>
  <c r="CT68" i="7"/>
  <c r="CT69" i="7" a="1"/>
  <c r="CT69" i="7"/>
  <c r="CT70" i="7" a="1"/>
  <c r="CT70" i="7"/>
  <c r="CT71" i="7" a="1"/>
  <c r="CT71" i="7"/>
  <c r="CT72" i="7" a="1"/>
  <c r="CT72" i="7"/>
  <c r="CT73" i="7" a="1"/>
  <c r="CT73" i="7"/>
  <c r="CT74" i="7" a="1"/>
  <c r="CT74" i="7"/>
  <c r="CT75" i="7" a="1"/>
  <c r="CT75" i="7"/>
  <c r="CT76" i="7" a="1"/>
  <c r="CT76" i="7"/>
  <c r="CT77" i="7" a="1"/>
  <c r="CT77" i="7"/>
  <c r="CT78" i="7" a="1"/>
  <c r="CT78" i="7"/>
  <c r="CT79" i="7" a="1"/>
  <c r="CT79" i="7"/>
  <c r="CT80" i="7" a="1"/>
  <c r="CT80" i="7"/>
  <c r="CT81" i="7" a="1"/>
  <c r="CT81" i="7"/>
  <c r="CT82" i="7" a="1"/>
  <c r="CT82" i="7"/>
  <c r="CT83" i="7" a="1"/>
  <c r="CT83" i="7"/>
  <c r="CT84" i="7" a="1"/>
  <c r="CT84" i="7"/>
  <c r="CT85" i="7" a="1"/>
  <c r="CT85" i="7"/>
  <c r="CT86" i="7" a="1"/>
  <c r="CT86" i="7"/>
  <c r="CT87" i="7" a="1"/>
  <c r="CT87" i="7"/>
  <c r="CT88" i="7" a="1"/>
  <c r="CT88" i="7"/>
  <c r="CT89" i="7" a="1"/>
  <c r="CT89" i="7"/>
  <c r="CT90" i="7" a="1"/>
  <c r="CT90" i="7"/>
  <c r="CT91" i="7" a="1"/>
  <c r="CT91" i="7"/>
  <c r="CT92" i="7" a="1"/>
  <c r="CT92" i="7"/>
  <c r="CT93" i="7" a="1"/>
  <c r="CT93" i="7"/>
  <c r="CT94" i="7" a="1"/>
  <c r="CT94" i="7"/>
  <c r="CT95" i="7" a="1"/>
  <c r="CT95" i="7"/>
  <c r="CT96" i="7" a="1"/>
  <c r="CT96" i="7"/>
  <c r="CT97" i="7" a="1"/>
  <c r="CT97" i="7"/>
  <c r="CT98" i="7" a="1"/>
  <c r="CT98" i="7"/>
  <c r="CT99" i="7" a="1"/>
  <c r="CT99" i="7"/>
  <c r="CT100" i="7" a="1"/>
  <c r="CT100" i="7"/>
  <c r="CT101" i="7" a="1"/>
  <c r="CT101" i="7"/>
  <c r="CT102" i="7" a="1"/>
  <c r="CT102" i="7"/>
  <c r="CT103" i="7" a="1"/>
  <c r="CT103" i="7"/>
  <c r="CT104" i="7" a="1"/>
  <c r="CT104" i="7"/>
  <c r="CT105" i="7" a="1"/>
  <c r="CT105" i="7"/>
  <c r="CT106" i="7" a="1"/>
  <c r="CT106" i="7"/>
  <c r="CT107" i="7" a="1"/>
  <c r="CT107" i="7"/>
  <c r="CT108" i="7" a="1"/>
  <c r="CT108" i="7"/>
  <c r="CT109" i="7" a="1"/>
  <c r="CT109" i="7"/>
  <c r="CT110" i="7" a="1"/>
  <c r="CT110" i="7"/>
  <c r="CT111" i="7" a="1"/>
  <c r="CT111" i="7"/>
  <c r="CT112" i="7" a="1"/>
  <c r="CT112" i="7"/>
  <c r="CT113" i="7" a="1"/>
  <c r="CT113" i="7"/>
  <c r="CT114" i="7" a="1"/>
  <c r="CT114" i="7"/>
  <c r="CT115" i="7" a="1"/>
  <c r="CT115" i="7"/>
  <c r="CT116" i="7" a="1"/>
  <c r="CT116" i="7"/>
  <c r="CT117" i="7" a="1"/>
  <c r="CT117" i="7"/>
  <c r="CT118" i="7" a="1"/>
  <c r="CT118" i="7"/>
  <c r="CT119" i="7" a="1"/>
  <c r="CT119" i="7"/>
  <c r="CT120" i="7" a="1"/>
  <c r="CT120" i="7"/>
  <c r="CT121" i="7" a="1"/>
  <c r="CT121" i="7"/>
  <c r="CT122" i="7" a="1"/>
  <c r="CT122" i="7"/>
  <c r="CT123" i="7" a="1"/>
  <c r="CT123" i="7"/>
  <c r="CT124" i="7" a="1"/>
  <c r="CT124" i="7"/>
  <c r="CT125" i="7" a="1"/>
  <c r="CT125" i="7"/>
  <c r="CT126" i="7" a="1"/>
  <c r="CT126" i="7"/>
  <c r="CT127" i="7" a="1"/>
  <c r="CT127" i="7"/>
  <c r="CT128" i="7" a="1"/>
  <c r="CT128" i="7"/>
  <c r="CT129" i="7" a="1"/>
  <c r="CT129" i="7"/>
  <c r="CT130" i="7" a="1"/>
  <c r="CT130" i="7"/>
  <c r="CT131" i="7" a="1"/>
  <c r="CT131" i="7"/>
  <c r="CT132" i="7" a="1"/>
  <c r="CT132" i="7"/>
  <c r="CT133" i="7" a="1"/>
  <c r="CT133" i="7"/>
  <c r="CT134" i="7" a="1"/>
  <c r="CT134" i="7"/>
  <c r="CT135" i="7" a="1"/>
  <c r="CT135" i="7"/>
  <c r="CT136" i="7" a="1"/>
  <c r="CT136" i="7"/>
  <c r="CT137" i="7" a="1"/>
  <c r="CT137" i="7"/>
  <c r="CT138" i="7" a="1"/>
  <c r="CT138" i="7"/>
  <c r="CT139" i="7" a="1"/>
  <c r="CT139" i="7"/>
  <c r="CT140" i="7" a="1"/>
  <c r="CT140" i="7"/>
  <c r="CT141" i="7" a="1"/>
  <c r="CT141" i="7"/>
  <c r="CT142" i="7" a="1"/>
  <c r="CT142" i="7"/>
  <c r="CT143" i="7" a="1"/>
  <c r="CT143" i="7"/>
  <c r="CT144" i="7" a="1"/>
  <c r="CT144" i="7"/>
  <c r="CT145" i="7" a="1"/>
  <c r="CT145" i="7"/>
  <c r="CT146" i="7" a="1"/>
  <c r="CT146" i="7"/>
  <c r="CT147" i="7" a="1"/>
  <c r="CT147" i="7"/>
  <c r="CT148" i="7" a="1"/>
  <c r="CT148" i="7"/>
  <c r="CT149" i="7" a="1"/>
  <c r="CT149" i="7"/>
  <c r="CT150" i="7" a="1"/>
  <c r="CT150" i="7"/>
  <c r="CT151" i="7" a="1"/>
  <c r="CT151" i="7"/>
  <c r="CT152" i="7" a="1"/>
  <c r="CT152" i="7"/>
  <c r="CT153" i="7" a="1"/>
  <c r="CT153" i="7"/>
  <c r="CT154" i="7" a="1"/>
  <c r="CT154" i="7"/>
  <c r="CT155" i="7" a="1"/>
  <c r="CT155" i="7"/>
  <c r="CT156" i="7" a="1"/>
  <c r="CT156" i="7"/>
  <c r="CT157" i="7" a="1"/>
  <c r="CT157" i="7"/>
  <c r="CT158" i="7" a="1"/>
  <c r="CT158" i="7"/>
  <c r="CT159" i="7" a="1"/>
  <c r="CT159" i="7"/>
  <c r="CT160" i="7" a="1"/>
  <c r="CT160" i="7"/>
  <c r="CT161" i="7" a="1"/>
  <c r="CT161" i="7"/>
  <c r="CT162" i="7" a="1"/>
  <c r="CT162" i="7"/>
  <c r="CT163" i="7" a="1"/>
  <c r="CT163" i="7"/>
  <c r="CT164" i="7" a="1"/>
  <c r="CT164" i="7"/>
  <c r="CT165" i="7" a="1"/>
  <c r="CT165" i="7"/>
  <c r="CT166" i="7" a="1"/>
  <c r="CT166" i="7"/>
  <c r="CT167" i="7" a="1"/>
  <c r="CT167" i="7"/>
  <c r="CT168" i="7" a="1"/>
  <c r="CT168" i="7"/>
  <c r="CT169" i="7" a="1"/>
  <c r="CT169" i="7"/>
  <c r="CT170" i="7" a="1"/>
  <c r="CT170" i="7"/>
  <c r="CT171" i="7" a="1"/>
  <c r="CT171" i="7"/>
  <c r="CT172" i="7" a="1"/>
  <c r="CT172" i="7"/>
  <c r="CT173" i="7" a="1"/>
  <c r="CT173" i="7"/>
  <c r="CT174" i="7" a="1"/>
  <c r="CT174" i="7"/>
  <c r="CT175" i="7" a="1"/>
  <c r="CT175" i="7"/>
  <c r="CT176" i="7" a="1"/>
  <c r="CT176" i="7"/>
  <c r="CT177" i="7" a="1"/>
  <c r="CT177" i="7"/>
  <c r="CT178" i="7" a="1"/>
  <c r="CT178" i="7"/>
  <c r="CT179" i="7" a="1"/>
  <c r="CT179" i="7"/>
  <c r="CT180" i="7" a="1"/>
  <c r="CT180" i="7"/>
  <c r="CT181" i="7" a="1"/>
  <c r="CT181" i="7"/>
  <c r="CT182" i="7" a="1"/>
  <c r="CT182" i="7"/>
  <c r="CT183" i="7" a="1"/>
  <c r="CT183" i="7"/>
  <c r="CT184" i="7" a="1"/>
  <c r="CT184" i="7"/>
  <c r="CT185" i="7" a="1"/>
  <c r="CT185" i="7"/>
  <c r="CT186" i="7" a="1"/>
  <c r="CT186" i="7"/>
  <c r="CT187" i="7" a="1"/>
  <c r="CT187" i="7"/>
  <c r="CT188" i="7" a="1"/>
  <c r="CT188" i="7"/>
  <c r="CT189" i="7" a="1"/>
  <c r="CT189" i="7"/>
  <c r="CT190" i="7" a="1"/>
  <c r="CT190" i="7"/>
  <c r="CT191" i="7" a="1"/>
  <c r="CT191" i="7"/>
  <c r="CT192" i="7" a="1"/>
  <c r="CT192" i="7"/>
  <c r="CT193" i="7" a="1"/>
  <c r="CT193" i="7"/>
  <c r="CT194" i="7" a="1"/>
  <c r="CT194" i="7"/>
  <c r="CT195" i="7" a="1"/>
  <c r="CT195" i="7"/>
  <c r="CT196" i="7" a="1"/>
  <c r="CT196" i="7"/>
  <c r="CT197" i="7" a="1"/>
  <c r="CT197" i="7"/>
  <c r="CT198" i="7" a="1"/>
  <c r="CT198" i="7"/>
  <c r="CT199" i="7" a="1"/>
  <c r="CT199" i="7"/>
  <c r="CT200" i="7" a="1"/>
  <c r="CT200" i="7"/>
  <c r="CT201" i="7" a="1"/>
  <c r="CT201" i="7"/>
  <c r="CT202" i="7" a="1"/>
  <c r="CT202" i="7"/>
  <c r="CT203" i="7" a="1"/>
  <c r="CT203" i="7"/>
  <c r="CT204" i="7" a="1"/>
  <c r="CT204" i="7"/>
  <c r="CT205" i="7" a="1"/>
  <c r="CT205" i="7"/>
  <c r="CT206" i="7" a="1"/>
  <c r="CT206" i="7"/>
  <c r="CT207" i="7" a="1"/>
  <c r="CT207" i="7"/>
  <c r="CT208" i="7" a="1"/>
  <c r="CT208" i="7"/>
  <c r="CT209" i="7" a="1"/>
  <c r="CT209" i="7"/>
  <c r="CT210" i="7" a="1"/>
  <c r="CT210" i="7"/>
  <c r="CT211" i="7" a="1"/>
  <c r="CT211" i="7"/>
  <c r="CT212" i="7" a="1"/>
  <c r="CT212" i="7"/>
  <c r="CT213" i="7" a="1"/>
  <c r="CT213" i="7"/>
  <c r="CT214" i="7" a="1"/>
  <c r="CT214" i="7"/>
  <c r="CT215" i="7" a="1"/>
  <c r="CT215" i="7"/>
  <c r="CT216" i="7" a="1"/>
  <c r="CT216" i="7"/>
  <c r="CT217" i="7" a="1"/>
  <c r="CT217" i="7"/>
  <c r="CT218" i="7" a="1"/>
  <c r="CT218" i="7"/>
  <c r="CT219" i="7" a="1"/>
  <c r="CT219" i="7"/>
  <c r="CT220" i="7" a="1"/>
  <c r="CT220" i="7"/>
  <c r="CT221" i="7" a="1"/>
  <c r="CT221" i="7"/>
  <c r="CT222" i="7" a="1"/>
  <c r="CT222" i="7"/>
  <c r="CT223" i="7" a="1"/>
  <c r="CT223" i="7"/>
  <c r="CT224" i="7" a="1"/>
  <c r="CT224" i="7"/>
  <c r="CT225" i="7" a="1"/>
  <c r="CT225" i="7"/>
  <c r="CT226" i="7" a="1"/>
  <c r="CT226" i="7"/>
  <c r="CT227" i="7" a="1"/>
  <c r="CT227" i="7"/>
  <c r="CT228" i="7" a="1"/>
  <c r="CT228" i="7"/>
  <c r="CT229" i="7" a="1"/>
  <c r="CT229" i="7"/>
  <c r="CT230" i="7" a="1"/>
  <c r="CT230" i="7"/>
  <c r="CT231" i="7" a="1"/>
  <c r="CT231" i="7"/>
  <c r="CT232" i="7" a="1"/>
  <c r="CT232" i="7"/>
  <c r="CT233" i="7" a="1"/>
  <c r="CT233" i="7"/>
  <c r="CT234" i="7" a="1"/>
  <c r="CT234" i="7"/>
  <c r="CT235" i="7" a="1"/>
  <c r="CT235" i="7"/>
  <c r="CT236" i="7" a="1"/>
  <c r="CT236" i="7"/>
  <c r="CT237" i="7" a="1"/>
  <c r="CT237" i="7"/>
  <c r="CT238" i="7" a="1"/>
  <c r="CT238" i="7"/>
  <c r="CT239" i="7" a="1"/>
  <c r="CT239" i="7"/>
  <c r="CT240" i="7" a="1"/>
  <c r="CT240" i="7"/>
  <c r="CT241" i="7" a="1"/>
  <c r="CT241" i="7"/>
  <c r="CT242" i="7" a="1"/>
  <c r="CT242" i="7"/>
  <c r="CT243" i="7" a="1"/>
  <c r="CT243" i="7"/>
  <c r="CT244" i="7" a="1"/>
  <c r="CT244" i="7"/>
  <c r="CT245" i="7" a="1"/>
  <c r="CT245" i="7"/>
  <c r="CT246" i="7" a="1"/>
  <c r="CT246" i="7"/>
  <c r="CT247" i="7" a="1"/>
  <c r="CT247" i="7"/>
  <c r="CT248" i="7" a="1"/>
  <c r="CT248" i="7"/>
  <c r="CT249" i="7" a="1"/>
  <c r="CT249" i="7"/>
  <c r="CT250" i="7" a="1"/>
  <c r="CT250" i="7"/>
  <c r="CT251" i="7" a="1"/>
  <c r="CT251" i="7"/>
  <c r="CT252" i="7" a="1"/>
  <c r="CT252" i="7"/>
  <c r="CT253" i="7" a="1"/>
  <c r="CT253" i="7"/>
  <c r="CT254" i="7" a="1"/>
  <c r="CT254" i="7"/>
  <c r="CT255" i="7" a="1"/>
  <c r="CT255" i="7"/>
  <c r="CT256" i="7" a="1"/>
  <c r="CT256" i="7"/>
  <c r="CT257" i="7" a="1"/>
  <c r="CT257" i="7"/>
  <c r="CT258" i="7" a="1"/>
  <c r="CT258" i="7"/>
  <c r="CT259" i="7" a="1"/>
  <c r="CT259" i="7"/>
  <c r="CT260" i="7" a="1"/>
  <c r="CT260" i="7"/>
  <c r="CT261" i="7" a="1"/>
  <c r="CT261" i="7"/>
  <c r="CT262" i="7" a="1"/>
  <c r="CT262" i="7"/>
  <c r="CT263" i="7" a="1"/>
  <c r="CT263" i="7"/>
  <c r="CT264" i="7" a="1"/>
  <c r="CT264" i="7"/>
  <c r="CT265" i="7" a="1"/>
  <c r="CT265" i="7"/>
  <c r="CT266" i="7" a="1"/>
  <c r="CT266" i="7"/>
  <c r="CT267" i="7" a="1"/>
  <c r="CT267" i="7"/>
  <c r="CT268" i="7" a="1"/>
  <c r="CT268" i="7"/>
  <c r="CT269" i="7" a="1"/>
  <c r="CT269" i="7"/>
  <c r="CT270" i="7" a="1"/>
  <c r="CT270" i="7"/>
  <c r="CT271" i="7" a="1"/>
  <c r="CT271" i="7"/>
  <c r="CT272" i="7" a="1"/>
  <c r="CT272" i="7"/>
  <c r="CT273" i="7" a="1"/>
  <c r="CT273" i="7"/>
  <c r="CT274" i="7" a="1"/>
  <c r="CT274" i="7"/>
  <c r="CT275" i="7" a="1"/>
  <c r="CT275" i="7"/>
  <c r="CT276" i="7" a="1"/>
  <c r="CT276" i="7"/>
  <c r="CT277" i="7" a="1"/>
  <c r="CT277" i="7"/>
  <c r="CT278" i="7" a="1"/>
  <c r="CT278" i="7"/>
  <c r="CT279" i="7" a="1"/>
  <c r="CT279" i="7"/>
  <c r="CT280" i="7" a="1"/>
  <c r="CT280" i="7"/>
  <c r="CT281" i="7" a="1"/>
  <c r="CT281" i="7"/>
  <c r="CT282" i="7" a="1"/>
  <c r="CT282" i="7"/>
  <c r="CT283" i="7" a="1"/>
  <c r="CT283" i="7"/>
  <c r="CT284" i="7" a="1"/>
  <c r="CT284" i="7"/>
  <c r="CT285" i="7" a="1"/>
  <c r="CT285" i="7"/>
  <c r="CT286" i="7" a="1"/>
  <c r="CT286" i="7"/>
  <c r="CT287" i="7" a="1"/>
  <c r="CT287" i="7"/>
  <c r="CT288" i="7" a="1"/>
  <c r="CT288" i="7"/>
  <c r="CT289" i="7" a="1"/>
  <c r="CT289" i="7"/>
  <c r="CT290" i="7" a="1"/>
  <c r="CT290" i="7"/>
  <c r="CT291" i="7" a="1"/>
  <c r="CT291" i="7"/>
  <c r="CT292" i="7" a="1"/>
  <c r="CT292" i="7"/>
  <c r="CT293" i="7" a="1"/>
  <c r="CT293" i="7"/>
  <c r="CT294" i="7" a="1"/>
  <c r="CT294" i="7"/>
  <c r="CT295" i="7" a="1"/>
  <c r="CT295" i="7"/>
  <c r="CT296" i="7" a="1"/>
  <c r="CT296" i="7"/>
  <c r="CT297" i="7" a="1"/>
  <c r="CT297" i="7"/>
  <c r="CT298" i="7" a="1"/>
  <c r="CT298" i="7"/>
  <c r="CT299" i="7" a="1"/>
  <c r="CT299" i="7"/>
  <c r="CT300" i="7" a="1"/>
  <c r="CT300" i="7"/>
  <c r="CT301" i="7" a="1"/>
  <c r="CT301" i="7"/>
  <c r="CT302" i="7" a="1"/>
  <c r="CT302" i="7"/>
  <c r="CT303" i="7" a="1"/>
  <c r="CT303" i="7"/>
  <c r="CT304" i="7" a="1"/>
  <c r="CT304" i="7"/>
  <c r="CT305" i="7" a="1"/>
  <c r="CT305" i="7"/>
  <c r="CT306" i="7" a="1"/>
  <c r="CT306" i="7"/>
  <c r="CT307" i="7" a="1"/>
  <c r="CT307" i="7"/>
  <c r="CT308" i="7" a="1"/>
  <c r="CT308" i="7"/>
  <c r="CT309" i="7" a="1"/>
  <c r="CT309" i="7"/>
  <c r="CT310" i="7" a="1"/>
  <c r="CT310" i="7"/>
  <c r="CT311" i="7" a="1"/>
  <c r="CT311" i="7"/>
  <c r="CT312" i="7" a="1"/>
  <c r="CT312" i="7"/>
  <c r="CT313" i="7" a="1"/>
  <c r="CT313" i="7"/>
  <c r="CT314" i="7" a="1"/>
  <c r="CT314" i="7"/>
  <c r="CT315" i="7" a="1"/>
  <c r="CT315" i="7"/>
  <c r="CT316" i="7" a="1"/>
  <c r="CT316" i="7"/>
  <c r="CT317" i="7" a="1"/>
  <c r="CT317" i="7"/>
  <c r="CT318" i="7" a="1"/>
  <c r="CT318" i="7"/>
  <c r="CT319" i="7" a="1"/>
  <c r="CT319" i="7"/>
  <c r="CT320" i="7" a="1"/>
  <c r="CT320" i="7"/>
  <c r="CT321" i="7" a="1"/>
  <c r="CT321" i="7"/>
  <c r="CT322" i="7" a="1"/>
  <c r="CT322" i="7"/>
  <c r="CT323" i="7" a="1"/>
  <c r="CT323" i="7"/>
  <c r="CT324" i="7" a="1"/>
  <c r="CT324" i="7"/>
  <c r="CT325" i="7" a="1"/>
  <c r="CT325" i="7"/>
  <c r="CT326" i="7" a="1"/>
  <c r="CT326" i="7"/>
  <c r="CT327" i="7" a="1"/>
  <c r="CT327" i="7"/>
  <c r="CT328" i="7" a="1"/>
  <c r="CT328" i="7"/>
  <c r="CT329" i="7" a="1"/>
  <c r="CT329" i="7"/>
  <c r="CT330" i="7" a="1"/>
  <c r="CT330" i="7"/>
  <c r="CT331" i="7" a="1"/>
  <c r="CT331" i="7"/>
  <c r="CT332" i="7" a="1"/>
  <c r="CT332" i="7"/>
  <c r="CT333" i="7" a="1"/>
  <c r="CT333" i="7"/>
  <c r="CT334" i="7" a="1"/>
  <c r="CT334" i="7"/>
  <c r="CT335" i="7" a="1"/>
  <c r="CT335" i="7"/>
  <c r="CT336" i="7" a="1"/>
  <c r="CT336" i="7"/>
  <c r="CT337" i="7" a="1"/>
  <c r="CT337" i="7"/>
  <c r="CT338" i="7" a="1"/>
  <c r="CT338" i="7"/>
  <c r="CT339" i="7" a="1"/>
  <c r="CT339" i="7"/>
  <c r="CT340" i="7" a="1"/>
  <c r="CT340" i="7"/>
  <c r="CT341" i="7" a="1"/>
  <c r="CT341" i="7"/>
  <c r="CT342" i="7" a="1"/>
  <c r="CT342" i="7"/>
  <c r="CT1" i="7" a="1"/>
  <c r="CT1" i="7"/>
  <c r="CI2" i="7" a="1"/>
  <c r="CI2" i="7"/>
  <c r="CI3" i="7" a="1"/>
  <c r="CI3" i="7"/>
  <c r="CI4" i="7" a="1"/>
  <c r="CI4" i="7"/>
  <c r="CI5" i="7" a="1"/>
  <c r="CI5" i="7"/>
  <c r="CI6" i="7" a="1"/>
  <c r="CI6" i="7"/>
  <c r="CI7" i="7" a="1"/>
  <c r="CI7" i="7"/>
  <c r="CI8" i="7" a="1"/>
  <c r="CI8" i="7"/>
  <c r="CI9" i="7" a="1"/>
  <c r="CI9" i="7"/>
  <c r="CI10" i="7" a="1"/>
  <c r="CI10" i="7"/>
  <c r="CI11" i="7" a="1"/>
  <c r="CI11" i="7"/>
  <c r="CI12" i="7" a="1"/>
  <c r="CI12" i="7"/>
  <c r="CI13" i="7" a="1"/>
  <c r="CI13" i="7"/>
  <c r="CI14" i="7" a="1"/>
  <c r="CI14" i="7"/>
  <c r="CI15" i="7" a="1"/>
  <c r="CI15" i="7"/>
  <c r="CI16" i="7" a="1"/>
  <c r="CI16" i="7"/>
  <c r="CI17" i="7" a="1"/>
  <c r="CI17" i="7"/>
  <c r="CI18" i="7" a="1"/>
  <c r="CI18" i="7"/>
  <c r="CI19" i="7" a="1"/>
  <c r="CI19" i="7"/>
  <c r="CI20" i="7" a="1"/>
  <c r="CI20" i="7"/>
  <c r="CI21" i="7" a="1"/>
  <c r="CI21" i="7"/>
  <c r="CI22" i="7" a="1"/>
  <c r="CI22" i="7"/>
  <c r="CI23" i="7" a="1"/>
  <c r="CI23" i="7"/>
  <c r="CI24" i="7" a="1"/>
  <c r="CI24" i="7"/>
  <c r="CI25" i="7" a="1"/>
  <c r="CI25" i="7"/>
  <c r="CI26" i="7" a="1"/>
  <c r="CI26" i="7"/>
  <c r="CI27" i="7" a="1"/>
  <c r="CI27" i="7"/>
  <c r="CI28" i="7" a="1"/>
  <c r="CI28" i="7"/>
  <c r="CI29" i="7" a="1"/>
  <c r="CI29" i="7"/>
  <c r="CI30" i="7" a="1"/>
  <c r="CI30" i="7"/>
  <c r="CI31" i="7" a="1"/>
  <c r="CI31" i="7"/>
  <c r="CI32" i="7" a="1"/>
  <c r="CI32" i="7"/>
  <c r="CI33" i="7" a="1"/>
  <c r="CI33" i="7"/>
  <c r="CI34" i="7" a="1"/>
  <c r="CI34" i="7"/>
  <c r="CI35" i="7" a="1"/>
  <c r="CI35" i="7"/>
  <c r="CI36" i="7" a="1"/>
  <c r="CI36" i="7"/>
  <c r="CI37" i="7" a="1"/>
  <c r="CI37" i="7"/>
  <c r="CI38" i="7" a="1"/>
  <c r="CI38" i="7"/>
  <c r="CI39" i="7" a="1"/>
  <c r="CI39" i="7"/>
  <c r="CI40" i="7" a="1"/>
  <c r="CI40" i="7"/>
  <c r="CI41" i="7" a="1"/>
  <c r="CI41" i="7"/>
  <c r="CI42" i="7" a="1"/>
  <c r="CI42" i="7"/>
  <c r="CI43" i="7" a="1"/>
  <c r="CI43" i="7"/>
  <c r="CI44" i="7" a="1"/>
  <c r="CI44" i="7"/>
  <c r="CI45" i="7" a="1"/>
  <c r="CI45" i="7"/>
  <c r="CI46" i="7" a="1"/>
  <c r="CI46" i="7"/>
  <c r="CI47" i="7" a="1"/>
  <c r="CI47" i="7"/>
  <c r="CI48" i="7" a="1"/>
  <c r="CI48" i="7"/>
  <c r="CI49" i="7" a="1"/>
  <c r="CI49" i="7"/>
  <c r="CI50" i="7" a="1"/>
  <c r="CI50" i="7"/>
  <c r="CI51" i="7" a="1"/>
  <c r="CI51" i="7"/>
  <c r="CI52" i="7" a="1"/>
  <c r="CI52" i="7"/>
  <c r="CI53" i="7" a="1"/>
  <c r="CI53" i="7"/>
  <c r="CI54" i="7" a="1"/>
  <c r="CI54" i="7"/>
  <c r="CI55" i="7" a="1"/>
  <c r="CI55" i="7"/>
  <c r="CI56" i="7" a="1"/>
  <c r="CI56" i="7"/>
  <c r="CI57" i="7" a="1"/>
  <c r="CI57" i="7"/>
  <c r="CI58" i="7" a="1"/>
  <c r="CI58" i="7"/>
  <c r="CI59" i="7" a="1"/>
  <c r="CI59" i="7"/>
  <c r="CI60" i="7" a="1"/>
  <c r="CI60" i="7"/>
  <c r="CI61" i="7" a="1"/>
  <c r="CI61" i="7"/>
  <c r="CI62" i="7" a="1"/>
  <c r="CI62" i="7"/>
  <c r="CI63" i="7" a="1"/>
  <c r="CI63" i="7"/>
  <c r="CI64" i="7" a="1"/>
  <c r="CI64" i="7"/>
  <c r="CI65" i="7" a="1"/>
  <c r="CI65" i="7"/>
  <c r="CI66" i="7" a="1"/>
  <c r="CI66" i="7"/>
  <c r="CI67" i="7" a="1"/>
  <c r="CI67" i="7"/>
  <c r="CI68" i="7" a="1"/>
  <c r="CI68" i="7"/>
  <c r="CI69" i="7" a="1"/>
  <c r="CI69" i="7"/>
  <c r="CI70" i="7" a="1"/>
  <c r="CI70" i="7"/>
  <c r="CI71" i="7" a="1"/>
  <c r="CI71" i="7"/>
  <c r="CI72" i="7" a="1"/>
  <c r="CI72" i="7"/>
  <c r="CI73" i="7" a="1"/>
  <c r="CI73" i="7"/>
  <c r="CI74" i="7" a="1"/>
  <c r="CI74" i="7"/>
  <c r="CI75" i="7" a="1"/>
  <c r="CI75" i="7"/>
  <c r="CI76" i="7" a="1"/>
  <c r="CI76" i="7"/>
  <c r="CI77" i="7" a="1"/>
  <c r="CI77" i="7"/>
  <c r="CI78" i="7" a="1"/>
  <c r="CI78" i="7"/>
  <c r="CI79" i="7" a="1"/>
  <c r="CI79" i="7"/>
  <c r="CI80" i="7" a="1"/>
  <c r="CI80" i="7"/>
  <c r="CI81" i="7" a="1"/>
  <c r="CI81" i="7"/>
  <c r="CI82" i="7" a="1"/>
  <c r="CI82" i="7"/>
  <c r="CI83" i="7" a="1"/>
  <c r="CI83" i="7"/>
  <c r="CI84" i="7" a="1"/>
  <c r="CI84" i="7"/>
  <c r="CI85" i="7" a="1"/>
  <c r="CI85" i="7"/>
  <c r="CI86" i="7" a="1"/>
  <c r="CI86" i="7"/>
  <c r="CI87" i="7" a="1"/>
  <c r="CI87" i="7"/>
  <c r="CI88" i="7" a="1"/>
  <c r="CI88" i="7"/>
  <c r="CI89" i="7" a="1"/>
  <c r="CI89" i="7"/>
  <c r="CI90" i="7" a="1"/>
  <c r="CI90" i="7"/>
  <c r="CI91" i="7" a="1"/>
  <c r="CI91" i="7"/>
  <c r="CI92" i="7" a="1"/>
  <c r="CI92" i="7"/>
  <c r="CI93" i="7" a="1"/>
  <c r="CI93" i="7"/>
  <c r="CI94" i="7" a="1"/>
  <c r="CI94" i="7"/>
  <c r="CI95" i="7" a="1"/>
  <c r="CI95" i="7"/>
  <c r="CI96" i="7" a="1"/>
  <c r="CI96" i="7"/>
  <c r="CI97" i="7" a="1"/>
  <c r="CI97" i="7"/>
  <c r="CI98" i="7" a="1"/>
  <c r="CI98" i="7"/>
  <c r="CI99" i="7" a="1"/>
  <c r="CI99" i="7"/>
  <c r="CI100" i="7" a="1"/>
  <c r="CI100" i="7"/>
  <c r="CI101" i="7" a="1"/>
  <c r="CI101" i="7"/>
  <c r="CI102" i="7" a="1"/>
  <c r="CI102" i="7"/>
  <c r="CI103" i="7" a="1"/>
  <c r="CI103" i="7"/>
  <c r="CI104" i="7" a="1"/>
  <c r="CI104" i="7"/>
  <c r="CI105" i="7" a="1"/>
  <c r="CI105" i="7"/>
  <c r="CI106" i="7" a="1"/>
  <c r="CI106" i="7"/>
  <c r="CI107" i="7" a="1"/>
  <c r="CI107" i="7"/>
  <c r="CI108" i="7" a="1"/>
  <c r="CI108" i="7"/>
  <c r="CI109" i="7" a="1"/>
  <c r="CI109" i="7"/>
  <c r="CI110" i="7" a="1"/>
  <c r="CI110" i="7"/>
  <c r="CI111" i="7" a="1"/>
  <c r="CI111" i="7"/>
  <c r="CI112" i="7" a="1"/>
  <c r="CI112" i="7"/>
  <c r="CI113" i="7" a="1"/>
  <c r="CI113" i="7"/>
  <c r="CI114" i="7" a="1"/>
  <c r="CI114" i="7"/>
  <c r="CI115" i="7" a="1"/>
  <c r="CI115" i="7"/>
  <c r="CI116" i="7" a="1"/>
  <c r="CI116" i="7"/>
  <c r="CI117" i="7" a="1"/>
  <c r="CI117" i="7"/>
  <c r="CI118" i="7" a="1"/>
  <c r="CI118" i="7"/>
  <c r="CI119" i="7" a="1"/>
  <c r="CI119" i="7"/>
  <c r="CI120" i="7" a="1"/>
  <c r="CI120" i="7"/>
  <c r="CI121" i="7" a="1"/>
  <c r="CI121" i="7"/>
  <c r="CI122" i="7" a="1"/>
  <c r="CI122" i="7"/>
  <c r="CI123" i="7" a="1"/>
  <c r="CI123" i="7"/>
  <c r="CI124" i="7" a="1"/>
  <c r="CI124" i="7"/>
  <c r="CI125" i="7" a="1"/>
  <c r="CI125" i="7"/>
  <c r="CI126" i="7" a="1"/>
  <c r="CI126" i="7"/>
  <c r="CI127" i="7" a="1"/>
  <c r="CI127" i="7"/>
  <c r="CI128" i="7" a="1"/>
  <c r="CI128" i="7"/>
  <c r="CI129" i="7" a="1"/>
  <c r="CI129" i="7"/>
  <c r="CI130" i="7" a="1"/>
  <c r="CI130" i="7"/>
  <c r="CI131" i="7" a="1"/>
  <c r="CI131" i="7"/>
  <c r="CI132" i="7" a="1"/>
  <c r="CI132" i="7"/>
  <c r="CI133" i="7" a="1"/>
  <c r="CI133" i="7"/>
  <c r="CI134" i="7" a="1"/>
  <c r="CI134" i="7"/>
  <c r="CI135" i="7" a="1"/>
  <c r="CI135" i="7"/>
  <c r="CI136" i="7" a="1"/>
  <c r="CI136" i="7"/>
  <c r="CI137" i="7" a="1"/>
  <c r="CI137" i="7"/>
  <c r="CI138" i="7" a="1"/>
  <c r="CI138" i="7"/>
  <c r="CI139" i="7" a="1"/>
  <c r="CI139" i="7"/>
  <c r="CI140" i="7" a="1"/>
  <c r="CI140" i="7"/>
  <c r="CI141" i="7" a="1"/>
  <c r="CI141" i="7"/>
  <c r="CI142" i="7" a="1"/>
  <c r="CI142" i="7"/>
  <c r="CI143" i="7" a="1"/>
  <c r="CI143" i="7"/>
  <c r="CI144" i="7" a="1"/>
  <c r="CI144" i="7"/>
  <c r="CI145" i="7" a="1"/>
  <c r="CI145" i="7"/>
  <c r="CI146" i="7" a="1"/>
  <c r="CI146" i="7"/>
  <c r="CI147" i="7" a="1"/>
  <c r="CI147" i="7"/>
  <c r="CI148" i="7" a="1"/>
  <c r="CI148" i="7"/>
  <c r="CI149" i="7" a="1"/>
  <c r="CI149" i="7"/>
  <c r="CI150" i="7" a="1"/>
  <c r="CI150" i="7"/>
  <c r="CI151" i="7" a="1"/>
  <c r="CI151" i="7"/>
  <c r="CI152" i="7" a="1"/>
  <c r="CI152" i="7"/>
  <c r="CI153" i="7" a="1"/>
  <c r="CI153" i="7"/>
  <c r="CI154" i="7" a="1"/>
  <c r="CI154" i="7"/>
  <c r="CI155" i="7" a="1"/>
  <c r="CI155" i="7"/>
  <c r="CI156" i="7" a="1"/>
  <c r="CI156" i="7"/>
  <c r="CI157" i="7" a="1"/>
  <c r="CI157" i="7"/>
  <c r="CI158" i="7" a="1"/>
  <c r="CI158" i="7"/>
  <c r="CI159" i="7" a="1"/>
  <c r="CI159" i="7"/>
  <c r="CI160" i="7" a="1"/>
  <c r="CI160" i="7"/>
  <c r="CI161" i="7" a="1"/>
  <c r="CI161" i="7"/>
  <c r="CI162" i="7" a="1"/>
  <c r="CI162" i="7"/>
  <c r="CI163" i="7" a="1"/>
  <c r="CI163" i="7"/>
  <c r="CI164" i="7" a="1"/>
  <c r="CI164" i="7"/>
  <c r="CI165" i="7" a="1"/>
  <c r="CI165" i="7"/>
  <c r="CI166" i="7" a="1"/>
  <c r="CI166" i="7"/>
  <c r="CI167" i="7" a="1"/>
  <c r="CI167" i="7"/>
  <c r="CI168" i="7" a="1"/>
  <c r="CI168" i="7"/>
  <c r="CI169" i="7" a="1"/>
  <c r="CI169" i="7"/>
  <c r="CI170" i="7" a="1"/>
  <c r="CI170" i="7"/>
  <c r="CI171" i="7" a="1"/>
  <c r="CI171" i="7"/>
  <c r="CI172" i="7" a="1"/>
  <c r="CI172" i="7"/>
  <c r="CI173" i="7" a="1"/>
  <c r="CI173" i="7"/>
  <c r="CI174" i="7" a="1"/>
  <c r="CI174" i="7"/>
  <c r="CI175" i="7" a="1"/>
  <c r="CI175" i="7"/>
  <c r="CI176" i="7" a="1"/>
  <c r="CI176" i="7"/>
  <c r="CI177" i="7" a="1"/>
  <c r="CI177" i="7"/>
  <c r="CI178" i="7" a="1"/>
  <c r="CI178" i="7"/>
  <c r="CI179" i="7" a="1"/>
  <c r="CI179" i="7"/>
  <c r="CI180" i="7" a="1"/>
  <c r="CI180" i="7"/>
  <c r="CI181" i="7" a="1"/>
  <c r="CI181" i="7"/>
  <c r="CI182" i="7" a="1"/>
  <c r="CI182" i="7"/>
  <c r="CI183" i="7" a="1"/>
  <c r="CI183" i="7"/>
  <c r="CI184" i="7" a="1"/>
  <c r="CI184" i="7"/>
  <c r="CI185" i="7" a="1"/>
  <c r="CI185" i="7"/>
  <c r="CI186" i="7" a="1"/>
  <c r="CI186" i="7"/>
  <c r="CI187" i="7" a="1"/>
  <c r="CI187" i="7"/>
  <c r="CI188" i="7" a="1"/>
  <c r="CI188" i="7"/>
  <c r="CI189" i="7" a="1"/>
  <c r="CI189" i="7"/>
  <c r="CI190" i="7" a="1"/>
  <c r="CI190" i="7"/>
  <c r="CI191" i="7" a="1"/>
  <c r="CI191" i="7"/>
  <c r="CI192" i="7" a="1"/>
  <c r="CI192" i="7"/>
  <c r="CI193" i="7" a="1"/>
  <c r="CI193" i="7"/>
  <c r="CI194" i="7" a="1"/>
  <c r="CI194" i="7"/>
  <c r="CI195" i="7" a="1"/>
  <c r="CI195" i="7"/>
  <c r="CI196" i="7" a="1"/>
  <c r="CI196" i="7"/>
  <c r="CI197" i="7" a="1"/>
  <c r="CI197" i="7"/>
  <c r="CI198" i="7" a="1"/>
  <c r="CI198" i="7"/>
  <c r="CI199" i="7" a="1"/>
  <c r="CI199" i="7"/>
  <c r="CI200" i="7" a="1"/>
  <c r="CI200" i="7"/>
  <c r="CI201" i="7" a="1"/>
  <c r="CI201" i="7"/>
  <c r="CI202" i="7" a="1"/>
  <c r="CI202" i="7"/>
  <c r="CI203" i="7" a="1"/>
  <c r="CI203" i="7"/>
  <c r="CI204" i="7" a="1"/>
  <c r="CI204" i="7"/>
  <c r="CI205" i="7" a="1"/>
  <c r="CI205" i="7"/>
  <c r="CI206" i="7" a="1"/>
  <c r="CI206" i="7"/>
  <c r="CI207" i="7" a="1"/>
  <c r="CI207" i="7"/>
  <c r="CI208" i="7" a="1"/>
  <c r="CI208" i="7"/>
  <c r="CI209" i="7" a="1"/>
  <c r="CI209" i="7"/>
  <c r="CI210" i="7" a="1"/>
  <c r="CI210" i="7"/>
  <c r="CI211" i="7" a="1"/>
  <c r="CI211" i="7"/>
  <c r="CI212" i="7" a="1"/>
  <c r="CI212" i="7"/>
  <c r="CI213" i="7" a="1"/>
  <c r="CI213" i="7"/>
  <c r="CI214" i="7" a="1"/>
  <c r="CI214" i="7"/>
  <c r="CI215" i="7" a="1"/>
  <c r="CI215" i="7"/>
  <c r="CI216" i="7" a="1"/>
  <c r="CI216" i="7"/>
  <c r="CI217" i="7" a="1"/>
  <c r="CI217" i="7"/>
  <c r="CI218" i="7" a="1"/>
  <c r="CI218" i="7"/>
  <c r="CI219" i="7" a="1"/>
  <c r="CI219" i="7"/>
  <c r="CI220" i="7" a="1"/>
  <c r="CI220" i="7"/>
  <c r="CI221" i="7" a="1"/>
  <c r="CI221" i="7"/>
  <c r="CI222" i="7" a="1"/>
  <c r="CI222" i="7"/>
  <c r="CI223" i="7" a="1"/>
  <c r="CI223" i="7"/>
  <c r="CI224" i="7" a="1"/>
  <c r="CI224" i="7"/>
  <c r="CI225" i="7" a="1"/>
  <c r="CI225" i="7"/>
  <c r="CI226" i="7" a="1"/>
  <c r="CI226" i="7"/>
  <c r="CI227" i="7" a="1"/>
  <c r="CI227" i="7"/>
  <c r="CI228" i="7" a="1"/>
  <c r="CI228" i="7"/>
  <c r="CI229" i="7" a="1"/>
  <c r="CI229" i="7"/>
  <c r="CI230" i="7" a="1"/>
  <c r="CI230" i="7"/>
  <c r="CI231" i="7" a="1"/>
  <c r="CI231" i="7"/>
  <c r="CI232" i="7" a="1"/>
  <c r="CI232" i="7"/>
  <c r="CI233" i="7" a="1"/>
  <c r="CI233" i="7"/>
  <c r="CI234" i="7" a="1"/>
  <c r="CI234" i="7"/>
  <c r="CI235" i="7" a="1"/>
  <c r="CI235" i="7"/>
  <c r="CI236" i="7" a="1"/>
  <c r="CI236" i="7"/>
  <c r="CI237" i="7" a="1"/>
  <c r="CI237" i="7"/>
  <c r="CI238" i="7" a="1"/>
  <c r="CI238" i="7"/>
  <c r="CI239" i="7" a="1"/>
  <c r="CI239" i="7"/>
  <c r="CI240" i="7" a="1"/>
  <c r="CI240" i="7"/>
  <c r="CI241" i="7" a="1"/>
  <c r="CI241" i="7"/>
  <c r="CI242" i="7" a="1"/>
  <c r="CI242" i="7"/>
  <c r="CI243" i="7" a="1"/>
  <c r="CI243" i="7"/>
  <c r="CI244" i="7" a="1"/>
  <c r="CI244" i="7"/>
  <c r="CI245" i="7" a="1"/>
  <c r="CI245" i="7"/>
  <c r="CI246" i="7" a="1"/>
  <c r="CI246" i="7"/>
  <c r="CI247" i="7" a="1"/>
  <c r="CI247" i="7"/>
  <c r="CI248" i="7" a="1"/>
  <c r="CI248" i="7"/>
  <c r="CI249" i="7" a="1"/>
  <c r="CI249" i="7"/>
  <c r="CI250" i="7" a="1"/>
  <c r="CI250" i="7"/>
  <c r="CI251" i="7" a="1"/>
  <c r="CI251" i="7"/>
  <c r="CI252" i="7" a="1"/>
  <c r="CI252" i="7"/>
  <c r="CI253" i="7" a="1"/>
  <c r="CI253" i="7"/>
  <c r="CI254" i="7" a="1"/>
  <c r="CI254" i="7"/>
  <c r="CI255" i="7" a="1"/>
  <c r="CI255" i="7"/>
  <c r="CI256" i="7" a="1"/>
  <c r="CI256" i="7"/>
  <c r="CI257" i="7" a="1"/>
  <c r="CI257" i="7"/>
  <c r="CI258" i="7" a="1"/>
  <c r="CI258" i="7"/>
  <c r="CI259" i="7" a="1"/>
  <c r="CI259" i="7"/>
  <c r="CI260" i="7" a="1"/>
  <c r="CI260" i="7"/>
  <c r="CI261" i="7" a="1"/>
  <c r="CI261" i="7"/>
  <c r="CI262" i="7" a="1"/>
  <c r="CI262" i="7"/>
  <c r="CI263" i="7" a="1"/>
  <c r="CI263" i="7"/>
  <c r="CI264" i="7" a="1"/>
  <c r="CI264" i="7"/>
  <c r="CI265" i="7" a="1"/>
  <c r="CI265" i="7"/>
  <c r="CI266" i="7" a="1"/>
  <c r="CI266" i="7"/>
  <c r="CI267" i="7" a="1"/>
  <c r="CI267" i="7"/>
  <c r="CI268" i="7" a="1"/>
  <c r="CI268" i="7"/>
  <c r="CI269" i="7" a="1"/>
  <c r="CI269" i="7"/>
  <c r="CI270" i="7" a="1"/>
  <c r="CI270" i="7"/>
  <c r="CI271" i="7" a="1"/>
  <c r="CI271" i="7"/>
  <c r="CI272" i="7" a="1"/>
  <c r="CI272" i="7"/>
  <c r="CI273" i="7" a="1"/>
  <c r="CI273" i="7"/>
  <c r="CI274" i="7" a="1"/>
  <c r="CI274" i="7"/>
  <c r="CI275" i="7" a="1"/>
  <c r="CI275" i="7"/>
  <c r="CI276" i="7" a="1"/>
  <c r="CI276" i="7"/>
  <c r="CI277" i="7" a="1"/>
  <c r="CI277" i="7"/>
  <c r="CI278" i="7" a="1"/>
  <c r="CI278" i="7"/>
  <c r="CI279" i="7" a="1"/>
  <c r="CI279" i="7"/>
  <c r="CI280" i="7" a="1"/>
  <c r="CI280" i="7"/>
  <c r="CI281" i="7" a="1"/>
  <c r="CI281" i="7"/>
  <c r="CI282" i="7" a="1"/>
  <c r="CI282" i="7"/>
  <c r="CI283" i="7" a="1"/>
  <c r="CI283" i="7"/>
  <c r="CI284" i="7" a="1"/>
  <c r="CI284" i="7"/>
  <c r="CI285" i="7" a="1"/>
  <c r="CI285" i="7"/>
  <c r="CI286" i="7" a="1"/>
  <c r="CI286" i="7"/>
  <c r="CI287" i="7" a="1"/>
  <c r="CI287" i="7"/>
  <c r="CI288" i="7" a="1"/>
  <c r="CI288" i="7"/>
  <c r="CI289" i="7" a="1"/>
  <c r="CI289" i="7"/>
  <c r="CI290" i="7" a="1"/>
  <c r="CI290" i="7"/>
  <c r="CI291" i="7" a="1"/>
  <c r="CI291" i="7"/>
  <c r="CI292" i="7" a="1"/>
  <c r="CI292" i="7"/>
  <c r="CI293" i="7" a="1"/>
  <c r="CI293" i="7"/>
  <c r="CI294" i="7" a="1"/>
  <c r="CI294" i="7"/>
  <c r="CI295" i="7" a="1"/>
  <c r="CI295" i="7"/>
  <c r="CI296" i="7" a="1"/>
  <c r="CI296" i="7"/>
  <c r="CI297" i="7" a="1"/>
  <c r="CI297" i="7"/>
  <c r="CI298" i="7" a="1"/>
  <c r="CI298" i="7"/>
  <c r="CI299" i="7" a="1"/>
  <c r="CI299" i="7"/>
  <c r="CI300" i="7" a="1"/>
  <c r="CI300" i="7"/>
  <c r="CI301" i="7" a="1"/>
  <c r="CI301" i="7"/>
  <c r="CI302" i="7" a="1"/>
  <c r="CI302" i="7"/>
  <c r="CI303" i="7" a="1"/>
  <c r="CI303" i="7"/>
  <c r="CI304" i="7" a="1"/>
  <c r="CI304" i="7"/>
  <c r="CI305" i="7" a="1"/>
  <c r="CI305" i="7"/>
  <c r="CI306" i="7" a="1"/>
  <c r="CI306" i="7"/>
  <c r="CI307" i="7" a="1"/>
  <c r="CI307" i="7"/>
  <c r="CI308" i="7" a="1"/>
  <c r="CI308" i="7"/>
  <c r="CI309" i="7" a="1"/>
  <c r="CI309" i="7"/>
  <c r="CI310" i="7" a="1"/>
  <c r="CI310" i="7"/>
  <c r="CI311" i="7" a="1"/>
  <c r="CI311" i="7"/>
  <c r="CI312" i="7" a="1"/>
  <c r="CI312" i="7"/>
  <c r="CI313" i="7" a="1"/>
  <c r="CI313" i="7"/>
  <c r="CI314" i="7" a="1"/>
  <c r="CI314" i="7"/>
  <c r="CI315" i="7" a="1"/>
  <c r="CI315" i="7"/>
  <c r="CI316" i="7" a="1"/>
  <c r="CI316" i="7"/>
  <c r="CI317" i="7" a="1"/>
  <c r="CI317" i="7"/>
  <c r="CI318" i="7" a="1"/>
  <c r="CI318" i="7"/>
  <c r="CI319" i="7" a="1"/>
  <c r="CI319" i="7"/>
  <c r="CI320" i="7" a="1"/>
  <c r="CI320" i="7"/>
  <c r="CI321" i="7" a="1"/>
  <c r="CI321" i="7"/>
  <c r="CI322" i="7" a="1"/>
  <c r="CI322" i="7"/>
  <c r="CI323" i="7" a="1"/>
  <c r="CI323" i="7"/>
  <c r="CI324" i="7" a="1"/>
  <c r="CI324" i="7"/>
  <c r="CI325" i="7" a="1"/>
  <c r="CI325" i="7"/>
  <c r="CI326" i="7" a="1"/>
  <c r="CI326" i="7"/>
  <c r="CI327" i="7" a="1"/>
  <c r="CI327" i="7"/>
  <c r="CI328" i="7" a="1"/>
  <c r="CI328" i="7"/>
  <c r="CI329" i="7" a="1"/>
  <c r="CI329" i="7"/>
  <c r="CI330" i="7" a="1"/>
  <c r="CI330" i="7"/>
  <c r="CI331" i="7" a="1"/>
  <c r="CI331" i="7"/>
  <c r="CI332" i="7" a="1"/>
  <c r="CI332" i="7"/>
  <c r="CI333" i="7" a="1"/>
  <c r="CI333" i="7"/>
  <c r="CI334" i="7" a="1"/>
  <c r="CI334" i="7"/>
  <c r="CI335" i="7" a="1"/>
  <c r="CI335" i="7"/>
  <c r="CI336" i="7" a="1"/>
  <c r="CI336" i="7"/>
  <c r="CI337" i="7" a="1"/>
  <c r="CI337" i="7"/>
  <c r="CI338" i="7" a="1"/>
  <c r="CI338" i="7"/>
  <c r="CI339" i="7" a="1"/>
  <c r="CI339" i="7"/>
  <c r="CI340" i="7" a="1"/>
  <c r="CI340" i="7"/>
  <c r="CI341" i="7" a="1"/>
  <c r="CI341" i="7"/>
  <c r="CI342" i="7" a="1"/>
  <c r="CI342" i="7"/>
  <c r="CI1" i="7" a="1"/>
  <c r="CI1" i="7"/>
  <c r="BQ2" i="7" a="1"/>
  <c r="BQ2" i="7"/>
  <c r="BQ3" i="7" a="1"/>
  <c r="BQ3" i="7"/>
  <c r="BQ4" i="7" a="1"/>
  <c r="BQ4" i="7"/>
  <c r="BQ5" i="7" a="1"/>
  <c r="BQ5" i="7"/>
  <c r="BQ6" i="7" a="1"/>
  <c r="BQ6" i="7"/>
  <c r="BQ7" i="7" a="1"/>
  <c r="BQ7" i="7"/>
  <c r="BQ8" i="7" a="1"/>
  <c r="BQ8" i="7"/>
  <c r="BQ9" i="7" a="1"/>
  <c r="BQ9" i="7"/>
  <c r="BQ10" i="7" a="1"/>
  <c r="BQ10" i="7"/>
  <c r="BQ11" i="7" a="1"/>
  <c r="BQ11" i="7"/>
  <c r="BQ12" i="7" a="1"/>
  <c r="BQ12" i="7"/>
  <c r="BQ13" i="7" a="1"/>
  <c r="BQ13" i="7"/>
  <c r="BQ14" i="7" a="1"/>
  <c r="BQ14" i="7"/>
  <c r="BQ15" i="7" a="1"/>
  <c r="BQ15" i="7"/>
  <c r="BQ16" i="7" a="1"/>
  <c r="BQ16" i="7"/>
  <c r="BQ17" i="7" a="1"/>
  <c r="BQ17" i="7"/>
  <c r="BQ18" i="7" a="1"/>
  <c r="BQ18" i="7"/>
  <c r="BQ19" i="7" a="1"/>
  <c r="BQ19" i="7"/>
  <c r="BQ20" i="7" a="1"/>
  <c r="BQ20" i="7"/>
  <c r="BQ21" i="7" a="1"/>
  <c r="BQ21" i="7"/>
  <c r="BQ22" i="7" a="1"/>
  <c r="BQ22" i="7"/>
  <c r="BQ23" i="7" a="1"/>
  <c r="BQ23" i="7"/>
  <c r="BQ24" i="7" a="1"/>
  <c r="BQ24" i="7"/>
  <c r="BQ25" i="7" a="1"/>
  <c r="BQ25" i="7"/>
  <c r="BQ26" i="7" a="1"/>
  <c r="BQ26" i="7"/>
  <c r="BQ27" i="7" a="1"/>
  <c r="BQ27" i="7"/>
  <c r="BQ28" i="7" a="1"/>
  <c r="BQ28" i="7"/>
  <c r="BQ29" i="7" a="1"/>
  <c r="BQ29" i="7"/>
  <c r="BQ30" i="7" a="1"/>
  <c r="BQ30" i="7"/>
  <c r="BQ31" i="7" a="1"/>
  <c r="BQ31" i="7"/>
  <c r="BQ32" i="7" a="1"/>
  <c r="BQ32" i="7"/>
  <c r="BQ33" i="7" a="1"/>
  <c r="BQ33" i="7"/>
  <c r="BQ34" i="7" a="1"/>
  <c r="BQ34" i="7"/>
  <c r="BQ35" i="7" a="1"/>
  <c r="BQ35" i="7"/>
  <c r="BQ36" i="7" a="1"/>
  <c r="BQ36" i="7"/>
  <c r="BQ37" i="7" a="1"/>
  <c r="BQ37" i="7"/>
  <c r="BQ38" i="7" a="1"/>
  <c r="BQ38" i="7"/>
  <c r="BQ39" i="7" a="1"/>
  <c r="BQ39" i="7"/>
  <c r="BQ40" i="7" a="1"/>
  <c r="BQ40" i="7"/>
  <c r="BQ41" i="7" a="1"/>
  <c r="BQ41" i="7"/>
  <c r="BQ42" i="7" a="1"/>
  <c r="BQ42" i="7"/>
  <c r="BQ43" i="7" a="1"/>
  <c r="BQ43" i="7"/>
  <c r="BQ44" i="7" a="1"/>
  <c r="BQ44" i="7"/>
  <c r="BQ45" i="7" a="1"/>
  <c r="BQ45" i="7"/>
  <c r="BQ46" i="7" a="1"/>
  <c r="BQ46" i="7"/>
  <c r="BQ47" i="7" a="1"/>
  <c r="BQ47" i="7"/>
  <c r="BQ48" i="7" a="1"/>
  <c r="BQ48" i="7"/>
  <c r="BQ49" i="7" a="1"/>
  <c r="BQ49" i="7"/>
  <c r="BQ50" i="7" a="1"/>
  <c r="BQ50" i="7"/>
  <c r="BQ51" i="7" a="1"/>
  <c r="BQ51" i="7"/>
  <c r="BQ52" i="7" a="1"/>
  <c r="BQ52" i="7"/>
  <c r="BQ53" i="7" a="1"/>
  <c r="BQ53" i="7"/>
  <c r="BQ54" i="7" a="1"/>
  <c r="BQ54" i="7"/>
  <c r="BQ55" i="7" a="1"/>
  <c r="BQ55" i="7"/>
  <c r="BQ56" i="7" a="1"/>
  <c r="BQ56" i="7"/>
  <c r="BQ57" i="7" a="1"/>
  <c r="BQ57" i="7"/>
  <c r="BQ58" i="7" a="1"/>
  <c r="BQ58" i="7"/>
  <c r="BQ59" i="7" a="1"/>
  <c r="BQ59" i="7"/>
  <c r="BQ60" i="7" a="1"/>
  <c r="BQ60" i="7"/>
  <c r="BQ61" i="7" a="1"/>
  <c r="BQ61" i="7"/>
  <c r="BQ62" i="7" a="1"/>
  <c r="BQ62" i="7"/>
  <c r="BQ63" i="7" a="1"/>
  <c r="BQ63" i="7"/>
  <c r="BQ64" i="7" a="1"/>
  <c r="BQ64" i="7"/>
  <c r="BQ65" i="7" a="1"/>
  <c r="BQ65" i="7"/>
  <c r="BQ66" i="7" a="1"/>
  <c r="BQ66" i="7"/>
  <c r="BQ67" i="7" a="1"/>
  <c r="BQ67" i="7"/>
  <c r="BQ68" i="7" a="1"/>
  <c r="BQ68" i="7"/>
  <c r="BQ69" i="7" a="1"/>
  <c r="BQ69" i="7"/>
  <c r="BQ70" i="7" a="1"/>
  <c r="BQ70" i="7"/>
  <c r="BQ71" i="7" a="1"/>
  <c r="BQ71" i="7"/>
  <c r="BQ72" i="7" a="1"/>
  <c r="BQ72" i="7"/>
  <c r="BQ73" i="7" a="1"/>
  <c r="BQ73" i="7"/>
  <c r="BQ74" i="7" a="1"/>
  <c r="BQ74" i="7"/>
  <c r="BQ75" i="7" a="1"/>
  <c r="BQ75" i="7"/>
  <c r="BQ76" i="7" a="1"/>
  <c r="BQ76" i="7"/>
  <c r="BQ77" i="7" a="1"/>
  <c r="BQ77" i="7"/>
  <c r="BQ78" i="7" a="1"/>
  <c r="BQ78" i="7"/>
  <c r="BQ79" i="7" a="1"/>
  <c r="BQ79" i="7"/>
  <c r="BQ80" i="7" a="1"/>
  <c r="BQ80" i="7"/>
  <c r="BQ81" i="7" a="1"/>
  <c r="BQ81" i="7"/>
  <c r="BQ82" i="7" a="1"/>
  <c r="BQ82" i="7"/>
  <c r="BQ83" i="7" a="1"/>
  <c r="BQ83" i="7"/>
  <c r="BQ84" i="7" a="1"/>
  <c r="BQ84" i="7"/>
  <c r="BQ85" i="7" a="1"/>
  <c r="BQ85" i="7"/>
  <c r="BQ86" i="7" a="1"/>
  <c r="BQ86" i="7"/>
  <c r="BQ87" i="7" a="1"/>
  <c r="BQ87" i="7"/>
  <c r="BQ88" i="7" a="1"/>
  <c r="BQ88" i="7"/>
  <c r="BQ89" i="7" a="1"/>
  <c r="BQ89" i="7"/>
  <c r="BQ90" i="7" a="1"/>
  <c r="BQ90" i="7"/>
  <c r="BQ91" i="7" a="1"/>
  <c r="BQ91" i="7"/>
  <c r="BQ92" i="7" a="1"/>
  <c r="BQ92" i="7"/>
  <c r="BQ93" i="7" a="1"/>
  <c r="BQ93" i="7"/>
  <c r="BQ94" i="7" a="1"/>
  <c r="BQ94" i="7"/>
  <c r="BQ95" i="7" a="1"/>
  <c r="BQ95" i="7"/>
  <c r="BQ96" i="7" a="1"/>
  <c r="BQ96" i="7"/>
  <c r="BQ97" i="7" a="1"/>
  <c r="BQ97" i="7"/>
  <c r="BQ98" i="7" a="1"/>
  <c r="BQ98" i="7"/>
  <c r="BQ99" i="7" a="1"/>
  <c r="BQ99" i="7"/>
  <c r="BQ100" i="7" a="1"/>
  <c r="BQ100" i="7"/>
  <c r="BQ101" i="7" a="1"/>
  <c r="BQ101" i="7"/>
  <c r="BQ102" i="7" a="1"/>
  <c r="BQ102" i="7"/>
  <c r="BQ103" i="7" a="1"/>
  <c r="BQ103" i="7"/>
  <c r="BQ104" i="7" a="1"/>
  <c r="BQ104" i="7"/>
  <c r="BQ105" i="7" a="1"/>
  <c r="BQ105" i="7"/>
  <c r="BQ106" i="7" a="1"/>
  <c r="BQ106" i="7"/>
  <c r="BQ107" i="7" a="1"/>
  <c r="BQ107" i="7"/>
  <c r="BQ108" i="7" a="1"/>
  <c r="BQ108" i="7"/>
  <c r="BQ109" i="7" a="1"/>
  <c r="BQ109" i="7"/>
  <c r="BQ110" i="7" a="1"/>
  <c r="BQ110" i="7"/>
  <c r="BQ111" i="7" a="1"/>
  <c r="BQ111" i="7"/>
  <c r="BQ112" i="7" a="1"/>
  <c r="BQ112" i="7"/>
  <c r="BQ113" i="7" a="1"/>
  <c r="BQ113" i="7"/>
  <c r="BQ114" i="7" a="1"/>
  <c r="BQ114" i="7"/>
  <c r="BQ115" i="7" a="1"/>
  <c r="BQ115" i="7"/>
  <c r="BQ116" i="7" a="1"/>
  <c r="BQ116" i="7"/>
  <c r="BQ117" i="7" a="1"/>
  <c r="BQ117" i="7"/>
  <c r="BQ118" i="7" a="1"/>
  <c r="BQ118" i="7"/>
  <c r="BQ119" i="7" a="1"/>
  <c r="BQ119" i="7"/>
  <c r="BQ120" i="7" a="1"/>
  <c r="BQ120" i="7"/>
  <c r="BQ121" i="7" a="1"/>
  <c r="BQ121" i="7"/>
  <c r="BQ122" i="7" a="1"/>
  <c r="BQ122" i="7"/>
  <c r="BQ123" i="7" a="1"/>
  <c r="BQ123" i="7"/>
  <c r="BQ124" i="7" a="1"/>
  <c r="BQ124" i="7"/>
  <c r="BQ125" i="7" a="1"/>
  <c r="BQ125" i="7"/>
  <c r="BQ126" i="7" a="1"/>
  <c r="BQ126" i="7"/>
  <c r="BQ127" i="7" a="1"/>
  <c r="BQ127" i="7"/>
  <c r="BQ128" i="7" a="1"/>
  <c r="BQ128" i="7"/>
  <c r="BQ129" i="7" a="1"/>
  <c r="BQ129" i="7"/>
  <c r="BQ130" i="7" a="1"/>
  <c r="BQ130" i="7"/>
  <c r="BQ131" i="7" a="1"/>
  <c r="BQ131" i="7"/>
  <c r="BQ132" i="7" a="1"/>
  <c r="BQ132" i="7"/>
  <c r="BQ133" i="7" a="1"/>
  <c r="BQ133" i="7"/>
  <c r="BQ134" i="7" a="1"/>
  <c r="BQ134" i="7"/>
  <c r="BQ135" i="7" a="1"/>
  <c r="BQ135" i="7"/>
  <c r="BQ136" i="7" a="1"/>
  <c r="BQ136" i="7"/>
  <c r="BQ137" i="7" a="1"/>
  <c r="BQ137" i="7"/>
  <c r="BQ138" i="7" a="1"/>
  <c r="BQ138" i="7"/>
  <c r="BQ139" i="7" a="1"/>
  <c r="BQ139" i="7"/>
  <c r="BQ140" i="7" a="1"/>
  <c r="BQ140" i="7"/>
  <c r="BQ141" i="7" a="1"/>
  <c r="BQ141" i="7"/>
  <c r="BQ142" i="7" a="1"/>
  <c r="BQ142" i="7"/>
  <c r="BQ143" i="7" a="1"/>
  <c r="BQ143" i="7"/>
  <c r="BQ144" i="7" a="1"/>
  <c r="BQ144" i="7"/>
  <c r="BQ145" i="7" a="1"/>
  <c r="BQ145" i="7"/>
  <c r="BQ146" i="7" a="1"/>
  <c r="BQ146" i="7"/>
  <c r="BQ147" i="7" a="1"/>
  <c r="BQ147" i="7"/>
  <c r="BQ148" i="7" a="1"/>
  <c r="BQ148" i="7"/>
  <c r="BQ149" i="7" a="1"/>
  <c r="BQ149" i="7"/>
  <c r="BQ150" i="7" a="1"/>
  <c r="BQ150" i="7"/>
  <c r="BQ151" i="7" a="1"/>
  <c r="BQ151" i="7"/>
  <c r="BQ152" i="7" a="1"/>
  <c r="BQ152" i="7"/>
  <c r="BQ153" i="7" a="1"/>
  <c r="BQ153" i="7"/>
  <c r="BQ154" i="7" a="1"/>
  <c r="BQ154" i="7"/>
  <c r="BQ155" i="7" a="1"/>
  <c r="BQ155" i="7"/>
  <c r="BQ156" i="7" a="1"/>
  <c r="BQ156" i="7"/>
  <c r="BQ157" i="7" a="1"/>
  <c r="BQ157" i="7"/>
  <c r="BQ158" i="7" a="1"/>
  <c r="BQ158" i="7"/>
  <c r="BQ159" i="7" a="1"/>
  <c r="BQ159" i="7"/>
  <c r="BQ160" i="7" a="1"/>
  <c r="BQ160" i="7"/>
  <c r="BQ161" i="7" a="1"/>
  <c r="BQ161" i="7"/>
  <c r="BQ162" i="7" a="1"/>
  <c r="BQ162" i="7"/>
  <c r="BQ163" i="7" a="1"/>
  <c r="BQ163" i="7"/>
  <c r="BQ164" i="7" a="1"/>
  <c r="BQ164" i="7"/>
  <c r="BQ165" i="7" a="1"/>
  <c r="BQ165" i="7"/>
  <c r="BQ166" i="7" a="1"/>
  <c r="BQ166" i="7"/>
  <c r="BQ167" i="7" a="1"/>
  <c r="BQ167" i="7"/>
  <c r="BQ168" i="7" a="1"/>
  <c r="BQ168" i="7"/>
  <c r="BQ169" i="7" a="1"/>
  <c r="BQ169" i="7"/>
  <c r="BQ170" i="7" a="1"/>
  <c r="BQ170" i="7"/>
  <c r="BQ171" i="7" a="1"/>
  <c r="BQ171" i="7"/>
  <c r="BQ172" i="7" a="1"/>
  <c r="BQ172" i="7"/>
  <c r="BQ173" i="7" a="1"/>
  <c r="BQ173" i="7"/>
  <c r="BQ174" i="7" a="1"/>
  <c r="BQ174" i="7"/>
  <c r="BQ175" i="7" a="1"/>
  <c r="BQ175" i="7"/>
  <c r="BQ176" i="7" a="1"/>
  <c r="BQ176" i="7"/>
  <c r="BQ177" i="7" a="1"/>
  <c r="BQ177" i="7"/>
  <c r="BQ178" i="7" a="1"/>
  <c r="BQ178" i="7"/>
  <c r="BQ179" i="7" a="1"/>
  <c r="BQ179" i="7"/>
  <c r="BQ180" i="7" a="1"/>
  <c r="BQ180" i="7"/>
  <c r="BQ181" i="7" a="1"/>
  <c r="BQ181" i="7"/>
  <c r="BQ182" i="7" a="1"/>
  <c r="BQ182" i="7"/>
  <c r="BQ183" i="7" a="1"/>
  <c r="BQ183" i="7"/>
  <c r="BQ184" i="7" a="1"/>
  <c r="BQ184" i="7"/>
  <c r="BQ185" i="7" a="1"/>
  <c r="BQ185" i="7"/>
  <c r="BQ186" i="7" a="1"/>
  <c r="BQ186" i="7"/>
  <c r="BQ187" i="7" a="1"/>
  <c r="BQ187" i="7"/>
  <c r="BQ188" i="7" a="1"/>
  <c r="BQ188" i="7"/>
  <c r="BQ189" i="7" a="1"/>
  <c r="BQ189" i="7"/>
  <c r="BQ190" i="7" a="1"/>
  <c r="BQ190" i="7"/>
  <c r="BQ191" i="7" a="1"/>
  <c r="BQ191" i="7"/>
  <c r="BQ192" i="7" a="1"/>
  <c r="BQ192" i="7"/>
  <c r="BQ193" i="7" a="1"/>
  <c r="BQ193" i="7"/>
  <c r="BQ194" i="7" a="1"/>
  <c r="BQ194" i="7"/>
  <c r="BQ195" i="7" a="1"/>
  <c r="BQ195" i="7"/>
  <c r="BQ196" i="7" a="1"/>
  <c r="BQ196" i="7"/>
  <c r="BQ197" i="7" a="1"/>
  <c r="BQ197" i="7"/>
  <c r="BQ198" i="7" a="1"/>
  <c r="BQ198" i="7"/>
  <c r="BQ199" i="7" a="1"/>
  <c r="BQ199" i="7"/>
  <c r="BQ200" i="7" a="1"/>
  <c r="BQ200" i="7"/>
  <c r="BQ201" i="7" a="1"/>
  <c r="BQ201" i="7"/>
  <c r="BQ202" i="7" a="1"/>
  <c r="BQ202" i="7"/>
  <c r="BQ203" i="7" a="1"/>
  <c r="BQ203" i="7"/>
  <c r="BQ204" i="7" a="1"/>
  <c r="BQ204" i="7"/>
  <c r="BQ205" i="7" a="1"/>
  <c r="BQ205" i="7"/>
  <c r="BQ206" i="7" a="1"/>
  <c r="BQ206" i="7"/>
  <c r="BQ207" i="7" a="1"/>
  <c r="BQ207" i="7"/>
  <c r="BQ208" i="7" a="1"/>
  <c r="BQ208" i="7"/>
  <c r="BQ209" i="7" a="1"/>
  <c r="BQ209" i="7"/>
  <c r="BQ210" i="7" a="1"/>
  <c r="BQ210" i="7"/>
  <c r="BQ211" i="7" a="1"/>
  <c r="BQ211" i="7"/>
  <c r="BQ212" i="7" a="1"/>
  <c r="BQ212" i="7"/>
  <c r="BQ213" i="7" a="1"/>
  <c r="BQ213" i="7"/>
  <c r="BQ214" i="7" a="1"/>
  <c r="BQ214" i="7"/>
  <c r="BQ215" i="7" a="1"/>
  <c r="BQ215" i="7"/>
  <c r="BQ216" i="7" a="1"/>
  <c r="BQ216" i="7"/>
  <c r="BQ217" i="7" a="1"/>
  <c r="BQ217" i="7"/>
  <c r="BQ218" i="7" a="1"/>
  <c r="BQ218" i="7"/>
  <c r="BQ219" i="7" a="1"/>
  <c r="BQ219" i="7"/>
  <c r="BQ220" i="7" a="1"/>
  <c r="BQ220" i="7"/>
  <c r="BQ221" i="7" a="1"/>
  <c r="BQ221" i="7"/>
  <c r="BQ222" i="7" a="1"/>
  <c r="BQ222" i="7"/>
  <c r="BQ223" i="7" a="1"/>
  <c r="BQ223" i="7"/>
  <c r="BQ224" i="7" a="1"/>
  <c r="BQ224" i="7"/>
  <c r="BQ225" i="7" a="1"/>
  <c r="BQ225" i="7"/>
  <c r="BQ226" i="7" a="1"/>
  <c r="BQ226" i="7"/>
  <c r="BQ227" i="7" a="1"/>
  <c r="BQ227" i="7"/>
  <c r="BQ228" i="7" a="1"/>
  <c r="BQ228" i="7"/>
  <c r="BQ229" i="7" a="1"/>
  <c r="BQ229" i="7"/>
  <c r="BQ230" i="7" a="1"/>
  <c r="BQ230" i="7"/>
  <c r="BQ231" i="7" a="1"/>
  <c r="BQ231" i="7"/>
  <c r="BQ232" i="7" a="1"/>
  <c r="BQ232" i="7"/>
  <c r="BQ233" i="7" a="1"/>
  <c r="BQ233" i="7"/>
  <c r="BQ234" i="7" a="1"/>
  <c r="BQ234" i="7"/>
  <c r="BQ235" i="7" a="1"/>
  <c r="BQ235" i="7"/>
  <c r="BQ236" i="7" a="1"/>
  <c r="BQ236" i="7"/>
  <c r="BQ237" i="7" a="1"/>
  <c r="BQ237" i="7"/>
  <c r="BQ238" i="7" a="1"/>
  <c r="BQ238" i="7"/>
  <c r="BQ239" i="7" a="1"/>
  <c r="BQ239" i="7"/>
  <c r="BQ240" i="7" a="1"/>
  <c r="BQ240" i="7"/>
  <c r="BQ241" i="7" a="1"/>
  <c r="BQ241" i="7"/>
  <c r="BQ242" i="7" a="1"/>
  <c r="BQ242" i="7"/>
  <c r="BQ243" i="7" a="1"/>
  <c r="BQ243" i="7"/>
  <c r="BQ244" i="7" a="1"/>
  <c r="BQ244" i="7"/>
  <c r="BQ245" i="7" a="1"/>
  <c r="BQ245" i="7"/>
  <c r="BQ246" i="7" a="1"/>
  <c r="BQ246" i="7"/>
  <c r="BQ247" i="7" a="1"/>
  <c r="BQ247" i="7"/>
  <c r="BQ248" i="7" a="1"/>
  <c r="BQ248" i="7"/>
  <c r="BQ249" i="7" a="1"/>
  <c r="BQ249" i="7"/>
  <c r="BQ250" i="7" a="1"/>
  <c r="BQ250" i="7"/>
  <c r="BQ251" i="7" a="1"/>
  <c r="BQ251" i="7"/>
  <c r="BQ252" i="7" a="1"/>
  <c r="BQ252" i="7"/>
  <c r="BQ253" i="7" a="1"/>
  <c r="BQ253" i="7"/>
  <c r="BQ254" i="7" a="1"/>
  <c r="BQ254" i="7"/>
  <c r="BQ255" i="7" a="1"/>
  <c r="BQ255" i="7"/>
  <c r="BQ256" i="7" a="1"/>
  <c r="BQ256" i="7"/>
  <c r="BQ257" i="7" a="1"/>
  <c r="BQ257" i="7"/>
  <c r="BQ258" i="7" a="1"/>
  <c r="BQ258" i="7"/>
  <c r="BQ259" i="7" a="1"/>
  <c r="BQ259" i="7"/>
  <c r="BQ260" i="7" a="1"/>
  <c r="BQ260" i="7"/>
  <c r="BQ261" i="7" a="1"/>
  <c r="BQ261" i="7"/>
  <c r="BQ262" i="7" a="1"/>
  <c r="BQ262" i="7"/>
  <c r="BQ263" i="7" a="1"/>
  <c r="BQ263" i="7"/>
  <c r="BQ264" i="7" a="1"/>
  <c r="BQ264" i="7"/>
  <c r="BQ265" i="7" a="1"/>
  <c r="BQ265" i="7"/>
  <c r="BQ266" i="7" a="1"/>
  <c r="BQ266" i="7"/>
  <c r="BQ267" i="7" a="1"/>
  <c r="BQ267" i="7"/>
  <c r="BQ268" i="7" a="1"/>
  <c r="BQ268" i="7"/>
  <c r="BQ269" i="7" a="1"/>
  <c r="BQ269" i="7"/>
  <c r="BQ270" i="7" a="1"/>
  <c r="BQ270" i="7"/>
  <c r="BQ271" i="7" a="1"/>
  <c r="BQ271" i="7"/>
  <c r="BQ272" i="7" a="1"/>
  <c r="BQ272" i="7"/>
  <c r="BQ273" i="7" a="1"/>
  <c r="BQ273" i="7"/>
  <c r="BQ274" i="7" a="1"/>
  <c r="BQ274" i="7"/>
  <c r="BQ275" i="7" a="1"/>
  <c r="BQ275" i="7"/>
  <c r="BQ276" i="7" a="1"/>
  <c r="BQ276" i="7"/>
  <c r="BQ277" i="7" a="1"/>
  <c r="BQ277" i="7"/>
  <c r="BQ278" i="7" a="1"/>
  <c r="BQ278" i="7"/>
  <c r="BQ279" i="7" a="1"/>
  <c r="BQ279" i="7"/>
  <c r="BQ280" i="7" a="1"/>
  <c r="BQ280" i="7"/>
  <c r="BQ281" i="7" a="1"/>
  <c r="BQ281" i="7"/>
  <c r="BQ282" i="7" a="1"/>
  <c r="BQ282" i="7"/>
  <c r="BQ283" i="7" a="1"/>
  <c r="BQ283" i="7"/>
  <c r="BQ284" i="7" a="1"/>
  <c r="BQ284" i="7"/>
  <c r="BQ285" i="7" a="1"/>
  <c r="BQ285" i="7"/>
  <c r="BQ286" i="7" a="1"/>
  <c r="BQ286" i="7"/>
  <c r="BQ287" i="7" a="1"/>
  <c r="BQ287" i="7"/>
  <c r="BQ288" i="7" a="1"/>
  <c r="BQ288" i="7"/>
  <c r="BQ289" i="7" a="1"/>
  <c r="BQ289" i="7"/>
  <c r="BQ290" i="7" a="1"/>
  <c r="BQ290" i="7"/>
  <c r="BQ291" i="7" a="1"/>
  <c r="BQ291" i="7"/>
  <c r="BQ292" i="7" a="1"/>
  <c r="BQ292" i="7"/>
  <c r="BQ293" i="7" a="1"/>
  <c r="BQ293" i="7"/>
  <c r="BQ294" i="7" a="1"/>
  <c r="BQ294" i="7"/>
  <c r="BQ295" i="7" a="1"/>
  <c r="BQ295" i="7"/>
  <c r="BQ296" i="7" a="1"/>
  <c r="BQ296" i="7"/>
  <c r="BQ297" i="7" a="1"/>
  <c r="BQ297" i="7"/>
  <c r="BQ298" i="7" a="1"/>
  <c r="BQ298" i="7"/>
  <c r="BQ299" i="7" a="1"/>
  <c r="BQ299" i="7"/>
  <c r="BQ300" i="7" a="1"/>
  <c r="BQ300" i="7"/>
  <c r="BQ301" i="7" a="1"/>
  <c r="BQ301" i="7"/>
  <c r="BQ302" i="7" a="1"/>
  <c r="BQ302" i="7"/>
  <c r="BQ303" i="7" a="1"/>
  <c r="BQ303" i="7"/>
  <c r="BQ304" i="7" a="1"/>
  <c r="BQ304" i="7"/>
  <c r="BQ305" i="7" a="1"/>
  <c r="BQ305" i="7"/>
  <c r="BQ306" i="7" a="1"/>
  <c r="BQ306" i="7"/>
  <c r="BQ307" i="7" a="1"/>
  <c r="BQ307" i="7"/>
  <c r="BQ308" i="7" a="1"/>
  <c r="BQ308" i="7"/>
  <c r="BQ309" i="7" a="1"/>
  <c r="BQ309" i="7"/>
  <c r="BQ310" i="7" a="1"/>
  <c r="BQ310" i="7"/>
  <c r="BQ311" i="7" a="1"/>
  <c r="BQ311" i="7"/>
  <c r="BQ312" i="7" a="1"/>
  <c r="BQ312" i="7"/>
  <c r="BQ313" i="7" a="1"/>
  <c r="BQ313" i="7"/>
  <c r="BQ314" i="7" a="1"/>
  <c r="BQ314" i="7"/>
  <c r="BQ315" i="7" a="1"/>
  <c r="BQ315" i="7"/>
  <c r="BQ316" i="7" a="1"/>
  <c r="BQ316" i="7"/>
  <c r="BQ317" i="7" a="1"/>
  <c r="BQ317" i="7"/>
  <c r="BQ318" i="7" a="1"/>
  <c r="BQ318" i="7"/>
  <c r="BQ319" i="7" a="1"/>
  <c r="BQ319" i="7"/>
  <c r="BQ320" i="7" a="1"/>
  <c r="BQ320" i="7"/>
  <c r="BQ321" i="7" a="1"/>
  <c r="BQ321" i="7"/>
  <c r="BQ322" i="7" a="1"/>
  <c r="BQ322" i="7"/>
  <c r="BQ323" i="7" a="1"/>
  <c r="BQ323" i="7"/>
  <c r="BQ324" i="7" a="1"/>
  <c r="BQ324" i="7"/>
  <c r="BQ325" i="7" a="1"/>
  <c r="BQ325" i="7"/>
  <c r="BQ326" i="7" a="1"/>
  <c r="BQ326" i="7"/>
  <c r="BQ327" i="7" a="1"/>
  <c r="BQ327" i="7"/>
  <c r="BQ328" i="7" a="1"/>
  <c r="BQ328" i="7"/>
  <c r="BQ329" i="7" a="1"/>
  <c r="BQ329" i="7"/>
  <c r="BQ330" i="7" a="1"/>
  <c r="BQ330" i="7"/>
  <c r="BQ331" i="7" a="1"/>
  <c r="BQ331" i="7"/>
  <c r="BQ332" i="7" a="1"/>
  <c r="BQ332" i="7"/>
  <c r="BQ333" i="7" a="1"/>
  <c r="BQ333" i="7"/>
  <c r="BQ334" i="7" a="1"/>
  <c r="BQ334" i="7"/>
  <c r="BQ335" i="7" a="1"/>
  <c r="BQ335" i="7"/>
  <c r="BQ336" i="7" a="1"/>
  <c r="BQ336" i="7"/>
  <c r="BQ337" i="7" a="1"/>
  <c r="BQ337" i="7"/>
  <c r="BQ338" i="7" a="1"/>
  <c r="BQ338" i="7"/>
  <c r="BQ339" i="7" a="1"/>
  <c r="BQ339" i="7"/>
  <c r="BQ340" i="7" a="1"/>
  <c r="BQ340" i="7"/>
  <c r="BQ341" i="7" a="1"/>
  <c r="BQ341" i="7"/>
  <c r="BQ342" i="7" a="1"/>
  <c r="BQ342" i="7"/>
  <c r="BQ1" i="7" a="1"/>
  <c r="BQ1" i="7"/>
  <c r="BB3" i="7" a="1"/>
  <c r="BB3" i="7"/>
  <c r="BB4" i="7" a="1"/>
  <c r="BB4" i="7"/>
  <c r="BB5" i="7" a="1"/>
  <c r="BB5" i="7"/>
  <c r="BB6" i="7" a="1"/>
  <c r="BB6" i="7"/>
  <c r="BB7" i="7" a="1"/>
  <c r="BB7" i="7"/>
  <c r="BB8" i="7" a="1"/>
  <c r="BB8" i="7"/>
  <c r="BB9" i="7" a="1"/>
  <c r="BB9" i="7"/>
  <c r="BB10" i="7" a="1"/>
  <c r="BB10" i="7"/>
  <c r="BB11" i="7" a="1"/>
  <c r="BB11" i="7"/>
  <c r="BB12" i="7" a="1"/>
  <c r="BB12" i="7"/>
  <c r="BB13" i="7" a="1"/>
  <c r="BB13" i="7"/>
  <c r="BB14" i="7" a="1"/>
  <c r="BB14" i="7"/>
  <c r="BB15" i="7" a="1"/>
  <c r="BB15" i="7"/>
  <c r="BB16" i="7" a="1"/>
  <c r="BB16" i="7"/>
  <c r="BB17" i="7" a="1"/>
  <c r="BB17" i="7"/>
  <c r="BB18" i="7" a="1"/>
  <c r="BB18" i="7"/>
  <c r="BB19" i="7" a="1"/>
  <c r="BB19" i="7"/>
  <c r="BB20" i="7" a="1"/>
  <c r="BB20" i="7"/>
  <c r="BB21" i="7" a="1"/>
  <c r="BB21" i="7"/>
  <c r="BB22" i="7" a="1"/>
  <c r="BB22" i="7"/>
  <c r="BB23" i="7" a="1"/>
  <c r="BB23" i="7"/>
  <c r="BB24" i="7" a="1"/>
  <c r="BB24" i="7"/>
  <c r="BB25" i="7" a="1"/>
  <c r="BB25" i="7"/>
  <c r="BB26" i="7" a="1"/>
  <c r="BB26" i="7"/>
  <c r="BB27" i="7" a="1"/>
  <c r="BB27" i="7"/>
  <c r="BB28" i="7" a="1"/>
  <c r="BB28" i="7"/>
  <c r="BB29" i="7" a="1"/>
  <c r="BB29" i="7"/>
  <c r="BB30" i="7" a="1"/>
  <c r="BB30" i="7"/>
  <c r="BB31" i="7" a="1"/>
  <c r="BB31" i="7"/>
  <c r="BB32" i="7" a="1"/>
  <c r="BB32" i="7"/>
  <c r="BB33" i="7" a="1"/>
  <c r="BB33" i="7"/>
  <c r="BB34" i="7" a="1"/>
  <c r="BB34" i="7"/>
  <c r="BB35" i="7" a="1"/>
  <c r="BB35" i="7"/>
  <c r="BB36" i="7" a="1"/>
  <c r="BB36" i="7"/>
  <c r="BB37" i="7" a="1"/>
  <c r="BB37" i="7"/>
  <c r="BB38" i="7" a="1"/>
  <c r="BB38" i="7"/>
  <c r="BB39" i="7" a="1"/>
  <c r="BB39" i="7"/>
  <c r="BB40" i="7" a="1"/>
  <c r="BB40" i="7"/>
  <c r="BB41" i="7" a="1"/>
  <c r="BB41" i="7"/>
  <c r="BB42" i="7" a="1"/>
  <c r="BB42" i="7"/>
  <c r="BB43" i="7" a="1"/>
  <c r="BB43" i="7"/>
  <c r="BB44" i="7" a="1"/>
  <c r="BB44" i="7"/>
  <c r="BB45" i="7" a="1"/>
  <c r="BB45" i="7"/>
  <c r="BB46" i="7" a="1"/>
  <c r="BB46" i="7"/>
  <c r="BB47" i="7" a="1"/>
  <c r="BB47" i="7"/>
  <c r="BB48" i="7" a="1"/>
  <c r="BB48" i="7"/>
  <c r="BB49" i="7" a="1"/>
  <c r="BB49" i="7"/>
  <c r="BB50" i="7" a="1"/>
  <c r="BB50" i="7"/>
  <c r="BB51" i="7" a="1"/>
  <c r="BB51" i="7"/>
  <c r="BB52" i="7" a="1"/>
  <c r="BB52" i="7"/>
  <c r="BB53" i="7" a="1"/>
  <c r="BB53" i="7"/>
  <c r="BB54" i="7" a="1"/>
  <c r="BB54" i="7"/>
  <c r="BB55" i="7" a="1"/>
  <c r="BB55" i="7"/>
  <c r="BB56" i="7" a="1"/>
  <c r="BB56" i="7"/>
  <c r="BB57" i="7" a="1"/>
  <c r="BB57" i="7"/>
  <c r="BB58" i="7" a="1"/>
  <c r="BB58" i="7"/>
  <c r="BB59" i="7" a="1"/>
  <c r="BB59" i="7"/>
  <c r="BB60" i="7" a="1"/>
  <c r="BB60" i="7"/>
  <c r="BB61" i="7" a="1"/>
  <c r="BB61" i="7"/>
  <c r="BB62" i="7" a="1"/>
  <c r="BB62" i="7"/>
  <c r="BB63" i="7" a="1"/>
  <c r="BB63" i="7"/>
  <c r="BB64" i="7" a="1"/>
  <c r="BB64" i="7"/>
  <c r="BB65" i="7" a="1"/>
  <c r="BB65" i="7"/>
  <c r="BB66" i="7" a="1"/>
  <c r="BB66" i="7"/>
  <c r="BB67" i="7" a="1"/>
  <c r="BB67" i="7"/>
  <c r="BB68" i="7" a="1"/>
  <c r="BB68" i="7"/>
  <c r="BB69" i="7" a="1"/>
  <c r="BB69" i="7"/>
  <c r="BB70" i="7" a="1"/>
  <c r="BB70" i="7"/>
  <c r="BB71" i="7" a="1"/>
  <c r="BB71" i="7"/>
  <c r="BB72" i="7" a="1"/>
  <c r="BB72" i="7"/>
  <c r="BB73" i="7" a="1"/>
  <c r="BB73" i="7"/>
  <c r="BB74" i="7" a="1"/>
  <c r="BB74" i="7"/>
  <c r="BB75" i="7" a="1"/>
  <c r="BB75" i="7"/>
  <c r="BB76" i="7" a="1"/>
  <c r="BB76" i="7"/>
  <c r="BB77" i="7" a="1"/>
  <c r="BB77" i="7"/>
  <c r="BB78" i="7" a="1"/>
  <c r="BB78" i="7"/>
  <c r="BB79" i="7" a="1"/>
  <c r="BB79" i="7"/>
  <c r="BB80" i="7" a="1"/>
  <c r="BB80" i="7"/>
  <c r="BB81" i="7" a="1"/>
  <c r="BB81" i="7"/>
  <c r="BB82" i="7" a="1"/>
  <c r="BB82" i="7"/>
  <c r="BB83" i="7" a="1"/>
  <c r="BB83" i="7"/>
  <c r="BB84" i="7" a="1"/>
  <c r="BB84" i="7"/>
  <c r="BB85" i="7" a="1"/>
  <c r="BB85" i="7"/>
  <c r="BB86" i="7" a="1"/>
  <c r="BB86" i="7"/>
  <c r="BB87" i="7" a="1"/>
  <c r="BB87" i="7"/>
  <c r="BB88" i="7" a="1"/>
  <c r="BB88" i="7"/>
  <c r="BB89" i="7" a="1"/>
  <c r="BB89" i="7"/>
  <c r="BB90" i="7" a="1"/>
  <c r="BB90" i="7"/>
  <c r="BB91" i="7" a="1"/>
  <c r="BB91" i="7"/>
  <c r="BB92" i="7" a="1"/>
  <c r="BB92" i="7"/>
  <c r="BB93" i="7" a="1"/>
  <c r="BB93" i="7"/>
  <c r="BB94" i="7" a="1"/>
  <c r="BB94" i="7"/>
  <c r="BB95" i="7" a="1"/>
  <c r="BB95" i="7"/>
  <c r="BB96" i="7" a="1"/>
  <c r="BB96" i="7"/>
  <c r="BB97" i="7" a="1"/>
  <c r="BB97" i="7"/>
  <c r="BB98" i="7" a="1"/>
  <c r="BB98" i="7"/>
  <c r="BB99" i="7" a="1"/>
  <c r="BB99" i="7"/>
  <c r="BB100" i="7" a="1"/>
  <c r="BB100" i="7"/>
  <c r="BB101" i="7" a="1"/>
  <c r="BB101" i="7"/>
  <c r="BB102" i="7" a="1"/>
  <c r="BB102" i="7"/>
  <c r="BB103" i="7" a="1"/>
  <c r="BB103" i="7"/>
  <c r="BB104" i="7" a="1"/>
  <c r="BB104" i="7"/>
  <c r="BB105" i="7" a="1"/>
  <c r="BB105" i="7"/>
  <c r="BB106" i="7" a="1"/>
  <c r="BB106" i="7"/>
  <c r="BB107" i="7" a="1"/>
  <c r="BB107" i="7"/>
  <c r="BB108" i="7" a="1"/>
  <c r="BB108" i="7"/>
  <c r="BB109" i="7" a="1"/>
  <c r="BB109" i="7"/>
  <c r="BB110" i="7" a="1"/>
  <c r="BB110" i="7"/>
  <c r="BB111" i="7" a="1"/>
  <c r="BB111" i="7"/>
  <c r="BB112" i="7" a="1"/>
  <c r="BB112" i="7"/>
  <c r="BB113" i="7" a="1"/>
  <c r="BB113" i="7"/>
  <c r="BB114" i="7" a="1"/>
  <c r="BB114" i="7"/>
  <c r="BB115" i="7" a="1"/>
  <c r="BB115" i="7"/>
  <c r="BB116" i="7" a="1"/>
  <c r="BB116" i="7"/>
  <c r="BB117" i="7" a="1"/>
  <c r="BB117" i="7"/>
  <c r="BB118" i="7" a="1"/>
  <c r="BB118" i="7"/>
  <c r="BB119" i="7" a="1"/>
  <c r="BB119" i="7"/>
  <c r="BB120" i="7" a="1"/>
  <c r="BB120" i="7"/>
  <c r="BB121" i="7" a="1"/>
  <c r="BB121" i="7"/>
  <c r="BB122" i="7" a="1"/>
  <c r="BB122" i="7"/>
  <c r="BB123" i="7" a="1"/>
  <c r="BB123" i="7"/>
  <c r="BB124" i="7" a="1"/>
  <c r="BB124" i="7"/>
  <c r="BB125" i="7" a="1"/>
  <c r="BB125" i="7"/>
  <c r="BB126" i="7" a="1"/>
  <c r="BB126" i="7"/>
  <c r="BB127" i="7" a="1"/>
  <c r="BB127" i="7"/>
  <c r="BB128" i="7" a="1"/>
  <c r="BB128" i="7"/>
  <c r="BB129" i="7" a="1"/>
  <c r="BB129" i="7"/>
  <c r="BB130" i="7" a="1"/>
  <c r="BB130" i="7"/>
  <c r="BB131" i="7" a="1"/>
  <c r="BB131" i="7"/>
  <c r="BB132" i="7" a="1"/>
  <c r="BB132" i="7"/>
  <c r="BB133" i="7" a="1"/>
  <c r="BB133" i="7"/>
  <c r="BB134" i="7" a="1"/>
  <c r="BB134" i="7"/>
  <c r="BB135" i="7" a="1"/>
  <c r="BB135" i="7"/>
  <c r="BB136" i="7" a="1"/>
  <c r="BB136" i="7"/>
  <c r="BB137" i="7" a="1"/>
  <c r="BB137" i="7"/>
  <c r="BB138" i="7" a="1"/>
  <c r="BB138" i="7"/>
  <c r="BB139" i="7" a="1"/>
  <c r="BB139" i="7"/>
  <c r="BB140" i="7" a="1"/>
  <c r="BB140" i="7"/>
  <c r="BB141" i="7" a="1"/>
  <c r="BB141" i="7"/>
  <c r="BB142" i="7" a="1"/>
  <c r="BB142" i="7"/>
  <c r="BB143" i="7" a="1"/>
  <c r="BB143" i="7"/>
  <c r="BB144" i="7" a="1"/>
  <c r="BB144" i="7"/>
  <c r="BB145" i="7" a="1"/>
  <c r="BB145" i="7"/>
  <c r="BB146" i="7" a="1"/>
  <c r="BB146" i="7"/>
  <c r="BB147" i="7" a="1"/>
  <c r="BB147" i="7"/>
  <c r="BB148" i="7" a="1"/>
  <c r="BB148" i="7"/>
  <c r="BB149" i="7" a="1"/>
  <c r="BB149" i="7"/>
  <c r="BB150" i="7" a="1"/>
  <c r="BB150" i="7"/>
  <c r="BB151" i="7" a="1"/>
  <c r="BB151" i="7"/>
  <c r="BB152" i="7" a="1"/>
  <c r="BB152" i="7"/>
  <c r="BB153" i="7" a="1"/>
  <c r="BB153" i="7"/>
  <c r="BB154" i="7" a="1"/>
  <c r="BB154" i="7"/>
  <c r="BB155" i="7" a="1"/>
  <c r="BB155" i="7"/>
  <c r="BB156" i="7" a="1"/>
  <c r="BB156" i="7"/>
  <c r="BB157" i="7" a="1"/>
  <c r="BB157" i="7"/>
  <c r="BB158" i="7" a="1"/>
  <c r="BB158" i="7"/>
  <c r="BB159" i="7" a="1"/>
  <c r="BB159" i="7"/>
  <c r="BB160" i="7" a="1"/>
  <c r="BB160" i="7"/>
  <c r="BB161" i="7" a="1"/>
  <c r="BB161" i="7"/>
  <c r="BB162" i="7" a="1"/>
  <c r="BB162" i="7"/>
  <c r="BB163" i="7" a="1"/>
  <c r="BB163" i="7"/>
  <c r="BB164" i="7" a="1"/>
  <c r="BB164" i="7"/>
  <c r="BB165" i="7" a="1"/>
  <c r="BB165" i="7"/>
  <c r="BB166" i="7" a="1"/>
  <c r="BB166" i="7"/>
  <c r="BB167" i="7" a="1"/>
  <c r="BB167" i="7"/>
  <c r="BB168" i="7" a="1"/>
  <c r="BB168" i="7"/>
  <c r="BB169" i="7" a="1"/>
  <c r="BB169" i="7"/>
  <c r="BB170" i="7" a="1"/>
  <c r="BB170" i="7"/>
  <c r="BB171" i="7" a="1"/>
  <c r="BB171" i="7"/>
  <c r="BB172" i="7" a="1"/>
  <c r="BB172" i="7"/>
  <c r="BB173" i="7" a="1"/>
  <c r="BB173" i="7"/>
  <c r="BB174" i="7" a="1"/>
  <c r="BB174" i="7"/>
  <c r="BB175" i="7" a="1"/>
  <c r="BB175" i="7"/>
  <c r="BB176" i="7" a="1"/>
  <c r="BB176" i="7"/>
  <c r="BB177" i="7" a="1"/>
  <c r="BB177" i="7"/>
  <c r="BB178" i="7" a="1"/>
  <c r="BB178" i="7"/>
  <c r="BB179" i="7" a="1"/>
  <c r="BB179" i="7"/>
  <c r="BB180" i="7" a="1"/>
  <c r="BB180" i="7"/>
  <c r="BB181" i="7" a="1"/>
  <c r="BB181" i="7"/>
  <c r="BB182" i="7" a="1"/>
  <c r="BB182" i="7"/>
  <c r="BB183" i="7" a="1"/>
  <c r="BB183" i="7"/>
  <c r="BB184" i="7" a="1"/>
  <c r="BB184" i="7"/>
  <c r="BB185" i="7" a="1"/>
  <c r="BB185" i="7"/>
  <c r="BB186" i="7" a="1"/>
  <c r="BB186" i="7"/>
  <c r="BB187" i="7" a="1"/>
  <c r="BB187" i="7"/>
  <c r="BB188" i="7" a="1"/>
  <c r="BB188" i="7"/>
  <c r="BB189" i="7" a="1"/>
  <c r="BB189" i="7"/>
  <c r="BB190" i="7" a="1"/>
  <c r="BB190" i="7"/>
  <c r="BB191" i="7" a="1"/>
  <c r="BB191" i="7"/>
  <c r="BB192" i="7" a="1"/>
  <c r="BB192" i="7"/>
  <c r="BB193" i="7" a="1"/>
  <c r="BB193" i="7"/>
  <c r="BB194" i="7" a="1"/>
  <c r="BB194" i="7"/>
  <c r="BB195" i="7" a="1"/>
  <c r="BB195" i="7"/>
  <c r="BB196" i="7" a="1"/>
  <c r="BB196" i="7"/>
  <c r="BB197" i="7" a="1"/>
  <c r="BB197" i="7"/>
  <c r="BB198" i="7" a="1"/>
  <c r="BB198" i="7"/>
  <c r="BB199" i="7" a="1"/>
  <c r="BB199" i="7"/>
  <c r="BB200" i="7" a="1"/>
  <c r="BB200" i="7"/>
  <c r="BB201" i="7" a="1"/>
  <c r="BB201" i="7"/>
  <c r="BB202" i="7" a="1"/>
  <c r="BB202" i="7"/>
  <c r="BB203" i="7" a="1"/>
  <c r="BB203" i="7"/>
  <c r="BB204" i="7" a="1"/>
  <c r="BB204" i="7"/>
  <c r="BB205" i="7" a="1"/>
  <c r="BB205" i="7"/>
  <c r="BB206" i="7" a="1"/>
  <c r="BB206" i="7"/>
  <c r="BB207" i="7" a="1"/>
  <c r="BB207" i="7"/>
  <c r="BB208" i="7" a="1"/>
  <c r="BB208" i="7"/>
  <c r="BB209" i="7" a="1"/>
  <c r="BB209" i="7"/>
  <c r="BB210" i="7" a="1"/>
  <c r="BB210" i="7"/>
  <c r="BB211" i="7" a="1"/>
  <c r="BB211" i="7"/>
  <c r="BB212" i="7" a="1"/>
  <c r="BB212" i="7"/>
  <c r="BB213" i="7" a="1"/>
  <c r="BB213" i="7"/>
  <c r="BB214" i="7" a="1"/>
  <c r="BB214" i="7"/>
  <c r="BB215" i="7" a="1"/>
  <c r="BB215" i="7"/>
  <c r="BB216" i="7" a="1"/>
  <c r="BB216" i="7"/>
  <c r="BB217" i="7" a="1"/>
  <c r="BB217" i="7"/>
  <c r="BB218" i="7" a="1"/>
  <c r="BB218" i="7"/>
  <c r="BB219" i="7" a="1"/>
  <c r="BB219" i="7"/>
  <c r="BB220" i="7" a="1"/>
  <c r="BB220" i="7"/>
  <c r="BB221" i="7" a="1"/>
  <c r="BB221" i="7"/>
  <c r="BB222" i="7" a="1"/>
  <c r="BB222" i="7"/>
  <c r="BB223" i="7" a="1"/>
  <c r="BB223" i="7"/>
  <c r="BB224" i="7" a="1"/>
  <c r="BB224" i="7"/>
  <c r="BB225" i="7" a="1"/>
  <c r="BB225" i="7"/>
  <c r="BB226" i="7" a="1"/>
  <c r="BB226" i="7"/>
  <c r="BB227" i="7" a="1"/>
  <c r="BB227" i="7"/>
  <c r="BB228" i="7" a="1"/>
  <c r="BB228" i="7"/>
  <c r="BB229" i="7" a="1"/>
  <c r="BB229" i="7"/>
  <c r="BB230" i="7" a="1"/>
  <c r="BB230" i="7"/>
  <c r="BB231" i="7" a="1"/>
  <c r="BB231" i="7"/>
  <c r="BB232" i="7" a="1"/>
  <c r="BB232" i="7"/>
  <c r="BB233" i="7" a="1"/>
  <c r="BB233" i="7"/>
  <c r="BB234" i="7" a="1"/>
  <c r="BB234" i="7"/>
  <c r="BB235" i="7" a="1"/>
  <c r="BB235" i="7"/>
  <c r="BB236" i="7" a="1"/>
  <c r="BB236" i="7"/>
  <c r="BB237" i="7" a="1"/>
  <c r="BB237" i="7"/>
  <c r="BB238" i="7" a="1"/>
  <c r="BB238" i="7"/>
  <c r="BB239" i="7" a="1"/>
  <c r="BB239" i="7"/>
  <c r="BB240" i="7" a="1"/>
  <c r="BB240" i="7"/>
  <c r="BB241" i="7" a="1"/>
  <c r="BB241" i="7"/>
  <c r="BB242" i="7" a="1"/>
  <c r="BB242" i="7"/>
  <c r="BB243" i="7" a="1"/>
  <c r="BB243" i="7"/>
  <c r="BB244" i="7" a="1"/>
  <c r="BB244" i="7"/>
  <c r="BB245" i="7" a="1"/>
  <c r="BB245" i="7"/>
  <c r="BB246" i="7" a="1"/>
  <c r="BB246" i="7"/>
  <c r="BB247" i="7" a="1"/>
  <c r="BB247" i="7"/>
  <c r="BB248" i="7" a="1"/>
  <c r="BB248" i="7"/>
  <c r="BB249" i="7" a="1"/>
  <c r="BB249" i="7"/>
  <c r="BB250" i="7" a="1"/>
  <c r="BB250" i="7"/>
  <c r="BB251" i="7" a="1"/>
  <c r="BB251" i="7"/>
  <c r="BB252" i="7" a="1"/>
  <c r="BB252" i="7"/>
  <c r="BB253" i="7" a="1"/>
  <c r="BB253" i="7"/>
  <c r="BB254" i="7" a="1"/>
  <c r="BB254" i="7"/>
  <c r="BB255" i="7" a="1"/>
  <c r="BB255" i="7"/>
  <c r="BB256" i="7" a="1"/>
  <c r="BB256" i="7"/>
  <c r="BB257" i="7" a="1"/>
  <c r="BB257" i="7"/>
  <c r="BB258" i="7" a="1"/>
  <c r="BB258" i="7"/>
  <c r="BB259" i="7" a="1"/>
  <c r="BB259" i="7"/>
  <c r="BB260" i="7" a="1"/>
  <c r="BB260" i="7"/>
  <c r="BB261" i="7" a="1"/>
  <c r="BB261" i="7"/>
  <c r="BB262" i="7" a="1"/>
  <c r="BB262" i="7"/>
  <c r="BB263" i="7" a="1"/>
  <c r="BB263" i="7"/>
  <c r="BB264" i="7" a="1"/>
  <c r="BB264" i="7"/>
  <c r="BB265" i="7" a="1"/>
  <c r="BB265" i="7"/>
  <c r="BB266" i="7" a="1"/>
  <c r="BB266" i="7"/>
  <c r="BB267" i="7" a="1"/>
  <c r="BB267" i="7"/>
  <c r="BB268" i="7" a="1"/>
  <c r="BB268" i="7"/>
  <c r="BB269" i="7" a="1"/>
  <c r="BB269" i="7"/>
  <c r="BB270" i="7" a="1"/>
  <c r="BB270" i="7"/>
  <c r="BB271" i="7" a="1"/>
  <c r="BB271" i="7"/>
  <c r="BB272" i="7" a="1"/>
  <c r="BB272" i="7"/>
  <c r="BB273" i="7" a="1"/>
  <c r="BB273" i="7"/>
  <c r="BB274" i="7" a="1"/>
  <c r="BB274" i="7"/>
  <c r="BB275" i="7" a="1"/>
  <c r="BB275" i="7"/>
  <c r="BB276" i="7" a="1"/>
  <c r="BB276" i="7"/>
  <c r="BB277" i="7" a="1"/>
  <c r="BB277" i="7"/>
  <c r="BB278" i="7" a="1"/>
  <c r="BB278" i="7"/>
  <c r="BB279" i="7" a="1"/>
  <c r="BB279" i="7"/>
  <c r="BB280" i="7" a="1"/>
  <c r="BB280" i="7"/>
  <c r="BB281" i="7" a="1"/>
  <c r="BB281" i="7"/>
  <c r="BB282" i="7" a="1"/>
  <c r="BB282" i="7"/>
  <c r="BB283" i="7" a="1"/>
  <c r="BB283" i="7"/>
  <c r="BB284" i="7" a="1"/>
  <c r="BB284" i="7"/>
  <c r="BB285" i="7" a="1"/>
  <c r="BB285" i="7"/>
  <c r="BB286" i="7" a="1"/>
  <c r="BB286" i="7"/>
  <c r="BB287" i="7" a="1"/>
  <c r="BB287" i="7"/>
  <c r="BB288" i="7" a="1"/>
  <c r="BB288" i="7"/>
  <c r="BB289" i="7" a="1"/>
  <c r="BB289" i="7"/>
  <c r="BB290" i="7" a="1"/>
  <c r="BB290" i="7"/>
  <c r="BB291" i="7" a="1"/>
  <c r="BB291" i="7"/>
  <c r="BB292" i="7" a="1"/>
  <c r="BB292" i="7"/>
  <c r="BB293" i="7" a="1"/>
  <c r="BB293" i="7"/>
  <c r="BB294" i="7" a="1"/>
  <c r="BB294" i="7"/>
  <c r="BB295" i="7" a="1"/>
  <c r="BB295" i="7"/>
  <c r="BB296" i="7" a="1"/>
  <c r="BB296" i="7"/>
  <c r="BB297" i="7" a="1"/>
  <c r="BB297" i="7"/>
  <c r="BB298" i="7" a="1"/>
  <c r="BB298" i="7"/>
  <c r="BB299" i="7" a="1"/>
  <c r="BB299" i="7"/>
  <c r="BB300" i="7" a="1"/>
  <c r="BB300" i="7"/>
  <c r="BB301" i="7" a="1"/>
  <c r="BB301" i="7"/>
  <c r="BB302" i="7" a="1"/>
  <c r="BB302" i="7"/>
  <c r="BB303" i="7" a="1"/>
  <c r="BB303" i="7"/>
  <c r="BB304" i="7" a="1"/>
  <c r="BB304" i="7"/>
  <c r="BB305" i="7" a="1"/>
  <c r="BB305" i="7"/>
  <c r="BB306" i="7" a="1"/>
  <c r="BB306" i="7"/>
  <c r="BB307" i="7" a="1"/>
  <c r="BB307" i="7"/>
  <c r="BB308" i="7" a="1"/>
  <c r="BB308" i="7"/>
  <c r="BB309" i="7" a="1"/>
  <c r="BB309" i="7"/>
  <c r="BB310" i="7" a="1"/>
  <c r="BB310" i="7"/>
  <c r="BB311" i="7" a="1"/>
  <c r="BB311" i="7"/>
  <c r="BB312" i="7" a="1"/>
  <c r="BB312" i="7"/>
  <c r="BB313" i="7" a="1"/>
  <c r="BB313" i="7"/>
  <c r="BB314" i="7" a="1"/>
  <c r="BB314" i="7"/>
  <c r="BB315" i="7" a="1"/>
  <c r="BB315" i="7"/>
  <c r="BB316" i="7" a="1"/>
  <c r="BB316" i="7"/>
  <c r="BB317" i="7" a="1"/>
  <c r="BB317" i="7"/>
  <c r="BB318" i="7" a="1"/>
  <c r="BB318" i="7"/>
  <c r="BB319" i="7" a="1"/>
  <c r="BB319" i="7"/>
  <c r="BB320" i="7" a="1"/>
  <c r="BB320" i="7"/>
  <c r="BB321" i="7" a="1"/>
  <c r="BB321" i="7"/>
  <c r="BB322" i="7" a="1"/>
  <c r="BB322" i="7"/>
  <c r="BB323" i="7" a="1"/>
  <c r="BB323" i="7"/>
  <c r="BB324" i="7" a="1"/>
  <c r="BB324" i="7"/>
  <c r="BB325" i="7" a="1"/>
  <c r="BB325" i="7"/>
  <c r="BB326" i="7" a="1"/>
  <c r="BB326" i="7"/>
  <c r="BB327" i="7" a="1"/>
  <c r="BB327" i="7"/>
  <c r="BB328" i="7" a="1"/>
  <c r="BB328" i="7"/>
  <c r="BB329" i="7" a="1"/>
  <c r="BB329" i="7"/>
  <c r="BB330" i="7" a="1"/>
  <c r="BB330" i="7"/>
  <c r="BB331" i="7" a="1"/>
  <c r="BB331" i="7"/>
  <c r="BB332" i="7" a="1"/>
  <c r="BB332" i="7"/>
  <c r="BB333" i="7" a="1"/>
  <c r="BB333" i="7"/>
  <c r="BB334" i="7" a="1"/>
  <c r="BB334" i="7"/>
  <c r="BB335" i="7" a="1"/>
  <c r="BB335" i="7"/>
  <c r="BB336" i="7" a="1"/>
  <c r="BB336" i="7"/>
  <c r="BB337" i="7" a="1"/>
  <c r="BB337" i="7"/>
  <c r="BB338" i="7" a="1"/>
  <c r="BB338" i="7"/>
  <c r="BB339" i="7" a="1"/>
  <c r="BB339" i="7"/>
  <c r="BB340" i="7" a="1"/>
  <c r="BB340" i="7"/>
  <c r="BB341" i="7" a="1"/>
  <c r="BB341" i="7"/>
  <c r="BB342" i="7" a="1"/>
  <c r="BB342" i="7"/>
  <c r="BB1" i="7" a="1"/>
  <c r="BB1" i="7"/>
  <c r="BB2" i="7" a="1"/>
  <c r="BB2" i="7"/>
  <c r="AS3" i="7" a="1"/>
  <c r="AS3" i="7"/>
  <c r="AS4" i="7" a="1"/>
  <c r="AS4" i="7"/>
  <c r="AS5" i="7" a="1"/>
  <c r="AS5" i="7"/>
  <c r="AS6" i="7" a="1"/>
  <c r="AS6" i="7"/>
  <c r="AS7" i="7" a="1"/>
  <c r="AS7" i="7"/>
  <c r="AS8" i="7" a="1"/>
  <c r="AS8" i="7"/>
  <c r="AS9" i="7" a="1"/>
  <c r="AS9" i="7"/>
  <c r="AS10" i="7" a="1"/>
  <c r="AS10" i="7"/>
  <c r="AS11" i="7" a="1"/>
  <c r="AS11" i="7"/>
  <c r="AS12" i="7" a="1"/>
  <c r="AS12" i="7"/>
  <c r="AS13" i="7" a="1"/>
  <c r="AS13" i="7"/>
  <c r="AS14" i="7" a="1"/>
  <c r="AS14" i="7"/>
  <c r="AS15" i="7" a="1"/>
  <c r="AS15" i="7"/>
  <c r="AS16" i="7" a="1"/>
  <c r="AS16" i="7"/>
  <c r="AS17" i="7" a="1"/>
  <c r="AS17" i="7"/>
  <c r="AS18" i="7" a="1"/>
  <c r="AS18" i="7"/>
  <c r="AS19" i="7" a="1"/>
  <c r="AS19" i="7"/>
  <c r="AS20" i="7" a="1"/>
  <c r="AS20" i="7"/>
  <c r="AS21" i="7" a="1"/>
  <c r="AS21" i="7"/>
  <c r="AS22" i="7" a="1"/>
  <c r="AS22" i="7"/>
  <c r="AS23" i="7" a="1"/>
  <c r="AS23" i="7"/>
  <c r="AS24" i="7" a="1"/>
  <c r="AS24" i="7"/>
  <c r="AS25" i="7" a="1"/>
  <c r="AS25" i="7"/>
  <c r="AS26" i="7" a="1"/>
  <c r="AS26" i="7"/>
  <c r="AS27" i="7" a="1"/>
  <c r="AS27" i="7"/>
  <c r="AS28" i="7" a="1"/>
  <c r="AS28" i="7"/>
  <c r="AS29" i="7" a="1"/>
  <c r="AS29" i="7"/>
  <c r="AS30" i="7" a="1"/>
  <c r="AS30" i="7"/>
  <c r="AS31" i="7" a="1"/>
  <c r="AS31" i="7"/>
  <c r="AS32" i="7" a="1"/>
  <c r="AS32" i="7"/>
  <c r="AS33" i="7" a="1"/>
  <c r="AS33" i="7"/>
  <c r="AS34" i="7" a="1"/>
  <c r="AS34" i="7"/>
  <c r="AS35" i="7" a="1"/>
  <c r="AS35" i="7"/>
  <c r="AS36" i="7" a="1"/>
  <c r="AS36" i="7"/>
  <c r="AS37" i="7" a="1"/>
  <c r="AS37" i="7"/>
  <c r="AS38" i="7" a="1"/>
  <c r="AS38" i="7"/>
  <c r="AS39" i="7" a="1"/>
  <c r="AS39" i="7"/>
  <c r="AS40" i="7" a="1"/>
  <c r="AS40" i="7"/>
  <c r="AS41" i="7" a="1"/>
  <c r="AS41" i="7"/>
  <c r="AS42" i="7" a="1"/>
  <c r="AS42" i="7"/>
  <c r="AS43" i="7" a="1"/>
  <c r="AS43" i="7"/>
  <c r="AS44" i="7" a="1"/>
  <c r="AS44" i="7"/>
  <c r="AS45" i="7" a="1"/>
  <c r="AS45" i="7"/>
  <c r="AS46" i="7" a="1"/>
  <c r="AS46" i="7"/>
  <c r="AS47" i="7" a="1"/>
  <c r="AS47" i="7"/>
  <c r="AS48" i="7" a="1"/>
  <c r="AS48" i="7"/>
  <c r="AS49" i="7" a="1"/>
  <c r="AS49" i="7"/>
  <c r="AS50" i="7" a="1"/>
  <c r="AS50" i="7"/>
  <c r="AS51" i="7" a="1"/>
  <c r="AS51" i="7"/>
  <c r="AS52" i="7" a="1"/>
  <c r="AS52" i="7"/>
  <c r="AS53" i="7" a="1"/>
  <c r="AS53" i="7"/>
  <c r="AS54" i="7" a="1"/>
  <c r="AS54" i="7"/>
  <c r="AS55" i="7" a="1"/>
  <c r="AS55" i="7"/>
  <c r="AS56" i="7" a="1"/>
  <c r="AS56" i="7"/>
  <c r="AS57" i="7" a="1"/>
  <c r="AS57" i="7"/>
  <c r="AS58" i="7" a="1"/>
  <c r="AS58" i="7"/>
  <c r="AS59" i="7" a="1"/>
  <c r="AS59" i="7"/>
  <c r="AS60" i="7" a="1"/>
  <c r="AS60" i="7"/>
  <c r="AS61" i="7" a="1"/>
  <c r="AS61" i="7"/>
  <c r="AS62" i="7" a="1"/>
  <c r="AS62" i="7"/>
  <c r="AS63" i="7" a="1"/>
  <c r="AS63" i="7"/>
  <c r="AS64" i="7" a="1"/>
  <c r="AS64" i="7"/>
  <c r="AS65" i="7" a="1"/>
  <c r="AS65" i="7"/>
  <c r="AS66" i="7" a="1"/>
  <c r="AS66" i="7"/>
  <c r="AS67" i="7" a="1"/>
  <c r="AS67" i="7"/>
  <c r="AS68" i="7" a="1"/>
  <c r="AS68" i="7"/>
  <c r="AS69" i="7" a="1"/>
  <c r="AS69" i="7"/>
  <c r="AS70" i="7" a="1"/>
  <c r="AS70" i="7"/>
  <c r="AS71" i="7" a="1"/>
  <c r="AS71" i="7"/>
  <c r="AS72" i="7" a="1"/>
  <c r="AS72" i="7"/>
  <c r="AS73" i="7" a="1"/>
  <c r="AS73" i="7"/>
  <c r="AS74" i="7" a="1"/>
  <c r="AS74" i="7"/>
  <c r="AS75" i="7" a="1"/>
  <c r="AS75" i="7"/>
  <c r="AS76" i="7" a="1"/>
  <c r="AS76" i="7"/>
  <c r="AS77" i="7" a="1"/>
  <c r="AS77" i="7"/>
  <c r="AS78" i="7" a="1"/>
  <c r="AS78" i="7"/>
  <c r="AS79" i="7" a="1"/>
  <c r="AS79" i="7"/>
  <c r="AS80" i="7" a="1"/>
  <c r="AS80" i="7"/>
  <c r="AS81" i="7" a="1"/>
  <c r="AS81" i="7"/>
  <c r="AS82" i="7" a="1"/>
  <c r="AS82" i="7"/>
  <c r="AS83" i="7" a="1"/>
  <c r="AS83" i="7"/>
  <c r="AS84" i="7" a="1"/>
  <c r="AS84" i="7"/>
  <c r="AS85" i="7" a="1"/>
  <c r="AS85" i="7"/>
  <c r="AS86" i="7" a="1"/>
  <c r="AS86" i="7"/>
  <c r="AS87" i="7" a="1"/>
  <c r="AS87" i="7"/>
  <c r="AS88" i="7" a="1"/>
  <c r="AS88" i="7"/>
  <c r="AS89" i="7" a="1"/>
  <c r="AS89" i="7"/>
  <c r="AS90" i="7" a="1"/>
  <c r="AS90" i="7"/>
  <c r="AS91" i="7" a="1"/>
  <c r="AS91" i="7"/>
  <c r="AS92" i="7" a="1"/>
  <c r="AS92" i="7"/>
  <c r="AS93" i="7" a="1"/>
  <c r="AS93" i="7"/>
  <c r="AS94" i="7" a="1"/>
  <c r="AS94" i="7"/>
  <c r="AS95" i="7" a="1"/>
  <c r="AS95" i="7"/>
  <c r="AS96" i="7" a="1"/>
  <c r="AS96" i="7"/>
  <c r="AS97" i="7" a="1"/>
  <c r="AS97" i="7"/>
  <c r="AS98" i="7" a="1"/>
  <c r="AS98" i="7"/>
  <c r="AS99" i="7" a="1"/>
  <c r="AS99" i="7"/>
  <c r="AS100" i="7" a="1"/>
  <c r="AS100" i="7"/>
  <c r="AS101" i="7" a="1"/>
  <c r="AS101" i="7"/>
  <c r="AS102" i="7" a="1"/>
  <c r="AS102" i="7"/>
  <c r="AS103" i="7" a="1"/>
  <c r="AS103" i="7"/>
  <c r="AS104" i="7" a="1"/>
  <c r="AS104" i="7"/>
  <c r="AS105" i="7" a="1"/>
  <c r="AS105" i="7"/>
  <c r="AS106" i="7" a="1"/>
  <c r="AS106" i="7"/>
  <c r="AS107" i="7" a="1"/>
  <c r="AS107" i="7"/>
  <c r="AS108" i="7" a="1"/>
  <c r="AS108" i="7"/>
  <c r="AS109" i="7" a="1"/>
  <c r="AS109" i="7"/>
  <c r="AS110" i="7" a="1"/>
  <c r="AS110" i="7"/>
  <c r="AS111" i="7" a="1"/>
  <c r="AS111" i="7"/>
  <c r="AS112" i="7" a="1"/>
  <c r="AS112" i="7"/>
  <c r="AS113" i="7" a="1"/>
  <c r="AS113" i="7"/>
  <c r="AS114" i="7" a="1"/>
  <c r="AS114" i="7"/>
  <c r="AS115" i="7" a="1"/>
  <c r="AS115" i="7"/>
  <c r="AS116" i="7" a="1"/>
  <c r="AS116" i="7"/>
  <c r="AS117" i="7" a="1"/>
  <c r="AS117" i="7"/>
  <c r="AS118" i="7" a="1"/>
  <c r="AS118" i="7"/>
  <c r="AS119" i="7" a="1"/>
  <c r="AS119" i="7"/>
  <c r="AS120" i="7" a="1"/>
  <c r="AS120" i="7"/>
  <c r="AS121" i="7" a="1"/>
  <c r="AS121" i="7"/>
  <c r="AS122" i="7" a="1"/>
  <c r="AS122" i="7"/>
  <c r="AS123" i="7" a="1"/>
  <c r="AS123" i="7"/>
  <c r="AS124" i="7" a="1"/>
  <c r="AS124" i="7"/>
  <c r="AS125" i="7" a="1"/>
  <c r="AS125" i="7"/>
  <c r="AS126" i="7" a="1"/>
  <c r="AS126" i="7"/>
  <c r="AS127" i="7" a="1"/>
  <c r="AS127" i="7"/>
  <c r="AS128" i="7" a="1"/>
  <c r="AS128" i="7"/>
  <c r="AS129" i="7" a="1"/>
  <c r="AS129" i="7"/>
  <c r="AS130" i="7" a="1"/>
  <c r="AS130" i="7"/>
  <c r="AS131" i="7" a="1"/>
  <c r="AS131" i="7"/>
  <c r="AS132" i="7" a="1"/>
  <c r="AS132" i="7"/>
  <c r="AS133" i="7" a="1"/>
  <c r="AS133" i="7"/>
  <c r="AS134" i="7" a="1"/>
  <c r="AS134" i="7"/>
  <c r="AS135" i="7" a="1"/>
  <c r="AS135" i="7"/>
  <c r="AS136" i="7" a="1"/>
  <c r="AS136" i="7"/>
  <c r="AS137" i="7" a="1"/>
  <c r="AS137" i="7"/>
  <c r="AS138" i="7" a="1"/>
  <c r="AS138" i="7"/>
  <c r="AS139" i="7" a="1"/>
  <c r="AS139" i="7"/>
  <c r="AS140" i="7" a="1"/>
  <c r="AS140" i="7"/>
  <c r="AS141" i="7" a="1"/>
  <c r="AS141" i="7"/>
  <c r="AS142" i="7" a="1"/>
  <c r="AS142" i="7"/>
  <c r="AS143" i="7" a="1"/>
  <c r="AS143" i="7"/>
  <c r="AS144" i="7" a="1"/>
  <c r="AS144" i="7"/>
  <c r="AS145" i="7" a="1"/>
  <c r="AS145" i="7"/>
  <c r="AS146" i="7" a="1"/>
  <c r="AS146" i="7"/>
  <c r="AS147" i="7" a="1"/>
  <c r="AS147" i="7"/>
  <c r="AS148" i="7" a="1"/>
  <c r="AS148" i="7"/>
  <c r="AS149" i="7" a="1"/>
  <c r="AS149" i="7"/>
  <c r="AS150" i="7" a="1"/>
  <c r="AS150" i="7"/>
  <c r="AS151" i="7" a="1"/>
  <c r="AS151" i="7"/>
  <c r="AS152" i="7" a="1"/>
  <c r="AS152" i="7"/>
  <c r="AS153" i="7" a="1"/>
  <c r="AS153" i="7"/>
  <c r="AS154" i="7" a="1"/>
  <c r="AS154" i="7"/>
  <c r="AS155" i="7" a="1"/>
  <c r="AS155" i="7"/>
  <c r="AS156" i="7" a="1"/>
  <c r="AS156" i="7"/>
  <c r="AS157" i="7" a="1"/>
  <c r="AS157" i="7"/>
  <c r="AS158" i="7" a="1"/>
  <c r="AS158" i="7"/>
  <c r="AS159" i="7" a="1"/>
  <c r="AS159" i="7"/>
  <c r="AS160" i="7" a="1"/>
  <c r="AS160" i="7"/>
  <c r="AS161" i="7" a="1"/>
  <c r="AS161" i="7"/>
  <c r="AS162" i="7" a="1"/>
  <c r="AS162" i="7"/>
  <c r="AS163" i="7" a="1"/>
  <c r="AS163" i="7"/>
  <c r="AS164" i="7" a="1"/>
  <c r="AS164" i="7"/>
  <c r="AS165" i="7" a="1"/>
  <c r="AS165" i="7"/>
  <c r="AS166" i="7" a="1"/>
  <c r="AS166" i="7"/>
  <c r="AS167" i="7" a="1"/>
  <c r="AS167" i="7"/>
  <c r="AS168" i="7" a="1"/>
  <c r="AS168" i="7"/>
  <c r="AS169" i="7" a="1"/>
  <c r="AS169" i="7"/>
  <c r="AS170" i="7" a="1"/>
  <c r="AS170" i="7"/>
  <c r="AS171" i="7" a="1"/>
  <c r="AS171" i="7"/>
  <c r="AS172" i="7" a="1"/>
  <c r="AS172" i="7"/>
  <c r="AS173" i="7" a="1"/>
  <c r="AS173" i="7"/>
  <c r="AS174" i="7" a="1"/>
  <c r="AS174" i="7"/>
  <c r="AS175" i="7" a="1"/>
  <c r="AS175" i="7"/>
  <c r="AS176" i="7" a="1"/>
  <c r="AS176" i="7"/>
  <c r="AS177" i="7" a="1"/>
  <c r="AS177" i="7"/>
  <c r="AS178" i="7" a="1"/>
  <c r="AS178" i="7"/>
  <c r="AS179" i="7" a="1"/>
  <c r="AS179" i="7"/>
  <c r="AS180" i="7" a="1"/>
  <c r="AS180" i="7"/>
  <c r="AS181" i="7" a="1"/>
  <c r="AS181" i="7"/>
  <c r="AS182" i="7" a="1"/>
  <c r="AS182" i="7"/>
  <c r="AS183" i="7" a="1"/>
  <c r="AS183" i="7"/>
  <c r="AS184" i="7" a="1"/>
  <c r="AS184" i="7"/>
  <c r="AS185" i="7" a="1"/>
  <c r="AS185" i="7"/>
  <c r="AS186" i="7" a="1"/>
  <c r="AS186" i="7"/>
  <c r="AS187" i="7" a="1"/>
  <c r="AS187" i="7"/>
  <c r="AS188" i="7" a="1"/>
  <c r="AS188" i="7"/>
  <c r="AS189" i="7" a="1"/>
  <c r="AS189" i="7"/>
  <c r="AS190" i="7" a="1"/>
  <c r="AS190" i="7"/>
  <c r="AS191" i="7" a="1"/>
  <c r="AS191" i="7"/>
  <c r="AS192" i="7" a="1"/>
  <c r="AS192" i="7"/>
  <c r="AS193" i="7" a="1"/>
  <c r="AS193" i="7"/>
  <c r="AS194" i="7" a="1"/>
  <c r="AS194" i="7"/>
  <c r="AS195" i="7" a="1"/>
  <c r="AS195" i="7"/>
  <c r="AS196" i="7" a="1"/>
  <c r="AS196" i="7"/>
  <c r="AS197" i="7" a="1"/>
  <c r="AS197" i="7"/>
  <c r="AS198" i="7" a="1"/>
  <c r="AS198" i="7"/>
  <c r="AS199" i="7" a="1"/>
  <c r="AS199" i="7"/>
  <c r="AS200" i="7" a="1"/>
  <c r="AS200" i="7"/>
  <c r="AS201" i="7" a="1"/>
  <c r="AS201" i="7"/>
  <c r="AS202" i="7" a="1"/>
  <c r="AS202" i="7"/>
  <c r="AS203" i="7" a="1"/>
  <c r="AS203" i="7"/>
  <c r="AS204" i="7" a="1"/>
  <c r="AS204" i="7"/>
  <c r="AS205" i="7" a="1"/>
  <c r="AS205" i="7"/>
  <c r="AS206" i="7" a="1"/>
  <c r="AS206" i="7"/>
  <c r="AS207" i="7" a="1"/>
  <c r="AS207" i="7"/>
  <c r="AS208" i="7" a="1"/>
  <c r="AS208" i="7"/>
  <c r="AS209" i="7" a="1"/>
  <c r="AS209" i="7"/>
  <c r="AS210" i="7" a="1"/>
  <c r="AS210" i="7"/>
  <c r="AS211" i="7" a="1"/>
  <c r="AS211" i="7"/>
  <c r="AS212" i="7" a="1"/>
  <c r="AS212" i="7"/>
  <c r="AS213" i="7" a="1"/>
  <c r="AS213" i="7"/>
  <c r="AS214" i="7" a="1"/>
  <c r="AS214" i="7"/>
  <c r="AS215" i="7" a="1"/>
  <c r="AS215" i="7"/>
  <c r="AS216" i="7" a="1"/>
  <c r="AS216" i="7"/>
  <c r="AS217" i="7" a="1"/>
  <c r="AS217" i="7"/>
  <c r="AS218" i="7" a="1"/>
  <c r="AS218" i="7"/>
  <c r="AS219" i="7" a="1"/>
  <c r="AS219" i="7"/>
  <c r="AS220" i="7" a="1"/>
  <c r="AS220" i="7"/>
  <c r="AS221" i="7" a="1"/>
  <c r="AS221" i="7"/>
  <c r="AS222" i="7" a="1"/>
  <c r="AS222" i="7"/>
  <c r="AS223" i="7" a="1"/>
  <c r="AS223" i="7"/>
  <c r="AS224" i="7" a="1"/>
  <c r="AS224" i="7"/>
  <c r="AS225" i="7" a="1"/>
  <c r="AS225" i="7"/>
  <c r="AS226" i="7" a="1"/>
  <c r="AS226" i="7"/>
  <c r="AS227" i="7" a="1"/>
  <c r="AS227" i="7"/>
  <c r="AS228" i="7" a="1"/>
  <c r="AS228" i="7"/>
  <c r="AS229" i="7" a="1"/>
  <c r="AS229" i="7"/>
  <c r="AS230" i="7" a="1"/>
  <c r="AS230" i="7"/>
  <c r="AS231" i="7" a="1"/>
  <c r="AS231" i="7"/>
  <c r="AS232" i="7" a="1"/>
  <c r="AS232" i="7"/>
  <c r="AS233" i="7" a="1"/>
  <c r="AS233" i="7"/>
  <c r="AS234" i="7" a="1"/>
  <c r="AS234" i="7"/>
  <c r="AS235" i="7" a="1"/>
  <c r="AS235" i="7"/>
  <c r="AS236" i="7" a="1"/>
  <c r="AS236" i="7"/>
  <c r="AS237" i="7" a="1"/>
  <c r="AS237" i="7"/>
  <c r="AS238" i="7" a="1"/>
  <c r="AS238" i="7"/>
  <c r="AS239" i="7" a="1"/>
  <c r="AS239" i="7"/>
  <c r="AS240" i="7" a="1"/>
  <c r="AS240" i="7"/>
  <c r="AS241" i="7" a="1"/>
  <c r="AS241" i="7"/>
  <c r="AS242" i="7" a="1"/>
  <c r="AS242" i="7"/>
  <c r="AS243" i="7" a="1"/>
  <c r="AS243" i="7"/>
  <c r="AS244" i="7" a="1"/>
  <c r="AS244" i="7"/>
  <c r="AS245" i="7" a="1"/>
  <c r="AS245" i="7"/>
  <c r="AS246" i="7" a="1"/>
  <c r="AS246" i="7"/>
  <c r="AS247" i="7" a="1"/>
  <c r="AS247" i="7"/>
  <c r="AS248" i="7" a="1"/>
  <c r="AS248" i="7"/>
  <c r="AS249" i="7" a="1"/>
  <c r="AS249" i="7"/>
  <c r="AS250" i="7" a="1"/>
  <c r="AS250" i="7"/>
  <c r="AS251" i="7" a="1"/>
  <c r="AS251" i="7"/>
  <c r="AS252" i="7" a="1"/>
  <c r="AS252" i="7"/>
  <c r="AS253" i="7" a="1"/>
  <c r="AS253" i="7"/>
  <c r="AS254" i="7" a="1"/>
  <c r="AS254" i="7"/>
  <c r="AS255" i="7" a="1"/>
  <c r="AS255" i="7"/>
  <c r="AS256" i="7" a="1"/>
  <c r="AS256" i="7"/>
  <c r="AS257" i="7" a="1"/>
  <c r="AS257" i="7"/>
  <c r="AS258" i="7" a="1"/>
  <c r="AS258" i="7"/>
  <c r="AS259" i="7" a="1"/>
  <c r="AS259" i="7"/>
  <c r="AS260" i="7" a="1"/>
  <c r="AS260" i="7"/>
  <c r="AS261" i="7" a="1"/>
  <c r="AS261" i="7"/>
  <c r="AS262" i="7" a="1"/>
  <c r="AS262" i="7"/>
  <c r="AS263" i="7" a="1"/>
  <c r="AS263" i="7"/>
  <c r="AS264" i="7" a="1"/>
  <c r="AS264" i="7"/>
  <c r="AS265" i="7" a="1"/>
  <c r="AS265" i="7"/>
  <c r="AS266" i="7" a="1"/>
  <c r="AS266" i="7"/>
  <c r="AS267" i="7" a="1"/>
  <c r="AS267" i="7"/>
  <c r="AS268" i="7" a="1"/>
  <c r="AS268" i="7"/>
  <c r="AS269" i="7" a="1"/>
  <c r="AS269" i="7"/>
  <c r="AS270" i="7" a="1"/>
  <c r="AS270" i="7"/>
  <c r="AS271" i="7" a="1"/>
  <c r="AS271" i="7"/>
  <c r="AS272" i="7" a="1"/>
  <c r="AS272" i="7"/>
  <c r="AS273" i="7" a="1"/>
  <c r="AS273" i="7"/>
  <c r="AS274" i="7" a="1"/>
  <c r="AS274" i="7"/>
  <c r="AS275" i="7" a="1"/>
  <c r="AS275" i="7"/>
  <c r="AS276" i="7" a="1"/>
  <c r="AS276" i="7"/>
  <c r="AS277" i="7" a="1"/>
  <c r="AS277" i="7"/>
  <c r="AS278" i="7" a="1"/>
  <c r="AS278" i="7"/>
  <c r="AS279" i="7" a="1"/>
  <c r="AS279" i="7"/>
  <c r="AS280" i="7" a="1"/>
  <c r="AS280" i="7"/>
  <c r="AS281" i="7" a="1"/>
  <c r="AS281" i="7"/>
  <c r="AS282" i="7" a="1"/>
  <c r="AS282" i="7"/>
  <c r="AS283" i="7" a="1"/>
  <c r="AS283" i="7"/>
  <c r="AS284" i="7" a="1"/>
  <c r="AS284" i="7"/>
  <c r="AS285" i="7" a="1"/>
  <c r="AS285" i="7"/>
  <c r="AS286" i="7" a="1"/>
  <c r="AS286" i="7"/>
  <c r="AS287" i="7" a="1"/>
  <c r="AS287" i="7"/>
  <c r="AS288" i="7" a="1"/>
  <c r="AS288" i="7"/>
  <c r="AS289" i="7" a="1"/>
  <c r="AS289" i="7"/>
  <c r="AS290" i="7" a="1"/>
  <c r="AS290" i="7"/>
  <c r="AS291" i="7" a="1"/>
  <c r="AS291" i="7"/>
  <c r="AS292" i="7" a="1"/>
  <c r="AS292" i="7"/>
  <c r="AS293" i="7" a="1"/>
  <c r="AS293" i="7"/>
  <c r="AS294" i="7" a="1"/>
  <c r="AS294" i="7"/>
  <c r="AS295" i="7" a="1"/>
  <c r="AS295" i="7"/>
  <c r="AS296" i="7" a="1"/>
  <c r="AS296" i="7"/>
  <c r="AS297" i="7" a="1"/>
  <c r="AS297" i="7"/>
  <c r="AS298" i="7" a="1"/>
  <c r="AS298" i="7"/>
  <c r="AS299" i="7" a="1"/>
  <c r="AS299" i="7"/>
  <c r="AS300" i="7" a="1"/>
  <c r="AS300" i="7"/>
  <c r="AS301" i="7" a="1"/>
  <c r="AS301" i="7"/>
  <c r="AS302" i="7" a="1"/>
  <c r="AS302" i="7"/>
  <c r="AS303" i="7" a="1"/>
  <c r="AS303" i="7"/>
  <c r="AS304" i="7" a="1"/>
  <c r="AS304" i="7"/>
  <c r="AS305" i="7" a="1"/>
  <c r="AS305" i="7"/>
  <c r="AS306" i="7" a="1"/>
  <c r="AS306" i="7"/>
  <c r="AS307" i="7" a="1"/>
  <c r="AS307" i="7"/>
  <c r="AS308" i="7" a="1"/>
  <c r="AS308" i="7"/>
  <c r="AS309" i="7" a="1"/>
  <c r="AS309" i="7"/>
  <c r="AS310" i="7" a="1"/>
  <c r="AS310" i="7"/>
  <c r="AS311" i="7" a="1"/>
  <c r="AS311" i="7"/>
  <c r="AS312" i="7" a="1"/>
  <c r="AS312" i="7"/>
  <c r="AS313" i="7" a="1"/>
  <c r="AS313" i="7"/>
  <c r="AS314" i="7" a="1"/>
  <c r="AS314" i="7"/>
  <c r="AS315" i="7" a="1"/>
  <c r="AS315" i="7"/>
  <c r="AS316" i="7" a="1"/>
  <c r="AS316" i="7"/>
  <c r="AS317" i="7" a="1"/>
  <c r="AS317" i="7"/>
  <c r="AS318" i="7" a="1"/>
  <c r="AS318" i="7"/>
  <c r="AS319" i="7" a="1"/>
  <c r="AS319" i="7"/>
  <c r="AS320" i="7" a="1"/>
  <c r="AS320" i="7"/>
  <c r="AS321" i="7" a="1"/>
  <c r="AS321" i="7"/>
  <c r="AS322" i="7" a="1"/>
  <c r="AS322" i="7"/>
  <c r="AS323" i="7" a="1"/>
  <c r="AS323" i="7"/>
  <c r="AS324" i="7" a="1"/>
  <c r="AS324" i="7"/>
  <c r="AS325" i="7" a="1"/>
  <c r="AS325" i="7"/>
  <c r="AS326" i="7" a="1"/>
  <c r="AS326" i="7"/>
  <c r="AS327" i="7" a="1"/>
  <c r="AS327" i="7"/>
  <c r="AS328" i="7" a="1"/>
  <c r="AS328" i="7"/>
  <c r="AS329" i="7" a="1"/>
  <c r="AS329" i="7"/>
  <c r="AS330" i="7" a="1"/>
  <c r="AS330" i="7"/>
  <c r="AS331" i="7" a="1"/>
  <c r="AS331" i="7"/>
  <c r="AS332" i="7" a="1"/>
  <c r="AS332" i="7"/>
  <c r="AS333" i="7" a="1"/>
  <c r="AS333" i="7"/>
  <c r="AS334" i="7" a="1"/>
  <c r="AS334" i="7"/>
  <c r="AS335" i="7" a="1"/>
  <c r="AS335" i="7"/>
  <c r="AS336" i="7" a="1"/>
  <c r="AS336" i="7"/>
  <c r="AS337" i="7" a="1"/>
  <c r="AS337" i="7"/>
  <c r="AS338" i="7" a="1"/>
  <c r="AS338" i="7"/>
  <c r="AS339" i="7" a="1"/>
  <c r="AS339" i="7"/>
  <c r="AS340" i="7" a="1"/>
  <c r="AS340" i="7"/>
  <c r="AS341" i="7" a="1"/>
  <c r="AS341" i="7"/>
  <c r="AS342" i="7" a="1"/>
  <c r="AS342" i="7"/>
  <c r="AS1" i="7" a="1"/>
  <c r="AS1" i="7"/>
  <c r="AS2" i="7" a="1"/>
  <c r="AS2" i="7"/>
  <c r="Z3" i="7" a="1"/>
  <c r="Z3" i="7"/>
  <c r="Z4" i="7" a="1"/>
  <c r="Z4" i="7"/>
  <c r="Z5" i="7" a="1"/>
  <c r="Z5" i="7"/>
  <c r="Z6" i="7" a="1"/>
  <c r="Z6" i="7"/>
  <c r="Z7" i="7" a="1"/>
  <c r="Z7" i="7"/>
  <c r="Z8" i="7" a="1"/>
  <c r="Z8" i="7"/>
  <c r="Z9" i="7" a="1"/>
  <c r="Z9" i="7"/>
  <c r="Z10" i="7" a="1"/>
  <c r="Z10" i="7"/>
  <c r="Z11" i="7" a="1"/>
  <c r="Z11" i="7"/>
  <c r="Z12" i="7" a="1"/>
  <c r="Z12" i="7"/>
  <c r="Z13" i="7" a="1"/>
  <c r="Z13" i="7"/>
  <c r="Z14" i="7" a="1"/>
  <c r="Z14" i="7"/>
  <c r="Z15" i="7" a="1"/>
  <c r="Z15" i="7"/>
  <c r="Z16" i="7" a="1"/>
  <c r="Z16" i="7"/>
  <c r="Z17" i="7" a="1"/>
  <c r="Z17" i="7"/>
  <c r="Z18" i="7" a="1"/>
  <c r="Z18" i="7"/>
  <c r="Z19" i="7" a="1"/>
  <c r="Z19" i="7"/>
  <c r="Z20" i="7" a="1"/>
  <c r="Z20" i="7"/>
  <c r="Z21" i="7" a="1"/>
  <c r="Z21" i="7"/>
  <c r="Z22" i="7" a="1"/>
  <c r="Z22" i="7"/>
  <c r="Z23" i="7" a="1"/>
  <c r="Z23" i="7"/>
  <c r="Z24" i="7" a="1"/>
  <c r="Z24" i="7"/>
  <c r="Z25" i="7" a="1"/>
  <c r="Z25" i="7"/>
  <c r="Z26" i="7" a="1"/>
  <c r="Z26" i="7"/>
  <c r="Z27" i="7" a="1"/>
  <c r="Z27" i="7"/>
  <c r="Z28" i="7" a="1"/>
  <c r="Z28" i="7"/>
  <c r="Z29" i="7" a="1"/>
  <c r="Z29" i="7"/>
  <c r="Z30" i="7" a="1"/>
  <c r="Z30" i="7"/>
  <c r="Z31" i="7" a="1"/>
  <c r="Z31" i="7"/>
  <c r="Z32" i="7" a="1"/>
  <c r="Z32" i="7"/>
  <c r="Z33" i="7" a="1"/>
  <c r="Z33" i="7"/>
  <c r="Z34" i="7" a="1"/>
  <c r="Z34" i="7"/>
  <c r="Z35" i="7" a="1"/>
  <c r="Z35" i="7"/>
  <c r="Z36" i="7" a="1"/>
  <c r="Z36" i="7"/>
  <c r="Z37" i="7" a="1"/>
  <c r="Z37" i="7"/>
  <c r="Z38" i="7" a="1"/>
  <c r="Z38" i="7"/>
  <c r="Z39" i="7" a="1"/>
  <c r="Z39" i="7"/>
  <c r="Z40" i="7" a="1"/>
  <c r="Z40" i="7"/>
  <c r="Z41" i="7" a="1"/>
  <c r="Z41" i="7"/>
  <c r="Z42" i="7" a="1"/>
  <c r="Z42" i="7"/>
  <c r="Z43" i="7" a="1"/>
  <c r="Z43" i="7"/>
  <c r="Z44" i="7" a="1"/>
  <c r="Z44" i="7"/>
  <c r="Z45" i="7" a="1"/>
  <c r="Z45" i="7"/>
  <c r="Z46" i="7" a="1"/>
  <c r="Z46" i="7"/>
  <c r="Z47" i="7" a="1"/>
  <c r="Z47" i="7"/>
  <c r="Z48" i="7" a="1"/>
  <c r="Z48" i="7"/>
  <c r="Z49" i="7" a="1"/>
  <c r="Z49" i="7"/>
  <c r="Z50" i="7" a="1"/>
  <c r="Z50" i="7"/>
  <c r="Z51" i="7" a="1"/>
  <c r="Z51" i="7"/>
  <c r="Z52" i="7" a="1"/>
  <c r="Z52" i="7"/>
  <c r="Z53" i="7" a="1"/>
  <c r="Z53" i="7"/>
  <c r="Z54" i="7" a="1"/>
  <c r="Z54" i="7"/>
  <c r="Z55" i="7" a="1"/>
  <c r="Z55" i="7"/>
  <c r="Z56" i="7" a="1"/>
  <c r="Z56" i="7"/>
  <c r="Z57" i="7" a="1"/>
  <c r="Z57" i="7"/>
  <c r="Z58" i="7" a="1"/>
  <c r="Z58" i="7"/>
  <c r="Z59" i="7" a="1"/>
  <c r="Z59" i="7"/>
  <c r="Z60" i="7" a="1"/>
  <c r="Z60" i="7"/>
  <c r="Z61" i="7" a="1"/>
  <c r="Z61" i="7"/>
  <c r="Z62" i="7" a="1"/>
  <c r="Z62" i="7"/>
  <c r="Z63" i="7" a="1"/>
  <c r="Z63" i="7"/>
  <c r="Z64" i="7" a="1"/>
  <c r="Z64" i="7"/>
  <c r="Z65" i="7" a="1"/>
  <c r="Z65" i="7"/>
  <c r="Z66" i="7" a="1"/>
  <c r="Z66" i="7"/>
  <c r="Z67" i="7" a="1"/>
  <c r="Z67" i="7"/>
  <c r="Z68" i="7" a="1"/>
  <c r="Z68" i="7"/>
  <c r="Z69" i="7" a="1"/>
  <c r="Z69" i="7"/>
  <c r="Z70" i="7" a="1"/>
  <c r="Z70" i="7"/>
  <c r="Z71" i="7" a="1"/>
  <c r="Z71" i="7"/>
  <c r="Z72" i="7" a="1"/>
  <c r="Z72" i="7"/>
  <c r="Z73" i="7" a="1"/>
  <c r="Z73" i="7"/>
  <c r="Z74" i="7" a="1"/>
  <c r="Z74" i="7"/>
  <c r="Z75" i="7" a="1"/>
  <c r="Z75" i="7"/>
  <c r="Z76" i="7" a="1"/>
  <c r="Z76" i="7"/>
  <c r="Z77" i="7" a="1"/>
  <c r="Z77" i="7"/>
  <c r="Z78" i="7" a="1"/>
  <c r="Z78" i="7"/>
  <c r="Z79" i="7" a="1"/>
  <c r="Z79" i="7"/>
  <c r="Z80" i="7" a="1"/>
  <c r="Z80" i="7"/>
  <c r="Z81" i="7" a="1"/>
  <c r="Z81" i="7"/>
  <c r="Z82" i="7" a="1"/>
  <c r="Z82" i="7"/>
  <c r="Z83" i="7" a="1"/>
  <c r="Z83" i="7"/>
  <c r="Z84" i="7" a="1"/>
  <c r="Z84" i="7"/>
  <c r="Z85" i="7" a="1"/>
  <c r="Z85" i="7"/>
  <c r="Z86" i="7" a="1"/>
  <c r="Z86" i="7"/>
  <c r="Z87" i="7" a="1"/>
  <c r="Z87" i="7"/>
  <c r="Z88" i="7" a="1"/>
  <c r="Z88" i="7"/>
  <c r="Z89" i="7" a="1"/>
  <c r="Z89" i="7"/>
  <c r="Z90" i="7" a="1"/>
  <c r="Z90" i="7"/>
  <c r="Z91" i="7" a="1"/>
  <c r="Z91" i="7"/>
  <c r="Z92" i="7" a="1"/>
  <c r="Z92" i="7"/>
  <c r="Z93" i="7" a="1"/>
  <c r="Z93" i="7"/>
  <c r="Z94" i="7" a="1"/>
  <c r="Z94" i="7"/>
  <c r="Z95" i="7" a="1"/>
  <c r="Z95" i="7"/>
  <c r="Z96" i="7" a="1"/>
  <c r="Z96" i="7"/>
  <c r="Z97" i="7" a="1"/>
  <c r="Z97" i="7"/>
  <c r="Z98" i="7" a="1"/>
  <c r="Z98" i="7"/>
  <c r="Z99" i="7" a="1"/>
  <c r="Z99" i="7"/>
  <c r="Z100" i="7" a="1"/>
  <c r="Z100" i="7"/>
  <c r="Z101" i="7" a="1"/>
  <c r="Z101" i="7"/>
  <c r="Z102" i="7" a="1"/>
  <c r="Z102" i="7"/>
  <c r="Z103" i="7" a="1"/>
  <c r="Z103" i="7"/>
  <c r="Z104" i="7" a="1"/>
  <c r="Z104" i="7"/>
  <c r="Z105" i="7" a="1"/>
  <c r="Z105" i="7"/>
  <c r="Z106" i="7" a="1"/>
  <c r="Z106" i="7"/>
  <c r="Z107" i="7" a="1"/>
  <c r="Z107" i="7"/>
  <c r="Z108" i="7" a="1"/>
  <c r="Z108" i="7"/>
  <c r="Z109" i="7" a="1"/>
  <c r="Z109" i="7"/>
  <c r="Z110" i="7" a="1"/>
  <c r="Z110" i="7"/>
  <c r="Z111" i="7" a="1"/>
  <c r="Z111" i="7"/>
  <c r="Z112" i="7" a="1"/>
  <c r="Z112" i="7"/>
  <c r="Z113" i="7" a="1"/>
  <c r="Z113" i="7"/>
  <c r="Z114" i="7" a="1"/>
  <c r="Z114" i="7"/>
  <c r="Z115" i="7" a="1"/>
  <c r="Z115" i="7"/>
  <c r="Z116" i="7" a="1"/>
  <c r="Z116" i="7"/>
  <c r="Z117" i="7" a="1"/>
  <c r="Z117" i="7"/>
  <c r="Z118" i="7" a="1"/>
  <c r="Z118" i="7"/>
  <c r="Z119" i="7" a="1"/>
  <c r="Z119" i="7"/>
  <c r="Z120" i="7" a="1"/>
  <c r="Z120" i="7"/>
  <c r="Z121" i="7" a="1"/>
  <c r="Z121" i="7"/>
  <c r="Z122" i="7" a="1"/>
  <c r="Z122" i="7"/>
  <c r="Z123" i="7" a="1"/>
  <c r="Z123" i="7"/>
  <c r="Z124" i="7" a="1"/>
  <c r="Z124" i="7"/>
  <c r="Z125" i="7" a="1"/>
  <c r="Z125" i="7"/>
  <c r="Z126" i="7" a="1"/>
  <c r="Z126" i="7"/>
  <c r="Z127" i="7" a="1"/>
  <c r="Z127" i="7"/>
  <c r="Z128" i="7" a="1"/>
  <c r="Z128" i="7"/>
  <c r="Z129" i="7" a="1"/>
  <c r="Z129" i="7"/>
  <c r="Z130" i="7" a="1"/>
  <c r="Z130" i="7"/>
  <c r="Z131" i="7" a="1"/>
  <c r="Z131" i="7"/>
  <c r="Z132" i="7" a="1"/>
  <c r="Z132" i="7"/>
  <c r="Z133" i="7" a="1"/>
  <c r="Z133" i="7"/>
  <c r="Z134" i="7" a="1"/>
  <c r="Z134" i="7"/>
  <c r="Z135" i="7" a="1"/>
  <c r="Z135" i="7"/>
  <c r="Z136" i="7" a="1"/>
  <c r="Z136" i="7"/>
  <c r="Z137" i="7" a="1"/>
  <c r="Z137" i="7"/>
  <c r="Z138" i="7" a="1"/>
  <c r="Z138" i="7"/>
  <c r="Z139" i="7" a="1"/>
  <c r="Z139" i="7"/>
  <c r="Z140" i="7" a="1"/>
  <c r="Z140" i="7"/>
  <c r="Z141" i="7" a="1"/>
  <c r="Z141" i="7"/>
  <c r="Z142" i="7" a="1"/>
  <c r="Z142" i="7"/>
  <c r="Z143" i="7" a="1"/>
  <c r="Z143" i="7"/>
  <c r="Z144" i="7" a="1"/>
  <c r="Z144" i="7"/>
  <c r="Z145" i="7" a="1"/>
  <c r="Z145" i="7"/>
  <c r="Z146" i="7" a="1"/>
  <c r="Z146" i="7"/>
  <c r="Z147" i="7" a="1"/>
  <c r="Z147" i="7"/>
  <c r="Z148" i="7" a="1"/>
  <c r="Z148" i="7"/>
  <c r="Z149" i="7" a="1"/>
  <c r="Z149" i="7"/>
  <c r="Z150" i="7" a="1"/>
  <c r="Z150" i="7"/>
  <c r="Z151" i="7" a="1"/>
  <c r="Z151" i="7"/>
  <c r="Z152" i="7" a="1"/>
  <c r="Z152" i="7"/>
  <c r="Z153" i="7" a="1"/>
  <c r="Z153" i="7"/>
  <c r="Z154" i="7" a="1"/>
  <c r="Z154" i="7"/>
  <c r="Z155" i="7" a="1"/>
  <c r="Z155" i="7"/>
  <c r="Z156" i="7" a="1"/>
  <c r="Z156" i="7"/>
  <c r="Z157" i="7" a="1"/>
  <c r="Z157" i="7"/>
  <c r="Z158" i="7" a="1"/>
  <c r="Z158" i="7"/>
  <c r="Z159" i="7" a="1"/>
  <c r="Z159" i="7"/>
  <c r="Z160" i="7" a="1"/>
  <c r="Z160" i="7"/>
  <c r="Z161" i="7" a="1"/>
  <c r="Z161" i="7"/>
  <c r="Z162" i="7" a="1"/>
  <c r="Z162" i="7"/>
  <c r="Z163" i="7" a="1"/>
  <c r="Z163" i="7"/>
  <c r="Z164" i="7" a="1"/>
  <c r="Z164" i="7"/>
  <c r="Z165" i="7" a="1"/>
  <c r="Z165" i="7"/>
  <c r="Z166" i="7" a="1"/>
  <c r="Z166" i="7"/>
  <c r="Z167" i="7" a="1"/>
  <c r="Z167" i="7"/>
  <c r="Z168" i="7" a="1"/>
  <c r="Z168" i="7"/>
  <c r="Z169" i="7" a="1"/>
  <c r="Z169" i="7"/>
  <c r="Z170" i="7" a="1"/>
  <c r="Z170" i="7"/>
  <c r="Z171" i="7" a="1"/>
  <c r="Z171" i="7"/>
  <c r="Z172" i="7" a="1"/>
  <c r="Z172" i="7"/>
  <c r="Z173" i="7" a="1"/>
  <c r="Z173" i="7"/>
  <c r="Z174" i="7" a="1"/>
  <c r="Z174" i="7"/>
  <c r="Z175" i="7" a="1"/>
  <c r="Z175" i="7"/>
  <c r="Z176" i="7" a="1"/>
  <c r="Z176" i="7"/>
  <c r="Z177" i="7" a="1"/>
  <c r="Z177" i="7"/>
  <c r="Z178" i="7" a="1"/>
  <c r="Z178" i="7"/>
  <c r="Z179" i="7" a="1"/>
  <c r="Z179" i="7"/>
  <c r="Z180" i="7" a="1"/>
  <c r="Z180" i="7"/>
  <c r="Z181" i="7" a="1"/>
  <c r="Z181" i="7"/>
  <c r="Z182" i="7" a="1"/>
  <c r="Z182" i="7"/>
  <c r="Z183" i="7" a="1"/>
  <c r="Z183" i="7"/>
  <c r="Z184" i="7" a="1"/>
  <c r="Z184" i="7"/>
  <c r="Z185" i="7" a="1"/>
  <c r="Z185" i="7"/>
  <c r="Z186" i="7" a="1"/>
  <c r="Z186" i="7"/>
  <c r="Z187" i="7" a="1"/>
  <c r="Z187" i="7"/>
  <c r="Z188" i="7" a="1"/>
  <c r="Z188" i="7"/>
  <c r="Z189" i="7" a="1"/>
  <c r="Z189" i="7"/>
  <c r="Z190" i="7" a="1"/>
  <c r="Z190" i="7"/>
  <c r="Z191" i="7" a="1"/>
  <c r="Z191" i="7"/>
  <c r="Z192" i="7" a="1"/>
  <c r="Z192" i="7"/>
  <c r="Z193" i="7" a="1"/>
  <c r="Z193" i="7"/>
  <c r="Z194" i="7" a="1"/>
  <c r="Z194" i="7"/>
  <c r="Z195" i="7" a="1"/>
  <c r="Z195" i="7"/>
  <c r="Z196" i="7" a="1"/>
  <c r="Z196" i="7"/>
  <c r="Z197" i="7" a="1"/>
  <c r="Z197" i="7"/>
  <c r="Z198" i="7" a="1"/>
  <c r="Z198" i="7"/>
  <c r="Z199" i="7" a="1"/>
  <c r="Z199" i="7"/>
  <c r="Z200" i="7" a="1"/>
  <c r="Z200" i="7"/>
  <c r="Z201" i="7" a="1"/>
  <c r="Z201" i="7"/>
  <c r="Z202" i="7" a="1"/>
  <c r="Z202" i="7"/>
  <c r="Z203" i="7" a="1"/>
  <c r="Z203" i="7"/>
  <c r="Z204" i="7" a="1"/>
  <c r="Z204" i="7"/>
  <c r="Z205" i="7" a="1"/>
  <c r="Z205" i="7"/>
  <c r="Z206" i="7" a="1"/>
  <c r="Z206" i="7"/>
  <c r="Z207" i="7" a="1"/>
  <c r="Z207" i="7"/>
  <c r="Z208" i="7" a="1"/>
  <c r="Z208" i="7"/>
  <c r="Z209" i="7" a="1"/>
  <c r="Z209" i="7"/>
  <c r="Z210" i="7" a="1"/>
  <c r="Z210" i="7"/>
  <c r="Z211" i="7" a="1"/>
  <c r="Z211" i="7"/>
  <c r="Z212" i="7" a="1"/>
  <c r="Z212" i="7"/>
  <c r="Z213" i="7" a="1"/>
  <c r="Z213" i="7"/>
  <c r="Z214" i="7" a="1"/>
  <c r="Z214" i="7"/>
  <c r="Z215" i="7" a="1"/>
  <c r="Z215" i="7"/>
  <c r="Z216" i="7" a="1"/>
  <c r="Z216" i="7"/>
  <c r="Z217" i="7" a="1"/>
  <c r="Z217" i="7"/>
  <c r="Z218" i="7" a="1"/>
  <c r="Z218" i="7"/>
  <c r="Z219" i="7" a="1"/>
  <c r="Z219" i="7"/>
  <c r="Z220" i="7" a="1"/>
  <c r="Z220" i="7"/>
  <c r="Z221" i="7" a="1"/>
  <c r="Z221" i="7"/>
  <c r="Z222" i="7" a="1"/>
  <c r="Z222" i="7"/>
  <c r="Z223" i="7" a="1"/>
  <c r="Z223" i="7"/>
  <c r="Z224" i="7" a="1"/>
  <c r="Z224" i="7"/>
  <c r="Z225" i="7" a="1"/>
  <c r="Z225" i="7"/>
  <c r="Z226" i="7" a="1"/>
  <c r="Z226" i="7"/>
  <c r="Z227" i="7" a="1"/>
  <c r="Z227" i="7"/>
  <c r="Z228" i="7" a="1"/>
  <c r="Z228" i="7"/>
  <c r="Z229" i="7" a="1"/>
  <c r="Z229" i="7"/>
  <c r="Z230" i="7" a="1"/>
  <c r="Z230" i="7"/>
  <c r="Z231" i="7" a="1"/>
  <c r="Z231" i="7"/>
  <c r="Z232" i="7" a="1"/>
  <c r="Z232" i="7"/>
  <c r="Z233" i="7" a="1"/>
  <c r="Z233" i="7"/>
  <c r="Z234" i="7" a="1"/>
  <c r="Z234" i="7"/>
  <c r="Z235" i="7" a="1"/>
  <c r="Z235" i="7"/>
  <c r="Z236" i="7" a="1"/>
  <c r="Z236" i="7"/>
  <c r="Z237" i="7" a="1"/>
  <c r="Z237" i="7"/>
  <c r="Z238" i="7" a="1"/>
  <c r="Z238" i="7"/>
  <c r="Z239" i="7" a="1"/>
  <c r="Z239" i="7"/>
  <c r="Z240" i="7" a="1"/>
  <c r="Z240" i="7"/>
  <c r="Z241" i="7" a="1"/>
  <c r="Z241" i="7"/>
  <c r="Z242" i="7" a="1"/>
  <c r="Z242" i="7"/>
  <c r="Z243" i="7" a="1"/>
  <c r="Z243" i="7"/>
  <c r="Z244" i="7" a="1"/>
  <c r="Z244" i="7"/>
  <c r="Z245" i="7" a="1"/>
  <c r="Z245" i="7"/>
  <c r="Z246" i="7" a="1"/>
  <c r="Z246" i="7"/>
  <c r="Z247" i="7" a="1"/>
  <c r="Z247" i="7"/>
  <c r="Z248" i="7" a="1"/>
  <c r="Z248" i="7"/>
  <c r="Z249" i="7" a="1"/>
  <c r="Z249" i="7"/>
  <c r="Z250" i="7" a="1"/>
  <c r="Z250" i="7"/>
  <c r="Z251" i="7" a="1"/>
  <c r="Z251" i="7"/>
  <c r="Z252" i="7" a="1"/>
  <c r="Z252" i="7"/>
  <c r="Z253" i="7" a="1"/>
  <c r="Z253" i="7"/>
  <c r="Z254" i="7" a="1"/>
  <c r="Z254" i="7"/>
  <c r="Z255" i="7" a="1"/>
  <c r="Z255" i="7"/>
  <c r="Z256" i="7" a="1"/>
  <c r="Z256" i="7"/>
  <c r="Z257" i="7" a="1"/>
  <c r="Z257" i="7"/>
  <c r="Z258" i="7" a="1"/>
  <c r="Z258" i="7"/>
  <c r="Z259" i="7" a="1"/>
  <c r="Z259" i="7"/>
  <c r="Z260" i="7" a="1"/>
  <c r="Z260" i="7"/>
  <c r="Z261" i="7" a="1"/>
  <c r="Z261" i="7"/>
  <c r="Z262" i="7" a="1"/>
  <c r="Z262" i="7"/>
  <c r="Z263" i="7" a="1"/>
  <c r="Z263" i="7"/>
  <c r="Z264" i="7" a="1"/>
  <c r="Z264" i="7"/>
  <c r="Z265" i="7" a="1"/>
  <c r="Z265" i="7"/>
  <c r="Z266" i="7" a="1"/>
  <c r="Z266" i="7"/>
  <c r="Z267" i="7" a="1"/>
  <c r="Z267" i="7"/>
  <c r="Z268" i="7" a="1"/>
  <c r="Z268" i="7"/>
  <c r="Z269" i="7" a="1"/>
  <c r="Z269" i="7"/>
  <c r="Z270" i="7" a="1"/>
  <c r="Z270" i="7"/>
  <c r="Z271" i="7" a="1"/>
  <c r="Z271" i="7"/>
  <c r="Z272" i="7" a="1"/>
  <c r="Z272" i="7"/>
  <c r="Z273" i="7" a="1"/>
  <c r="Z273" i="7"/>
  <c r="Z274" i="7" a="1"/>
  <c r="Z274" i="7"/>
  <c r="Z275" i="7" a="1"/>
  <c r="Z275" i="7"/>
  <c r="Z276" i="7" a="1"/>
  <c r="Z276" i="7"/>
  <c r="Z277" i="7" a="1"/>
  <c r="Z277" i="7"/>
  <c r="Z278" i="7" a="1"/>
  <c r="Z278" i="7"/>
  <c r="Z279" i="7" a="1"/>
  <c r="Z279" i="7"/>
  <c r="Z280" i="7" a="1"/>
  <c r="Z280" i="7"/>
  <c r="Z281" i="7" a="1"/>
  <c r="Z281" i="7"/>
  <c r="Z282" i="7" a="1"/>
  <c r="Z282" i="7"/>
  <c r="Z283" i="7" a="1"/>
  <c r="Z283" i="7"/>
  <c r="Z284" i="7" a="1"/>
  <c r="Z284" i="7"/>
  <c r="Z285" i="7" a="1"/>
  <c r="Z285" i="7"/>
  <c r="Z286" i="7" a="1"/>
  <c r="Z286" i="7"/>
  <c r="Z287" i="7" a="1"/>
  <c r="Z287" i="7"/>
  <c r="Z288" i="7" a="1"/>
  <c r="Z288" i="7"/>
  <c r="Z289" i="7" a="1"/>
  <c r="Z289" i="7"/>
  <c r="Z290" i="7" a="1"/>
  <c r="Z290" i="7"/>
  <c r="Z291" i="7" a="1"/>
  <c r="Z291" i="7"/>
  <c r="Z292" i="7" a="1"/>
  <c r="Z292" i="7"/>
  <c r="Z293" i="7" a="1"/>
  <c r="Z293" i="7"/>
  <c r="Z294" i="7" a="1"/>
  <c r="Z294" i="7"/>
  <c r="Z295" i="7" a="1"/>
  <c r="Z295" i="7"/>
  <c r="Z296" i="7" a="1"/>
  <c r="Z296" i="7"/>
  <c r="Z297" i="7" a="1"/>
  <c r="Z297" i="7"/>
  <c r="Z298" i="7" a="1"/>
  <c r="Z298" i="7"/>
  <c r="Z299" i="7" a="1"/>
  <c r="Z299" i="7"/>
  <c r="Z300" i="7" a="1"/>
  <c r="Z300" i="7"/>
  <c r="Z301" i="7" a="1"/>
  <c r="Z301" i="7"/>
  <c r="Z302" i="7" a="1"/>
  <c r="Z302" i="7"/>
  <c r="Z303" i="7" a="1"/>
  <c r="Z303" i="7"/>
  <c r="Z304" i="7" a="1"/>
  <c r="Z304" i="7"/>
  <c r="Z305" i="7" a="1"/>
  <c r="Z305" i="7"/>
  <c r="Z306" i="7" a="1"/>
  <c r="Z306" i="7"/>
  <c r="Z307" i="7" a="1"/>
  <c r="Z307" i="7"/>
  <c r="Z308" i="7" a="1"/>
  <c r="Z308" i="7"/>
  <c r="Z309" i="7" a="1"/>
  <c r="Z309" i="7"/>
  <c r="Z310" i="7" a="1"/>
  <c r="Z310" i="7"/>
  <c r="Z311" i="7" a="1"/>
  <c r="Z311" i="7"/>
  <c r="Z312" i="7" a="1"/>
  <c r="Z312" i="7"/>
  <c r="Z313" i="7" a="1"/>
  <c r="Z313" i="7"/>
  <c r="Z314" i="7" a="1"/>
  <c r="Z314" i="7"/>
  <c r="Z315" i="7" a="1"/>
  <c r="Z315" i="7"/>
  <c r="Z316" i="7" a="1"/>
  <c r="Z316" i="7"/>
  <c r="Z317" i="7" a="1"/>
  <c r="Z317" i="7"/>
  <c r="Z318" i="7" a="1"/>
  <c r="Z318" i="7"/>
  <c r="Z319" i="7" a="1"/>
  <c r="Z319" i="7"/>
  <c r="Z320" i="7" a="1"/>
  <c r="Z320" i="7"/>
  <c r="Z321" i="7" a="1"/>
  <c r="Z321" i="7"/>
  <c r="Z322" i="7" a="1"/>
  <c r="Z322" i="7"/>
  <c r="Z323" i="7" a="1"/>
  <c r="Z323" i="7"/>
  <c r="Z324" i="7" a="1"/>
  <c r="Z324" i="7"/>
  <c r="Z325" i="7" a="1"/>
  <c r="Z325" i="7"/>
  <c r="Z326" i="7" a="1"/>
  <c r="Z326" i="7"/>
  <c r="Z327" i="7" a="1"/>
  <c r="Z327" i="7"/>
  <c r="Z328" i="7" a="1"/>
  <c r="Z328" i="7"/>
  <c r="Z329" i="7" a="1"/>
  <c r="Z329" i="7"/>
  <c r="Z330" i="7" a="1"/>
  <c r="Z330" i="7"/>
  <c r="Z331" i="7" a="1"/>
  <c r="Z331" i="7"/>
  <c r="Z332" i="7" a="1"/>
  <c r="Z332" i="7"/>
  <c r="Z333" i="7" a="1"/>
  <c r="Z333" i="7"/>
  <c r="Z334" i="7" a="1"/>
  <c r="Z334" i="7"/>
  <c r="Z335" i="7" a="1"/>
  <c r="Z335" i="7"/>
  <c r="Z336" i="7" a="1"/>
  <c r="Z336" i="7"/>
  <c r="Z337" i="7" a="1"/>
  <c r="Z337" i="7"/>
  <c r="Z338" i="7" a="1"/>
  <c r="Z338" i="7"/>
  <c r="Z339" i="7" a="1"/>
  <c r="Z339" i="7"/>
  <c r="Z340" i="7" a="1"/>
  <c r="Z340" i="7"/>
  <c r="Z341" i="7" a="1"/>
  <c r="Z341" i="7"/>
  <c r="Z342" i="7" a="1"/>
  <c r="Z342" i="7"/>
  <c r="Z1" i="7" a="1"/>
  <c r="Z1" i="7"/>
  <c r="Z2" i="7" a="1"/>
  <c r="Z2" i="7"/>
  <c r="B3" i="7" a="1"/>
  <c r="B3" i="7"/>
  <c r="B4" i="7" a="1"/>
  <c r="B4" i="7"/>
  <c r="B5" i="7" a="1"/>
  <c r="B5" i="7"/>
  <c r="B6" i="7" a="1"/>
  <c r="B6" i="7"/>
  <c r="B7" i="7" a="1"/>
  <c r="B7" i="7"/>
  <c r="B8" i="7" a="1"/>
  <c r="B8" i="7"/>
  <c r="B9" i="7" a="1"/>
  <c r="B9" i="7"/>
  <c r="B10" i="7" a="1"/>
  <c r="B10" i="7"/>
  <c r="B11" i="7" a="1"/>
  <c r="B11" i="7"/>
  <c r="B12" i="7" a="1"/>
  <c r="B12" i="7"/>
  <c r="B13" i="7" a="1"/>
  <c r="B13" i="7"/>
  <c r="B14" i="7" a="1"/>
  <c r="B14" i="7"/>
  <c r="B15" i="7" a="1"/>
  <c r="B15" i="7"/>
  <c r="B16" i="7" a="1"/>
  <c r="B16" i="7"/>
  <c r="B17" i="7" a="1"/>
  <c r="B17" i="7"/>
  <c r="B18" i="7" a="1"/>
  <c r="B18" i="7"/>
  <c r="B19" i="7" a="1"/>
  <c r="B19" i="7"/>
  <c r="B20" i="7" a="1"/>
  <c r="B20" i="7"/>
  <c r="B21" i="7" a="1"/>
  <c r="B21" i="7"/>
  <c r="B22" i="7" a="1"/>
  <c r="B22" i="7"/>
  <c r="B23" i="7" a="1"/>
  <c r="B23" i="7"/>
  <c r="B24" i="7" a="1"/>
  <c r="B24" i="7"/>
  <c r="B25" i="7" a="1"/>
  <c r="B25" i="7"/>
  <c r="B26" i="7" a="1"/>
  <c r="B26" i="7"/>
  <c r="B27" i="7" a="1"/>
  <c r="B27" i="7"/>
  <c r="B28" i="7" a="1"/>
  <c r="B28" i="7"/>
  <c r="B29" i="7" a="1"/>
  <c r="B29" i="7"/>
  <c r="B30" i="7" a="1"/>
  <c r="B30" i="7"/>
  <c r="B31" i="7" a="1"/>
  <c r="B31" i="7"/>
  <c r="B32" i="7" a="1"/>
  <c r="B32" i="7"/>
  <c r="B33" i="7" a="1"/>
  <c r="B33" i="7"/>
  <c r="B34" i="7" a="1"/>
  <c r="B34" i="7"/>
  <c r="B35" i="7" a="1"/>
  <c r="B35" i="7"/>
  <c r="B36" i="7" a="1"/>
  <c r="B36" i="7"/>
  <c r="B37" i="7" a="1"/>
  <c r="B37" i="7"/>
  <c r="B38" i="7" a="1"/>
  <c r="B38" i="7"/>
  <c r="B39" i="7" a="1"/>
  <c r="B39" i="7"/>
  <c r="B40" i="7" a="1"/>
  <c r="B40" i="7"/>
  <c r="B41" i="7" a="1"/>
  <c r="B41" i="7"/>
  <c r="B42" i="7" a="1"/>
  <c r="B42" i="7"/>
  <c r="B43" i="7" a="1"/>
  <c r="B43" i="7"/>
  <c r="B44" i="7" a="1"/>
  <c r="B44" i="7"/>
  <c r="B45" i="7" a="1"/>
  <c r="B45" i="7"/>
  <c r="B46" i="7" a="1"/>
  <c r="B46" i="7"/>
  <c r="B47" i="7" a="1"/>
  <c r="B47" i="7"/>
  <c r="B48" i="7" a="1"/>
  <c r="B48" i="7"/>
  <c r="B49" i="7" a="1"/>
  <c r="B49" i="7"/>
  <c r="B50" i="7" a="1"/>
  <c r="B50" i="7"/>
  <c r="B51" i="7" a="1"/>
  <c r="B51" i="7"/>
  <c r="B52" i="7" a="1"/>
  <c r="B52" i="7"/>
  <c r="B53" i="7" a="1"/>
  <c r="B53" i="7"/>
  <c r="B54" i="7" a="1"/>
  <c r="B54" i="7"/>
  <c r="B55" i="7" a="1"/>
  <c r="B55" i="7"/>
  <c r="B56" i="7" a="1"/>
  <c r="B56" i="7"/>
  <c r="B57" i="7" a="1"/>
  <c r="B57" i="7"/>
  <c r="B58" i="7" a="1"/>
  <c r="B58" i="7"/>
  <c r="B59" i="7" a="1"/>
  <c r="B59" i="7"/>
  <c r="B60" i="7" a="1"/>
  <c r="B60" i="7"/>
  <c r="B61" i="7" a="1"/>
  <c r="B61" i="7"/>
  <c r="B62" i="7" a="1"/>
  <c r="B62" i="7"/>
  <c r="B63" i="7" a="1"/>
  <c r="B63" i="7"/>
  <c r="B64" i="7" a="1"/>
  <c r="B64" i="7"/>
  <c r="B65" i="7" a="1"/>
  <c r="B65" i="7"/>
  <c r="B66" i="7" a="1"/>
  <c r="B66" i="7"/>
  <c r="B67" i="7" a="1"/>
  <c r="B67" i="7"/>
  <c r="B68" i="7" a="1"/>
  <c r="B68" i="7"/>
  <c r="B69" i="7" a="1"/>
  <c r="B69" i="7"/>
  <c r="B70" i="7" a="1"/>
  <c r="B70" i="7"/>
  <c r="B71" i="7" a="1"/>
  <c r="B71" i="7"/>
  <c r="B72" i="7" a="1"/>
  <c r="B72" i="7"/>
  <c r="B73" i="7" a="1"/>
  <c r="B73" i="7"/>
  <c r="B74" i="7" a="1"/>
  <c r="B74" i="7"/>
  <c r="B75" i="7" a="1"/>
  <c r="B75" i="7"/>
  <c r="B76" i="7" a="1"/>
  <c r="B76" i="7"/>
  <c r="B77" i="7" a="1"/>
  <c r="B77" i="7"/>
  <c r="B78" i="7" a="1"/>
  <c r="B78" i="7"/>
  <c r="B79" i="7" a="1"/>
  <c r="B79" i="7"/>
  <c r="B80" i="7" a="1"/>
  <c r="B80" i="7"/>
  <c r="B81" i="7" a="1"/>
  <c r="B81" i="7"/>
  <c r="B82" i="7" a="1"/>
  <c r="B82" i="7"/>
  <c r="B83" i="7" a="1"/>
  <c r="B83" i="7"/>
  <c r="B84" i="7" a="1"/>
  <c r="B84" i="7"/>
  <c r="B85" i="7" a="1"/>
  <c r="B85" i="7"/>
  <c r="B86" i="7" a="1"/>
  <c r="B86" i="7"/>
  <c r="B87" i="7" a="1"/>
  <c r="B87" i="7"/>
  <c r="B88" i="7" a="1"/>
  <c r="B88" i="7"/>
  <c r="B89" i="7" a="1"/>
  <c r="B89" i="7"/>
  <c r="B90" i="7" a="1"/>
  <c r="B90" i="7"/>
  <c r="B91" i="7" a="1"/>
  <c r="B91" i="7"/>
  <c r="B92" i="7" a="1"/>
  <c r="B92" i="7"/>
  <c r="B93" i="7" a="1"/>
  <c r="B93" i="7"/>
  <c r="B94" i="7" a="1"/>
  <c r="B94" i="7"/>
  <c r="B95" i="7" a="1"/>
  <c r="B95" i="7"/>
  <c r="B96" i="7" a="1"/>
  <c r="B96" i="7"/>
  <c r="B97" i="7" a="1"/>
  <c r="B97" i="7"/>
  <c r="B98" i="7" a="1"/>
  <c r="B98" i="7"/>
  <c r="B99" i="7" a="1"/>
  <c r="B99" i="7"/>
  <c r="B100" i="7" a="1"/>
  <c r="B100" i="7"/>
  <c r="B101" i="7" a="1"/>
  <c r="B101" i="7"/>
  <c r="B102" i="7" a="1"/>
  <c r="B102" i="7"/>
  <c r="B103" i="7" a="1"/>
  <c r="B103" i="7"/>
  <c r="B104" i="7" a="1"/>
  <c r="B104" i="7"/>
  <c r="B105" i="7" a="1"/>
  <c r="B105" i="7"/>
  <c r="B106" i="7" a="1"/>
  <c r="B106" i="7"/>
  <c r="B107" i="7" a="1"/>
  <c r="B107" i="7"/>
  <c r="B108" i="7" a="1"/>
  <c r="B108" i="7"/>
  <c r="B109" i="7" a="1"/>
  <c r="B109" i="7"/>
  <c r="B110" i="7" a="1"/>
  <c r="B110" i="7"/>
  <c r="B111" i="7" a="1"/>
  <c r="B111" i="7"/>
  <c r="B112" i="7" a="1"/>
  <c r="B112" i="7"/>
  <c r="B113" i="7" a="1"/>
  <c r="B113" i="7"/>
  <c r="B114" i="7" a="1"/>
  <c r="B114" i="7"/>
  <c r="B115" i="7" a="1"/>
  <c r="B115" i="7"/>
  <c r="B116" i="7" a="1"/>
  <c r="B116" i="7"/>
  <c r="B117" i="7" a="1"/>
  <c r="B117" i="7"/>
  <c r="B118" i="7" a="1"/>
  <c r="B118" i="7"/>
  <c r="B119" i="7" a="1"/>
  <c r="B119" i="7"/>
  <c r="B120" i="7" a="1"/>
  <c r="B120" i="7"/>
  <c r="B121" i="7" a="1"/>
  <c r="B121" i="7"/>
  <c r="B122" i="7" a="1"/>
  <c r="B122" i="7"/>
  <c r="B123" i="7" a="1"/>
  <c r="B123" i="7"/>
  <c r="B124" i="7" a="1"/>
  <c r="B124" i="7"/>
  <c r="B125" i="7" a="1"/>
  <c r="B125" i="7"/>
  <c r="B126" i="7" a="1"/>
  <c r="B126" i="7"/>
  <c r="B127" i="7" a="1"/>
  <c r="B127" i="7"/>
  <c r="B128" i="7" a="1"/>
  <c r="B128" i="7"/>
  <c r="B129" i="7" a="1"/>
  <c r="B129" i="7"/>
  <c r="B130" i="7" a="1"/>
  <c r="B130" i="7"/>
  <c r="B131" i="7" a="1"/>
  <c r="B131" i="7"/>
  <c r="B132" i="7" a="1"/>
  <c r="B132" i="7"/>
  <c r="B133" i="7" a="1"/>
  <c r="B133" i="7"/>
  <c r="B134" i="7" a="1"/>
  <c r="B134" i="7"/>
  <c r="B135" i="7" a="1"/>
  <c r="B135" i="7"/>
  <c r="B136" i="7" a="1"/>
  <c r="B136" i="7"/>
  <c r="B137" i="7" a="1"/>
  <c r="B137" i="7"/>
  <c r="B138" i="7" a="1"/>
  <c r="B138" i="7"/>
  <c r="B139" i="7" a="1"/>
  <c r="B139" i="7"/>
  <c r="B140" i="7" a="1"/>
  <c r="B140" i="7"/>
  <c r="B141" i="7" a="1"/>
  <c r="B141" i="7"/>
  <c r="B142" i="7" a="1"/>
  <c r="B142" i="7"/>
  <c r="B143" i="7" a="1"/>
  <c r="B143" i="7"/>
  <c r="B144" i="7" a="1"/>
  <c r="B144" i="7"/>
  <c r="B145" i="7" a="1"/>
  <c r="B145" i="7"/>
  <c r="B146" i="7" a="1"/>
  <c r="B146" i="7"/>
  <c r="B147" i="7" a="1"/>
  <c r="B147" i="7"/>
  <c r="B148" i="7" a="1"/>
  <c r="B148" i="7"/>
  <c r="B149" i="7" a="1"/>
  <c r="B149" i="7"/>
  <c r="B150" i="7" a="1"/>
  <c r="B150" i="7"/>
  <c r="B151" i="7" a="1"/>
  <c r="B151" i="7"/>
  <c r="B152" i="7" a="1"/>
  <c r="B152" i="7"/>
  <c r="B153" i="7" a="1"/>
  <c r="B153" i="7"/>
  <c r="B154" i="7" a="1"/>
  <c r="B154" i="7"/>
  <c r="B155" i="7" a="1"/>
  <c r="B155" i="7"/>
  <c r="B156" i="7" a="1"/>
  <c r="B156" i="7"/>
  <c r="B157" i="7" a="1"/>
  <c r="B157" i="7"/>
  <c r="B158" i="7" a="1"/>
  <c r="B158" i="7"/>
  <c r="B159" i="7" a="1"/>
  <c r="B159" i="7"/>
  <c r="B160" i="7" a="1"/>
  <c r="B160" i="7"/>
  <c r="B161" i="7" a="1"/>
  <c r="B161" i="7"/>
  <c r="B162" i="7" a="1"/>
  <c r="B162" i="7"/>
  <c r="B163" i="7" a="1"/>
  <c r="B163" i="7"/>
  <c r="B164" i="7" a="1"/>
  <c r="B164" i="7"/>
  <c r="B165" i="7" a="1"/>
  <c r="B165" i="7"/>
  <c r="B166" i="7" a="1"/>
  <c r="B166" i="7"/>
  <c r="B167" i="7" a="1"/>
  <c r="B167" i="7"/>
  <c r="B168" i="7" a="1"/>
  <c r="B168" i="7"/>
  <c r="B169" i="7" a="1"/>
  <c r="B169" i="7"/>
  <c r="B170" i="7" a="1"/>
  <c r="B170" i="7"/>
  <c r="B171" i="7" a="1"/>
  <c r="B171" i="7"/>
  <c r="B172" i="7" a="1"/>
  <c r="B172" i="7"/>
  <c r="B173" i="7" a="1"/>
  <c r="B173" i="7"/>
  <c r="B174" i="7" a="1"/>
  <c r="B174" i="7"/>
  <c r="B175" i="7" a="1"/>
  <c r="B175" i="7"/>
  <c r="B176" i="7" a="1"/>
  <c r="B176" i="7"/>
  <c r="B177" i="7" a="1"/>
  <c r="B177" i="7"/>
  <c r="B178" i="7" a="1"/>
  <c r="B178" i="7"/>
  <c r="B179" i="7" a="1"/>
  <c r="B179" i="7"/>
  <c r="B180" i="7" a="1"/>
  <c r="B180" i="7"/>
  <c r="B181" i="7" a="1"/>
  <c r="B181" i="7"/>
  <c r="B182" i="7" a="1"/>
  <c r="B182" i="7"/>
  <c r="B183" i="7" a="1"/>
  <c r="B183" i="7"/>
  <c r="B184" i="7" a="1"/>
  <c r="B184" i="7"/>
  <c r="B185" i="7" a="1"/>
  <c r="B185" i="7"/>
  <c r="B186" i="7" a="1"/>
  <c r="B186" i="7"/>
  <c r="B187" i="7" a="1"/>
  <c r="B187" i="7"/>
  <c r="B188" i="7" a="1"/>
  <c r="B188" i="7"/>
  <c r="B189" i="7" a="1"/>
  <c r="B189" i="7"/>
  <c r="B190" i="7" a="1"/>
  <c r="B190" i="7"/>
  <c r="B191" i="7" a="1"/>
  <c r="B191" i="7"/>
  <c r="B192" i="7" a="1"/>
  <c r="B192" i="7"/>
  <c r="B193" i="7" a="1"/>
  <c r="B193" i="7"/>
  <c r="B194" i="7" a="1"/>
  <c r="B194" i="7"/>
  <c r="B195" i="7" a="1"/>
  <c r="B195" i="7"/>
  <c r="B196" i="7" a="1"/>
  <c r="B196" i="7"/>
  <c r="B197" i="7" a="1"/>
  <c r="B197" i="7"/>
  <c r="B198" i="7" a="1"/>
  <c r="B198" i="7"/>
  <c r="B199" i="7" a="1"/>
  <c r="B199" i="7"/>
  <c r="B200" i="7" a="1"/>
  <c r="B200" i="7"/>
  <c r="B201" i="7" a="1"/>
  <c r="B201" i="7"/>
  <c r="B202" i="7" a="1"/>
  <c r="B202" i="7"/>
  <c r="B203" i="7" a="1"/>
  <c r="B203" i="7"/>
  <c r="B204" i="7" a="1"/>
  <c r="B204" i="7"/>
  <c r="B205" i="7" a="1"/>
  <c r="B205" i="7"/>
  <c r="B206" i="7" a="1"/>
  <c r="B206" i="7"/>
  <c r="B207" i="7" a="1"/>
  <c r="B207" i="7"/>
  <c r="B208" i="7" a="1"/>
  <c r="B208" i="7"/>
  <c r="B209" i="7" a="1"/>
  <c r="B209" i="7"/>
  <c r="B210" i="7" a="1"/>
  <c r="B210" i="7"/>
  <c r="B211" i="7" a="1"/>
  <c r="B211" i="7"/>
  <c r="B212" i="7" a="1"/>
  <c r="B212" i="7"/>
  <c r="B213" i="7" a="1"/>
  <c r="B213" i="7"/>
  <c r="B214" i="7" a="1"/>
  <c r="B214" i="7"/>
  <c r="B215" i="7" a="1"/>
  <c r="B215" i="7"/>
  <c r="B216" i="7" a="1"/>
  <c r="B216" i="7"/>
  <c r="B217" i="7" a="1"/>
  <c r="B217" i="7"/>
  <c r="B218" i="7" a="1"/>
  <c r="B218" i="7"/>
  <c r="B219" i="7" a="1"/>
  <c r="B219" i="7"/>
  <c r="B220" i="7" a="1"/>
  <c r="B220" i="7"/>
  <c r="B221" i="7" a="1"/>
  <c r="B221" i="7"/>
  <c r="B222" i="7" a="1"/>
  <c r="B222" i="7"/>
  <c r="B223" i="7" a="1"/>
  <c r="B223" i="7"/>
  <c r="B224" i="7" a="1"/>
  <c r="B224" i="7"/>
  <c r="B225" i="7" a="1"/>
  <c r="B225" i="7"/>
  <c r="B226" i="7" a="1"/>
  <c r="B226" i="7"/>
  <c r="B227" i="7" a="1"/>
  <c r="B227" i="7"/>
  <c r="B228" i="7" a="1"/>
  <c r="B228" i="7"/>
  <c r="B229" i="7" a="1"/>
  <c r="B229" i="7"/>
  <c r="B230" i="7" a="1"/>
  <c r="B230" i="7"/>
  <c r="B231" i="7" a="1"/>
  <c r="B231" i="7"/>
  <c r="B232" i="7" a="1"/>
  <c r="B232" i="7"/>
  <c r="B233" i="7" a="1"/>
  <c r="B233" i="7"/>
  <c r="B234" i="7" a="1"/>
  <c r="B234" i="7"/>
  <c r="B235" i="7" a="1"/>
  <c r="B235" i="7"/>
  <c r="B236" i="7" a="1"/>
  <c r="B236" i="7"/>
  <c r="B237" i="7" a="1"/>
  <c r="B237" i="7"/>
  <c r="B238" i="7" a="1"/>
  <c r="B238" i="7"/>
  <c r="B239" i="7" a="1"/>
  <c r="B239" i="7"/>
  <c r="B240" i="7" a="1"/>
  <c r="B240" i="7"/>
  <c r="B241" i="7" a="1"/>
  <c r="B241" i="7"/>
  <c r="B242" i="7" a="1"/>
  <c r="B242" i="7"/>
  <c r="B243" i="7" a="1"/>
  <c r="B243" i="7"/>
  <c r="B244" i="7" a="1"/>
  <c r="B244" i="7"/>
  <c r="B245" i="7" a="1"/>
  <c r="B245" i="7"/>
  <c r="B246" i="7" a="1"/>
  <c r="B246" i="7"/>
  <c r="B247" i="7" a="1"/>
  <c r="B247" i="7"/>
  <c r="B248" i="7" a="1"/>
  <c r="B248" i="7"/>
  <c r="B249" i="7" a="1"/>
  <c r="B249" i="7"/>
  <c r="B250" i="7" a="1"/>
  <c r="B250" i="7"/>
  <c r="B251" i="7" a="1"/>
  <c r="B251" i="7"/>
  <c r="B252" i="7" a="1"/>
  <c r="B252" i="7"/>
  <c r="B253" i="7" a="1"/>
  <c r="B253" i="7"/>
  <c r="B254" i="7" a="1"/>
  <c r="B254" i="7"/>
  <c r="B255" i="7" a="1"/>
  <c r="B255" i="7"/>
  <c r="B256" i="7" a="1"/>
  <c r="B256" i="7"/>
  <c r="B257" i="7" a="1"/>
  <c r="B257" i="7"/>
  <c r="B258" i="7" a="1"/>
  <c r="B258" i="7"/>
  <c r="B259" i="7" a="1"/>
  <c r="B259" i="7"/>
  <c r="B260" i="7" a="1"/>
  <c r="B260" i="7"/>
  <c r="B261" i="7" a="1"/>
  <c r="B261" i="7"/>
  <c r="B262" i="7" a="1"/>
  <c r="B262" i="7"/>
  <c r="B263" i="7" a="1"/>
  <c r="B263" i="7"/>
  <c r="B264" i="7" a="1"/>
  <c r="B264" i="7"/>
  <c r="B265" i="7" a="1"/>
  <c r="B265" i="7"/>
  <c r="B266" i="7" a="1"/>
  <c r="B266" i="7"/>
  <c r="B267" i="7" a="1"/>
  <c r="B267" i="7"/>
  <c r="B268" i="7" a="1"/>
  <c r="B268" i="7"/>
  <c r="B269" i="7" a="1"/>
  <c r="B269" i="7"/>
  <c r="B270" i="7" a="1"/>
  <c r="B270" i="7"/>
  <c r="B271" i="7" a="1"/>
  <c r="B271" i="7"/>
  <c r="B272" i="7" a="1"/>
  <c r="B272" i="7"/>
  <c r="B273" i="7" a="1"/>
  <c r="B273" i="7"/>
  <c r="B274" i="7" a="1"/>
  <c r="B274" i="7"/>
  <c r="B275" i="7" a="1"/>
  <c r="B275" i="7"/>
  <c r="B276" i="7" a="1"/>
  <c r="B276" i="7"/>
  <c r="B277" i="7" a="1"/>
  <c r="B277" i="7"/>
  <c r="B278" i="7" a="1"/>
  <c r="B278" i="7"/>
  <c r="B279" i="7" a="1"/>
  <c r="B279" i="7"/>
  <c r="B280" i="7" a="1"/>
  <c r="B280" i="7"/>
  <c r="B281" i="7" a="1"/>
  <c r="B281" i="7"/>
  <c r="B282" i="7" a="1"/>
  <c r="B282" i="7"/>
  <c r="B283" i="7" a="1"/>
  <c r="B283" i="7"/>
  <c r="B284" i="7" a="1"/>
  <c r="B284" i="7"/>
  <c r="B285" i="7" a="1"/>
  <c r="B285" i="7"/>
  <c r="B286" i="7" a="1"/>
  <c r="B286" i="7"/>
  <c r="B287" i="7" a="1"/>
  <c r="B287" i="7"/>
  <c r="B288" i="7" a="1"/>
  <c r="B288" i="7"/>
  <c r="B289" i="7" a="1"/>
  <c r="B289" i="7"/>
  <c r="B290" i="7" a="1"/>
  <c r="B290" i="7"/>
  <c r="B291" i="7" a="1"/>
  <c r="B291" i="7"/>
  <c r="B292" i="7" a="1"/>
  <c r="B292" i="7"/>
  <c r="B293" i="7" a="1"/>
  <c r="B293" i="7"/>
  <c r="B294" i="7" a="1"/>
  <c r="B294" i="7"/>
  <c r="B295" i="7" a="1"/>
  <c r="B295" i="7"/>
  <c r="B296" i="7" a="1"/>
  <c r="B296" i="7"/>
  <c r="B297" i="7" a="1"/>
  <c r="B297" i="7"/>
  <c r="B298" i="7" a="1"/>
  <c r="B298" i="7"/>
  <c r="B299" i="7" a="1"/>
  <c r="B299" i="7"/>
  <c r="B300" i="7" a="1"/>
  <c r="B300" i="7"/>
  <c r="B301" i="7" a="1"/>
  <c r="B301" i="7"/>
  <c r="B302" i="7" a="1"/>
  <c r="B302" i="7"/>
  <c r="B303" i="7" a="1"/>
  <c r="B303" i="7"/>
  <c r="B304" i="7" a="1"/>
  <c r="B304" i="7"/>
  <c r="B305" i="7" a="1"/>
  <c r="B305" i="7"/>
  <c r="B306" i="7" a="1"/>
  <c r="B306" i="7"/>
  <c r="B307" i="7" a="1"/>
  <c r="B307" i="7"/>
  <c r="B308" i="7" a="1"/>
  <c r="B308" i="7"/>
  <c r="B309" i="7" a="1"/>
  <c r="B309" i="7"/>
  <c r="B310" i="7" a="1"/>
  <c r="B310" i="7"/>
  <c r="B311" i="7" a="1"/>
  <c r="B311" i="7"/>
  <c r="B312" i="7" a="1"/>
  <c r="B312" i="7"/>
  <c r="B313" i="7" a="1"/>
  <c r="B313" i="7"/>
  <c r="B314" i="7" a="1"/>
  <c r="B314" i="7"/>
  <c r="B315" i="7" a="1"/>
  <c r="B315" i="7"/>
  <c r="B316" i="7" a="1"/>
  <c r="B316" i="7"/>
  <c r="B317" i="7" a="1"/>
  <c r="B317" i="7"/>
  <c r="B318" i="7" a="1"/>
  <c r="B318" i="7"/>
  <c r="B319" i="7" a="1"/>
  <c r="B319" i="7"/>
  <c r="B320" i="7" a="1"/>
  <c r="B320" i="7"/>
  <c r="B321" i="7" a="1"/>
  <c r="B321" i="7"/>
  <c r="B322" i="7" a="1"/>
  <c r="B322" i="7"/>
  <c r="B323" i="7" a="1"/>
  <c r="B323" i="7"/>
  <c r="B324" i="7" a="1"/>
  <c r="B324" i="7"/>
  <c r="B325" i="7" a="1"/>
  <c r="B325" i="7"/>
  <c r="B326" i="7" a="1"/>
  <c r="B326" i="7"/>
  <c r="B327" i="7" a="1"/>
  <c r="B327" i="7"/>
  <c r="B328" i="7" a="1"/>
  <c r="B328" i="7"/>
  <c r="B329" i="7" a="1"/>
  <c r="B329" i="7"/>
  <c r="B330" i="7" a="1"/>
  <c r="B330" i="7"/>
  <c r="B331" i="7" a="1"/>
  <c r="B331" i="7"/>
  <c r="B332" i="7" a="1"/>
  <c r="B332" i="7"/>
  <c r="B333" i="7" a="1"/>
  <c r="B333" i="7"/>
  <c r="B334" i="7" a="1"/>
  <c r="B334" i="7"/>
  <c r="B335" i="7" a="1"/>
  <c r="B335" i="7"/>
  <c r="B336" i="7" a="1"/>
  <c r="B336" i="7"/>
  <c r="B337" i="7" a="1"/>
  <c r="B337" i="7"/>
  <c r="B338" i="7" a="1"/>
  <c r="B338" i="7"/>
  <c r="B339" i="7" a="1"/>
  <c r="B339" i="7"/>
  <c r="B340" i="7" a="1"/>
  <c r="B340" i="7"/>
  <c r="B341" i="7" a="1"/>
  <c r="B341" i="7"/>
  <c r="B342" i="7" a="1"/>
  <c r="B342" i="7"/>
  <c r="B1" i="7" a="1"/>
  <c r="B1" i="7"/>
  <c r="B2" i="7" a="1"/>
  <c r="B2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<sst xmlns="http://schemas.openxmlformats.org/spreadsheetml/2006/main" count="6221" uniqueCount="964">
  <si>
    <t>Name</t>
  </si>
  <si>
    <t>Team</t>
  </si>
  <si>
    <t>W</t>
  </si>
  <si>
    <t>L</t>
  </si>
  <si>
    <t>ERA</t>
  </si>
  <si>
    <t>G</t>
  </si>
  <si>
    <t>GS</t>
  </si>
  <si>
    <t>CG</t>
  </si>
  <si>
    <t>ShO</t>
  </si>
  <si>
    <t>SV</t>
  </si>
  <si>
    <t>HLD</t>
  </si>
  <si>
    <t>BS</t>
  </si>
  <si>
    <t>IP</t>
  </si>
  <si>
    <t>TBF</t>
  </si>
  <si>
    <t>H</t>
  </si>
  <si>
    <t>R</t>
  </si>
  <si>
    <t>ER</t>
  </si>
  <si>
    <t>HR</t>
  </si>
  <si>
    <t>BB</t>
  </si>
  <si>
    <t>IBB</t>
  </si>
  <si>
    <t>HBP</t>
  </si>
  <si>
    <t>WP</t>
  </si>
  <si>
    <t>BK</t>
  </si>
  <si>
    <t>SO</t>
  </si>
  <si>
    <t>playerid</t>
  </si>
  <si>
    <t>Kirby Yates</t>
  </si>
  <si>
    <t>Padres</t>
  </si>
  <si>
    <t>Will Harris</t>
  </si>
  <si>
    <t>Astros</t>
  </si>
  <si>
    <t>Felipe Vazquez</t>
  </si>
  <si>
    <t>Pirates</t>
  </si>
  <si>
    <t>Tyler Glasnow</t>
  </si>
  <si>
    <t>Rays</t>
  </si>
  <si>
    <t>Liam Hendriks</t>
  </si>
  <si>
    <t>Athletics</t>
  </si>
  <si>
    <t>Ken Giles</t>
  </si>
  <si>
    <t>Blue Jays</t>
  </si>
  <si>
    <t>Brandon Workman</t>
  </si>
  <si>
    <t>Red Sox</t>
  </si>
  <si>
    <t>Adam Ottavino</t>
  </si>
  <si>
    <t>Yankees</t>
  </si>
  <si>
    <t>Zack Britton</t>
  </si>
  <si>
    <t>Aaron Bummer</t>
  </si>
  <si>
    <t>White Sox</t>
  </si>
  <si>
    <t>Aroldis Chapman</t>
  </si>
  <si>
    <t>Scott Oberg</t>
  </si>
  <si>
    <t>Rockies</t>
  </si>
  <si>
    <t>Shane Greene</t>
  </si>
  <si>
    <t>- - -</t>
  </si>
  <si>
    <t>Giovanny Gallegos</t>
  </si>
  <si>
    <t>Cardinals</t>
  </si>
  <si>
    <t>Emilio Pagan</t>
  </si>
  <si>
    <t>Hyun-Jin Ryu</t>
  </si>
  <si>
    <t>Dodgers</t>
  </si>
  <si>
    <t>Ryan Pressly</t>
  </si>
  <si>
    <t>Aaron Civale</t>
  </si>
  <si>
    <t>Indians</t>
  </si>
  <si>
    <t>Jacob deGrom</t>
  </si>
  <si>
    <t>Mets</t>
  </si>
  <si>
    <t>Rich Hill</t>
  </si>
  <si>
    <t>Daniel Hudson</t>
  </si>
  <si>
    <t>Hansel Robles</t>
  </si>
  <si>
    <t>Angels</t>
  </si>
  <si>
    <t>Julio Urias</t>
  </si>
  <si>
    <t>Evan Marshall</t>
  </si>
  <si>
    <t>Tyler Duffey</t>
  </si>
  <si>
    <t>Twins</t>
  </si>
  <si>
    <t>Gerrit Cole</t>
  </si>
  <si>
    <t>Justin Verlander</t>
  </si>
  <si>
    <t>Taylor Rogers</t>
  </si>
  <si>
    <t>Josh Hader</t>
  </si>
  <si>
    <t>Brewers</t>
  </si>
  <si>
    <t>Frankie Montas</t>
  </si>
  <si>
    <t>Roberto Osuna</t>
  </si>
  <si>
    <t>Mike Soroka</t>
  </si>
  <si>
    <t>Braves</t>
  </si>
  <si>
    <t>Brandon Kintzler</t>
  </si>
  <si>
    <t>Cubs</t>
  </si>
  <si>
    <t>Seth Lugo</t>
  </si>
  <si>
    <t>Yusmeiro Petit</t>
  </si>
  <si>
    <t>Mike Clevinger</t>
  </si>
  <si>
    <t>Jack Flaherty</t>
  </si>
  <si>
    <t>Will Smith</t>
  </si>
  <si>
    <t>Giants</t>
  </si>
  <si>
    <t>Alex Colome</t>
  </si>
  <si>
    <t>Nick Wittgren</t>
  </si>
  <si>
    <t>Zac Gallen</t>
  </si>
  <si>
    <t>Reyes Moronta</t>
  </si>
  <si>
    <t>Sonny Gray</t>
  </si>
  <si>
    <t>Reds</t>
  </si>
  <si>
    <t>Tyler Clippard</t>
  </si>
  <si>
    <t>Michael Lorenzen</t>
  </si>
  <si>
    <t>Max Scherzer</t>
  </si>
  <si>
    <t>Nationals</t>
  </si>
  <si>
    <t>Hector Neris</t>
  </si>
  <si>
    <t>Phillies</t>
  </si>
  <si>
    <t>Zack Greinke</t>
  </si>
  <si>
    <t>Luke Weaver</t>
  </si>
  <si>
    <t>Diamondbacks</t>
  </si>
  <si>
    <t>Trevor May</t>
  </si>
  <si>
    <t>Steve Cishek</t>
  </si>
  <si>
    <t>Jarlin Garcia</t>
  </si>
  <si>
    <t>Marlins</t>
  </si>
  <si>
    <t>Clayton Kershaw</t>
  </si>
  <si>
    <t>Charlie Morton</t>
  </si>
  <si>
    <t>Pedro Baez</t>
  </si>
  <si>
    <t>Sean Newcomb</t>
  </si>
  <si>
    <t>Oliver Drake</t>
  </si>
  <si>
    <t>Amir Garrett</t>
  </si>
  <si>
    <t>Marcus Stroman</t>
  </si>
  <si>
    <t>Cam Bedrosian</t>
  </si>
  <si>
    <t>Patrick Corbin</t>
  </si>
  <si>
    <t>Walker Buehler</t>
  </si>
  <si>
    <t>Adam Kolarek</t>
  </si>
  <si>
    <t>Shane Bieber</t>
  </si>
  <si>
    <t>Craig Stammen</t>
  </si>
  <si>
    <t>Brad Hand</t>
  </si>
  <si>
    <t>Stephen Strasburg</t>
  </si>
  <si>
    <t>Sam Dyson</t>
  </si>
  <si>
    <t>Nick Anderson</t>
  </si>
  <si>
    <t>Chris Paddack</t>
  </si>
  <si>
    <t>Dakota Hudson</t>
  </si>
  <si>
    <t>Jose Alvarez</t>
  </si>
  <si>
    <t>Chris Martin</t>
  </si>
  <si>
    <t>Luis Castillo</t>
  </si>
  <si>
    <t>Diego Castillo</t>
  </si>
  <si>
    <t>Ian Kennedy</t>
  </si>
  <si>
    <t>Royals</t>
  </si>
  <si>
    <t>Yoan Lopez</t>
  </si>
  <si>
    <t>Lucas Giolito</t>
  </si>
  <si>
    <t>Sergio Romo</t>
  </si>
  <si>
    <t>Kyle Hendricks</t>
  </si>
  <si>
    <t>Francisco Liriano</t>
  </si>
  <si>
    <t>Ross Stripling</t>
  </si>
  <si>
    <t>Gio Gonzalez</t>
  </si>
  <si>
    <t>Jake Odorizzi</t>
  </si>
  <si>
    <t>Archie Bradley</t>
  </si>
  <si>
    <t>Jeff Samardzija</t>
  </si>
  <si>
    <t>Kyle Ryan</t>
  </si>
  <si>
    <t>Junior Guerra</t>
  </si>
  <si>
    <t>Zach Davies</t>
  </si>
  <si>
    <t>Alex Young</t>
  </si>
  <si>
    <t>Mike Minor</t>
  </si>
  <si>
    <t>Rangers</t>
  </si>
  <si>
    <t>John Brebbia</t>
  </si>
  <si>
    <t>John Means</t>
  </si>
  <si>
    <t>Orioles</t>
  </si>
  <si>
    <t>Mark Melancon</t>
  </si>
  <si>
    <t>Yimi Garcia</t>
  </si>
  <si>
    <t>Brandon Woodruff</t>
  </si>
  <si>
    <t>John Gant</t>
  </si>
  <si>
    <t>Tommy Kahnle</t>
  </si>
  <si>
    <t>Lance Lynn</t>
  </si>
  <si>
    <t>Jose Berrios</t>
  </si>
  <si>
    <t>Hector Rondon</t>
  </si>
  <si>
    <t>Kenley Jansen</t>
  </si>
  <si>
    <t>Adrian Houser</t>
  </si>
  <si>
    <t>Richard Rodriguez</t>
  </si>
  <si>
    <t>Buck Farmer</t>
  </si>
  <si>
    <t>Tigers</t>
  </si>
  <si>
    <t>Josh Tomlin</t>
  </si>
  <si>
    <t>Carlos Estevez</t>
  </si>
  <si>
    <t>Dallas Keuchel</t>
  </si>
  <si>
    <t>Tyler Chatwood</t>
  </si>
  <si>
    <t>Robert Stephenson</t>
  </si>
  <si>
    <t>Andrew Chafin</t>
  </si>
  <si>
    <t>Tyler Webb</t>
  </si>
  <si>
    <t>Matt Barnes</t>
  </si>
  <si>
    <t>Eduardo Rodriguez</t>
  </si>
  <si>
    <t>Marcus Walden</t>
  </si>
  <si>
    <t>Ryne Harper</t>
  </si>
  <si>
    <t>Cole Hamels</t>
  </si>
  <si>
    <t>Chris Bassitt</t>
  </si>
  <si>
    <t>Zach Plesac</t>
  </si>
  <si>
    <t>Julio Teheran</t>
  </si>
  <si>
    <t>James Paxton</t>
  </si>
  <si>
    <t>Luke Jackson</t>
  </si>
  <si>
    <t>Jon Gray</t>
  </si>
  <si>
    <t>Yonny Chirinos</t>
  </si>
  <si>
    <t>Anibal Sanchez</t>
  </si>
  <si>
    <t>Aaron Nola</t>
  </si>
  <si>
    <t>Sandy Alcantara</t>
  </si>
  <si>
    <t>Brett Anderson</t>
  </si>
  <si>
    <t>Anthony DeSclafani</t>
  </si>
  <si>
    <t>Mike Fiers</t>
  </si>
  <si>
    <t>Madison Bumgarner</t>
  </si>
  <si>
    <t>Roenis Elias</t>
  </si>
  <si>
    <t>Zack Wheeler</t>
  </si>
  <si>
    <t>Ryne Stanek</t>
  </si>
  <si>
    <t>Yu Darvish</t>
  </si>
  <si>
    <t>Wade Miley</t>
  </si>
  <si>
    <t>Ty Buttrey</t>
  </si>
  <si>
    <t>Marco Gonzales</t>
  </si>
  <si>
    <t>Mariners</t>
  </si>
  <si>
    <t>Noe Ramirez</t>
  </si>
  <si>
    <t>Michael Feliz</t>
  </si>
  <si>
    <t>Luis Perdomo</t>
  </si>
  <si>
    <t>Michael Pineda</t>
  </si>
  <si>
    <t>Max Fried</t>
  </si>
  <si>
    <t>Domingo German</t>
  </si>
  <si>
    <t>Jared Hughes</t>
  </si>
  <si>
    <t>Kenta Maeda</t>
  </si>
  <si>
    <t>Sean Doolittle</t>
  </si>
  <si>
    <t>Trevor Richards</t>
  </si>
  <si>
    <t>Chaz Roe</t>
  </si>
  <si>
    <t>Alex Claudio</t>
  </si>
  <si>
    <t>Cory Gearrin</t>
  </si>
  <si>
    <t>Nick Ramirez</t>
  </si>
  <si>
    <t>Dinelson Lamet</t>
  </si>
  <si>
    <t>Matt Magill</t>
  </si>
  <si>
    <t>Luis Cessa</t>
  </si>
  <si>
    <t>Colten Brewer</t>
  </si>
  <si>
    <t>Brad Peacock</t>
  </si>
  <si>
    <t>Ryan Yarbrough</t>
  </si>
  <si>
    <t>Zach Eflin</t>
  </si>
  <si>
    <t>Jordan Lyles</t>
  </si>
  <si>
    <t>Miles Mikolas</t>
  </si>
  <si>
    <t>Raisel Iglesias</t>
  </si>
  <si>
    <t>Tony Watson</t>
  </si>
  <si>
    <t>Chad Green</t>
  </si>
  <si>
    <t>Joey Lucchesi</t>
  </si>
  <si>
    <t>Brad Keller</t>
  </si>
  <si>
    <t>Adam Wainwright</t>
  </si>
  <si>
    <t>Chase Anderson</t>
  </si>
  <si>
    <t>Steven Matz</t>
  </si>
  <si>
    <t>Scott Barlow</t>
  </si>
  <si>
    <t>David Price</t>
  </si>
  <si>
    <t>Noah Syndergaard</t>
  </si>
  <si>
    <t>Blake Snell</t>
  </si>
  <si>
    <t>Tyler Skaggs</t>
  </si>
  <si>
    <t>Mike Leake</t>
  </si>
  <si>
    <t>Joakim Soria</t>
  </si>
  <si>
    <t>Jalen Beeks</t>
  </si>
  <si>
    <t>Jose Leclerc</t>
  </si>
  <si>
    <t>Robbie Ray</t>
  </si>
  <si>
    <t>Danny Duffy</t>
  </si>
  <si>
    <t>Tanner Roark</t>
  </si>
  <si>
    <t>Luis Garcia</t>
  </si>
  <si>
    <t>Joe Jimenez</t>
  </si>
  <si>
    <t>Jacob Waguespack</t>
  </si>
  <si>
    <t>Chris Sale</t>
  </si>
  <si>
    <t>Merrill Kelly</t>
  </si>
  <si>
    <t>Joe Musgrove</t>
  </si>
  <si>
    <t>Trevor Gott</t>
  </si>
  <si>
    <t>Andrew Miller</t>
  </si>
  <si>
    <t>Adam Cimber</t>
  </si>
  <si>
    <t>Eric Lauer</t>
  </si>
  <si>
    <t>Masahiro Tanaka</t>
  </si>
  <si>
    <t>Jon Lester</t>
  </si>
  <si>
    <t>Jordan Yamamoto</t>
  </si>
  <si>
    <t>Kevin McCarthy</t>
  </si>
  <si>
    <t>Trevor Bauer</t>
  </si>
  <si>
    <t>Wilmer Font</t>
  </si>
  <si>
    <t>Daniel Norris</t>
  </si>
  <si>
    <t>Erick Fedde</t>
  </si>
  <si>
    <t>Jason Vargas</t>
  </si>
  <si>
    <t>Caleb Smith</t>
  </si>
  <si>
    <t>Jairo Diaz</t>
  </si>
  <si>
    <t>Mike Foltynewicz</t>
  </si>
  <si>
    <t>Wander Suero</t>
  </si>
  <si>
    <t>Blake Parker</t>
  </si>
  <si>
    <t>Anthony Swarzak</t>
  </si>
  <si>
    <t>Joe Kelly</t>
  </si>
  <si>
    <t>Matthew Boyd</t>
  </si>
  <si>
    <t>Mychal Givens</t>
  </si>
  <si>
    <t>Homer Bailey</t>
  </si>
  <si>
    <t>Felix Pena</t>
  </si>
  <si>
    <t>Griffin Canning</t>
  </si>
  <si>
    <t>Joe Biagini</t>
  </si>
  <si>
    <t>Sam Gaviglio</t>
  </si>
  <si>
    <t>Spencer Turnbull</t>
  </si>
  <si>
    <t>Mike Morin</t>
  </si>
  <si>
    <t>Jake Arrieta</t>
  </si>
  <si>
    <t>Jake Diekman</t>
  </si>
  <si>
    <t>Javy Guerra</t>
  </si>
  <si>
    <t>Josh Osich</t>
  </si>
  <si>
    <t>Miguel Castro</t>
  </si>
  <si>
    <t>Robert Gsellman</t>
  </si>
  <si>
    <t>Andrew Cashner</t>
  </si>
  <si>
    <t>Jose Quintana</t>
  </si>
  <si>
    <t>Josh James</t>
  </si>
  <si>
    <t>Collin McHugh</t>
  </si>
  <si>
    <t>Colin Poche</t>
  </si>
  <si>
    <t>Matt Strahm</t>
  </si>
  <si>
    <t>Matt Andriese</t>
  </si>
  <si>
    <t>Ivan Nova</t>
  </si>
  <si>
    <t>Jace Fry</t>
  </si>
  <si>
    <t>Yoshihisa Hirano</t>
  </si>
  <si>
    <t>Tommy Milone</t>
  </si>
  <si>
    <t>German Marquez</t>
  </si>
  <si>
    <t>Michael Wacha</t>
  </si>
  <si>
    <t>Brett Martin</t>
  </si>
  <si>
    <t>Dylan Bundy</t>
  </si>
  <si>
    <t>T.J. McFarland</t>
  </si>
  <si>
    <t>Chris Devenski</t>
  </si>
  <si>
    <t>Daniel Mengden</t>
  </si>
  <si>
    <t>Kyle Gibson</t>
  </si>
  <si>
    <t>Trent Thornton</t>
  </si>
  <si>
    <t>Jesse Chavez</t>
  </si>
  <si>
    <t>Drew Pomeranz</t>
  </si>
  <si>
    <t>Ryan Brasier</t>
  </si>
  <si>
    <t>Adam Plutko</t>
  </si>
  <si>
    <t>Tyler Alexander</t>
  </si>
  <si>
    <t>Derek Law</t>
  </si>
  <si>
    <t>J.A. Happ</t>
  </si>
  <si>
    <t>Andrew Heaney</t>
  </si>
  <si>
    <t>Dario Agrazal</t>
  </si>
  <si>
    <t>Vince Velasquez</t>
  </si>
  <si>
    <t>Blake Treinen</t>
  </si>
  <si>
    <t>Tim Mayza</t>
  </si>
  <si>
    <t>Asher Wojciechowski</t>
  </si>
  <si>
    <t>Mike Montgomery</t>
  </si>
  <si>
    <t>CC Sabathia</t>
  </si>
  <si>
    <t>Jeremy Jeffress</t>
  </si>
  <si>
    <t>Elieser Hernandez</t>
  </si>
  <si>
    <t>Tyler Beede</t>
  </si>
  <si>
    <t>Pablo Lopez</t>
  </si>
  <si>
    <t>Martin Perez</t>
  </si>
  <si>
    <t>Matt Albers</t>
  </si>
  <si>
    <t>Tyler Mahle</t>
  </si>
  <si>
    <t>Cal Quantrill</t>
  </si>
  <si>
    <t>Steven Brault</t>
  </si>
  <si>
    <t>Chris Archer</t>
  </si>
  <si>
    <t>Jose Urena</t>
  </si>
  <si>
    <t>Jakob Junis</t>
  </si>
  <si>
    <t>Lou Trivino</t>
  </si>
  <si>
    <t>Chi Chi Gonzalez</t>
  </si>
  <si>
    <t>Carlos Carrasco</t>
  </si>
  <si>
    <t>Freddy Peralta</t>
  </si>
  <si>
    <t>Taylor Clarke</t>
  </si>
  <si>
    <t>Paul Fry</t>
  </si>
  <si>
    <t>Robbie Erlin</t>
  </si>
  <si>
    <t>Richard Bleier</t>
  </si>
  <si>
    <t>Dillon Peters</t>
  </si>
  <si>
    <t>Bryan Shaw</t>
  </si>
  <si>
    <t>Trevor Williams</t>
  </si>
  <si>
    <t>Reynaldo Lopez</t>
  </si>
  <si>
    <t>Nick Pivetta</t>
  </si>
  <si>
    <t>Hector Velazquez</t>
  </si>
  <si>
    <t>Shaun Anderson</t>
  </si>
  <si>
    <t>Yusei Kikuchi</t>
  </si>
  <si>
    <t>Brad Brach</t>
  </si>
  <si>
    <t>Joe Ross</t>
  </si>
  <si>
    <t>Rick Porcello</t>
  </si>
  <si>
    <t>Chris Stratton</t>
  </si>
  <si>
    <t>Clay Holmes</t>
  </si>
  <si>
    <t>Edwin Diaz</t>
  </si>
  <si>
    <t>Matt Wisler</t>
  </si>
  <si>
    <t>Gabriel Ynoa</t>
  </si>
  <si>
    <t>Dereck Rodriguez</t>
  </si>
  <si>
    <t>Aaron Brooks</t>
  </si>
  <si>
    <t>Trey Wingenter</t>
  </si>
  <si>
    <t>Nestor Cortes</t>
  </si>
  <si>
    <t>Jeurys Familia</t>
  </si>
  <si>
    <t>Jerad Eickhoff</t>
  </si>
  <si>
    <t>Wade LeBlanc</t>
  </si>
  <si>
    <t>Kevin Gausman</t>
  </si>
  <si>
    <t>Erik Swanson</t>
  </si>
  <si>
    <t>Shawn Armstrong</t>
  </si>
  <si>
    <t>Gregory Soto</t>
  </si>
  <si>
    <t>Dylan Cease</t>
  </si>
  <si>
    <t>Ariel Jurado</t>
  </si>
  <si>
    <t>Framber Valdez</t>
  </si>
  <si>
    <t>Adrian Sampson</t>
  </si>
  <si>
    <t>Aaron Sanchez</t>
  </si>
  <si>
    <t>Drew VerHagen</t>
  </si>
  <si>
    <t>Taylor Cole</t>
  </si>
  <si>
    <t>Zack Godley</t>
  </si>
  <si>
    <t>Trevor Cahill</t>
  </si>
  <si>
    <t>Nathan Eovaldi</t>
  </si>
  <si>
    <t>Jhoulys Chacin</t>
  </si>
  <si>
    <t>Glenn Sparkman</t>
  </si>
  <si>
    <t>Chad Bettis</t>
  </si>
  <si>
    <t>Derek Holland</t>
  </si>
  <si>
    <t>Kelvin Herrera</t>
  </si>
  <si>
    <t>Thomas Pannone</t>
  </si>
  <si>
    <t>Drew Smyly</t>
  </si>
  <si>
    <t>Jorge Lopez</t>
  </si>
  <si>
    <t>Felix Hernandez</t>
  </si>
  <si>
    <t>Jaime Barria</t>
  </si>
  <si>
    <t>Adam Conley</t>
  </si>
  <si>
    <t>Jeff Hoffman</t>
  </si>
  <si>
    <t>Clay Buchholz</t>
  </si>
  <si>
    <t>Wei-Yin Chen</t>
  </si>
  <si>
    <t>Ross Detwiler</t>
  </si>
  <si>
    <t>Antonio Senzatela</t>
  </si>
  <si>
    <t>Kyle Freeland</t>
  </si>
  <si>
    <t>Nick Margevicius</t>
  </si>
  <si>
    <t>Jordan Zimmermann</t>
  </si>
  <si>
    <t>Manny Banuelos</t>
  </si>
  <si>
    <t>David Hess</t>
  </si>
  <si>
    <t>Matt Harvey</t>
  </si>
  <si>
    <t>Jose Suarez</t>
  </si>
  <si>
    <t>Peter Lambert</t>
  </si>
  <si>
    <t>Nick Kingham</t>
  </si>
  <si>
    <t>Dylan Covey</t>
  </si>
  <si>
    <t>Edwin Jackson</t>
  </si>
  <si>
    <t>SIERA</t>
  </si>
  <si>
    <t>xFIP</t>
  </si>
  <si>
    <t>E-F</t>
  </si>
  <si>
    <t>FIP</t>
  </si>
  <si>
    <t>xFIP-</t>
  </si>
  <si>
    <t>FIP-</t>
  </si>
  <si>
    <t>ERA-</t>
  </si>
  <si>
    <t>LOB%</t>
  </si>
  <si>
    <t>BABIP</t>
  </si>
  <si>
    <t>WHIP</t>
  </si>
  <si>
    <t>AVG</t>
  </si>
  <si>
    <t>K-BB%</t>
  </si>
  <si>
    <t>BB%</t>
  </si>
  <si>
    <t>K%</t>
  </si>
  <si>
    <t>HR/9</t>
  </si>
  <si>
    <t>K/BB</t>
  </si>
  <si>
    <t>BB/9</t>
  </si>
  <si>
    <t>K/9</t>
  </si>
  <si>
    <t>SwStr%</t>
  </si>
  <si>
    <t>F-Strike%</t>
  </si>
  <si>
    <t>Zone%</t>
  </si>
  <si>
    <t>Contact%</t>
  </si>
  <si>
    <t>Z-Contact%</t>
  </si>
  <si>
    <t>O-Contact%</t>
  </si>
  <si>
    <t>Swing%</t>
  </si>
  <si>
    <t>Z-Swing%</t>
  </si>
  <si>
    <t>O-Swing%</t>
  </si>
  <si>
    <t>wKN/C</t>
  </si>
  <si>
    <t>wSF/C</t>
  </si>
  <si>
    <t>wCH/C</t>
  </si>
  <si>
    <t>wCB/C</t>
  </si>
  <si>
    <t>wCT/C</t>
  </si>
  <si>
    <t>wSL/C</t>
  </si>
  <si>
    <t>wFB/C</t>
  </si>
  <si>
    <t>wKN</t>
  </si>
  <si>
    <t>wSF</t>
  </si>
  <si>
    <t>wCH</t>
  </si>
  <si>
    <t>wCB</t>
  </si>
  <si>
    <t>wCT</t>
  </si>
  <si>
    <t>wSL</t>
  </si>
  <si>
    <t>wFB</t>
  </si>
  <si>
    <t>Hard%</t>
  </si>
  <si>
    <t>Med%</t>
  </si>
  <si>
    <t>Soft%</t>
  </si>
  <si>
    <t>Oppo%</t>
  </si>
  <si>
    <t>Cent%</t>
  </si>
  <si>
    <t>Pull%</t>
  </si>
  <si>
    <t>Pitches</t>
  </si>
  <si>
    <t>Strikes</t>
  </si>
  <si>
    <t>Balls</t>
  </si>
  <si>
    <t>RS/9</t>
  </si>
  <si>
    <t>RS</t>
  </si>
  <si>
    <t>HR/FB</t>
  </si>
  <si>
    <t>IFFB%</t>
  </si>
  <si>
    <t>FB%</t>
  </si>
  <si>
    <t>GB%</t>
  </si>
  <si>
    <t>LD%</t>
  </si>
  <si>
    <t>GB/FB</t>
  </si>
  <si>
    <t>SB-Z</t>
  </si>
  <si>
    <t>KN-Z</t>
  </si>
  <si>
    <t>CS-Z</t>
  </si>
  <si>
    <t>CU-Z</t>
  </si>
  <si>
    <t>SL-Z</t>
  </si>
  <si>
    <t>CH-Z</t>
  </si>
  <si>
    <t>SI-Z</t>
  </si>
  <si>
    <t>FS-Z</t>
  </si>
  <si>
    <t>FC-Z</t>
  </si>
  <si>
    <t>FA-Z</t>
  </si>
  <si>
    <t>Michael King</t>
  </si>
  <si>
    <t>Andrew Vasquez</t>
  </si>
  <si>
    <t>Trevor Kelley</t>
  </si>
  <si>
    <t>Phillips Valdez</t>
  </si>
  <si>
    <t>Tyler Rogers</t>
  </si>
  <si>
    <t>Eric Yardley</t>
  </si>
  <si>
    <t>Donnie Hart</t>
  </si>
  <si>
    <t>Kyle Farmer</t>
  </si>
  <si>
    <t>Chris Mazza</t>
  </si>
  <si>
    <t>Hoby Milner</t>
  </si>
  <si>
    <t>Matt Carasiti</t>
  </si>
  <si>
    <t>Bryan Holaday</t>
  </si>
  <si>
    <t>Aaron Loup</t>
  </si>
  <si>
    <t>David Robertson</t>
  </si>
  <si>
    <t>Pat Neshek</t>
  </si>
  <si>
    <t>Xavier Cedeno</t>
  </si>
  <si>
    <t>Jose Rondon</t>
  </si>
  <si>
    <t>Steve Wilkerson</t>
  </si>
  <si>
    <t>Taylor Davis</t>
  </si>
  <si>
    <t>John Ryan Murphy</t>
  </si>
  <si>
    <t>Brandon Dixon</t>
  </si>
  <si>
    <t>Mike Freeman</t>
  </si>
  <si>
    <t>Jesus Sucre</t>
  </si>
  <si>
    <t>Victor Caratini</t>
  </si>
  <si>
    <t>Nick Martini</t>
  </si>
  <si>
    <t>Brian Dozier</t>
  </si>
  <si>
    <t>Ehire Adrianza</t>
  </si>
  <si>
    <t>Hernan Perez</t>
  </si>
  <si>
    <t>Chris Owings</t>
  </si>
  <si>
    <t>Dylan Moore</t>
  </si>
  <si>
    <t>Hanser Alberto</t>
  </si>
  <si>
    <t>Tim Federowicz</t>
  </si>
  <si>
    <t>Alex Avila</t>
  </si>
  <si>
    <t>Austin Romine</t>
  </si>
  <si>
    <t>Mike Brosseau</t>
  </si>
  <si>
    <t>Max Stassi</t>
  </si>
  <si>
    <t>Caleb Joseph</t>
  </si>
  <si>
    <t>Jeff Mathis</t>
  </si>
  <si>
    <t>Luke Maile</t>
  </si>
  <si>
    <t>Jacob Stallings</t>
  </si>
  <si>
    <t>Jose Peraza</t>
  </si>
  <si>
    <t>Kevin Plawecki</t>
  </si>
  <si>
    <t>Jedd Gyorko</t>
  </si>
  <si>
    <t>Tyler White</t>
  </si>
  <si>
    <t>Mark Reynolds</t>
  </si>
  <si>
    <t>Daniel Descalso</t>
  </si>
  <si>
    <t>Daniel Robertson</t>
  </si>
  <si>
    <t>Roman Quinn</t>
  </si>
  <si>
    <t>Mike Ford</t>
  </si>
  <si>
    <t>Alex Gordon</t>
  </si>
  <si>
    <t>Humberto Arteaga</t>
  </si>
  <si>
    <t>Ian Kinsler</t>
  </si>
  <si>
    <t>Ben Zobrist</t>
  </si>
  <si>
    <t>Pablo Sandoval</t>
  </si>
  <si>
    <t>Ty France</t>
  </si>
  <si>
    <t>Richard Urena</t>
  </si>
  <si>
    <t>Eduardo Nunez</t>
  </si>
  <si>
    <t>Steven Wright</t>
  </si>
  <si>
    <t>Kendrys Morales</t>
  </si>
  <si>
    <t>Chris Davis</t>
  </si>
  <si>
    <t>Brian Moran</t>
  </si>
  <si>
    <t>Ian Desmond</t>
  </si>
  <si>
    <t>Pat Venditte</t>
  </si>
  <si>
    <t>Ryan Feierabend</t>
  </si>
  <si>
    <t>Tom Eshelman</t>
  </si>
  <si>
    <t>Sean Rodriguez</t>
  </si>
  <si>
    <t>A.J. Reed</t>
  </si>
  <si>
    <t>Luke Gregerson</t>
  </si>
  <si>
    <t>Russell Martin</t>
  </si>
  <si>
    <t>Danny Salazar</t>
  </si>
  <si>
    <t>Darren O'Day</t>
  </si>
  <si>
    <t>Brent Suter</t>
  </si>
  <si>
    <t>Robby Scott</t>
  </si>
  <si>
    <t>Tyler Olson</t>
  </si>
  <si>
    <t>Marco Estrada</t>
  </si>
  <si>
    <t>Tom Murphy</t>
  </si>
  <si>
    <t>Zach Duke</t>
  </si>
  <si>
    <t>Blaine Hardy</t>
  </si>
  <si>
    <t>Aaron Altherr</t>
  </si>
  <si>
    <t>Ryan Weber</t>
  </si>
  <si>
    <t>Dan Otero</t>
  </si>
  <si>
    <t>Jerry Blevins</t>
  </si>
  <si>
    <t>Daniel Zamora</t>
  </si>
  <si>
    <t>Brian Johnson</t>
  </si>
  <si>
    <t>Chris Rusin</t>
  </si>
  <si>
    <t>Devin Smeltzer</t>
  </si>
  <si>
    <t>Joe Mantiply</t>
  </si>
  <si>
    <t>Jeremy Hellickson</t>
  </si>
  <si>
    <t>Charlie Culberson</t>
  </si>
  <si>
    <t>Joe Smith</t>
  </si>
  <si>
    <t>Tim Melville</t>
  </si>
  <si>
    <t>Nick Vincent</t>
  </si>
  <si>
    <t>Bobby Poyner</t>
  </si>
  <si>
    <t>Paul Blackburn</t>
  </si>
  <si>
    <t>Alec Mills</t>
  </si>
  <si>
    <t>Locke St. John</t>
  </si>
  <si>
    <t>Gerardo Parra</t>
  </si>
  <si>
    <t>Sean Gilmartin</t>
  </si>
  <si>
    <t>Jose Osuna</t>
  </si>
  <si>
    <t>Josh Rogers</t>
  </si>
  <si>
    <t>Eric Skoglund</t>
  </si>
  <si>
    <t>Adonis Rosa</t>
  </si>
  <si>
    <t>Cole Irvin</t>
  </si>
  <si>
    <t>Tyler Lyons</t>
  </si>
  <si>
    <t>Fernando Salas</t>
  </si>
  <si>
    <t>Sean Manaea</t>
  </si>
  <si>
    <t>Sam Selman</t>
  </si>
  <si>
    <t>Alex Wood</t>
  </si>
  <si>
    <t>JB Shuck</t>
  </si>
  <si>
    <t>Ty Blach</t>
  </si>
  <si>
    <t>Aaron Wilkerson</t>
  </si>
  <si>
    <t>Jared Walsh</t>
  </si>
  <si>
    <t>Robert Dugger</t>
  </si>
  <si>
    <t>Rico Garcia</t>
  </si>
  <si>
    <t>James Marvel</t>
  </si>
  <si>
    <t>Matt Hall</t>
  </si>
  <si>
    <t>Ryan Carpenter</t>
  </si>
  <si>
    <t>Tim Peterson</t>
  </si>
  <si>
    <t>Brad Boxberger</t>
  </si>
  <si>
    <t>Tyson Ross</t>
  </si>
  <si>
    <t>Chasen Shreve</t>
  </si>
  <si>
    <t>Luis Avilan</t>
  </si>
  <si>
    <t>Josh Lucas</t>
  </si>
  <si>
    <t>Aaron Slegers</t>
  </si>
  <si>
    <t>Grant Dayton</t>
  </si>
  <si>
    <t>Josh D. Smith</t>
  </si>
  <si>
    <t>Tony Barnette</t>
  </si>
  <si>
    <t>Tim Hill</t>
  </si>
  <si>
    <t>Tony Sipp</t>
  </si>
  <si>
    <t>Phillip Diehl</t>
  </si>
  <si>
    <t>T.J. Zeuch</t>
  </si>
  <si>
    <t>Travis Bergen</t>
  </si>
  <si>
    <t>Dan Straily</t>
  </si>
  <si>
    <t>Matt Shoemaker</t>
  </si>
  <si>
    <t>Ervin Santana</t>
  </si>
  <si>
    <t>Nick Tropeano</t>
  </si>
  <si>
    <t>Rogelio Armenteros</t>
  </si>
  <si>
    <t>JC Ramirez</t>
  </si>
  <si>
    <t>Nathan Karns</t>
  </si>
  <si>
    <t>Aaron Barrett</t>
  </si>
  <si>
    <t>Trevor Hildenberger</t>
  </si>
  <si>
    <t>Johnny Cueto</t>
  </si>
  <si>
    <t>Brian Flynn</t>
  </si>
  <si>
    <t>Jeanmar Gomez</t>
  </si>
  <si>
    <t>Chasen Bradford</t>
  </si>
  <si>
    <t>Matt Wotherspoon</t>
  </si>
  <si>
    <t>Pedro Araujo</t>
  </si>
  <si>
    <t>Phil Maton</t>
  </si>
  <si>
    <t>Seunghwan Oh</t>
  </si>
  <si>
    <t>Paul Sewald</t>
  </si>
  <si>
    <t>Ryan Dull</t>
  </si>
  <si>
    <t>Conner Menez</t>
  </si>
  <si>
    <t>Clayton Richard</t>
  </si>
  <si>
    <t>Tyler Anderson</t>
  </si>
  <si>
    <t>Brady Lail</t>
  </si>
  <si>
    <t>Chase De Jong</t>
  </si>
  <si>
    <t>Lewis Thorpe</t>
  </si>
  <si>
    <t>Andrew Moore</t>
  </si>
  <si>
    <t>Harrison Musgrave</t>
  </si>
  <si>
    <t>Josh A. Smith</t>
  </si>
  <si>
    <t>Wei-Chung Wang</t>
  </si>
  <si>
    <t>Brady Rodgers</t>
  </si>
  <si>
    <t>Mike Dunn</t>
  </si>
  <si>
    <t>Rookie Davis</t>
  </si>
  <si>
    <t>Cody Stashak</t>
  </si>
  <si>
    <t>Kyle Bird</t>
  </si>
  <si>
    <t>Chance Adams</t>
  </si>
  <si>
    <t>Adam Warren</t>
  </si>
  <si>
    <t>Luke Farrell</t>
  </si>
  <si>
    <t>Greg Holland</t>
  </si>
  <si>
    <t>Ryan O'Rourke</t>
  </si>
  <si>
    <t>Brock Stewart</t>
  </si>
  <si>
    <t>Hector Santiago</t>
  </si>
  <si>
    <t>John Schreiber</t>
  </si>
  <si>
    <t>Carlos Torres</t>
  </si>
  <si>
    <t>Kyle McGowin</t>
  </si>
  <si>
    <t>Brooks Pounders</t>
  </si>
  <si>
    <t>Kohl Stewart</t>
  </si>
  <si>
    <t>Ryan Garton</t>
  </si>
  <si>
    <t>Corey Oswalt</t>
  </si>
  <si>
    <t>Oliver Perez</t>
  </si>
  <si>
    <t>Edubray Ramos</t>
  </si>
  <si>
    <t>Michael Shawaryn</t>
  </si>
  <si>
    <t>Jordan Montgomery</t>
  </si>
  <si>
    <t>Erasmo Ramirez</t>
  </si>
  <si>
    <t>Carlos Rodon</t>
  </si>
  <si>
    <t>Ryan Eades</t>
  </si>
  <si>
    <t>Austin Pruitt</t>
  </si>
  <si>
    <t>Dan Jennings</t>
  </si>
  <si>
    <t>Deolis Guerra</t>
  </si>
  <si>
    <t>Shawn Kelley</t>
  </si>
  <si>
    <t>Alex Wilson</t>
  </si>
  <si>
    <t>Taylor Hearn</t>
  </si>
  <si>
    <t>Montana DuRapau</t>
  </si>
  <si>
    <t>Brock Burke</t>
  </si>
  <si>
    <t>Chandler Shepherd</t>
  </si>
  <si>
    <t>Tim Collins</t>
  </si>
  <si>
    <t>Drew Anderson</t>
  </si>
  <si>
    <t>Corey Kluber</t>
  </si>
  <si>
    <t>Ryan Borucki</t>
  </si>
  <si>
    <t>Sandy Baez</t>
  </si>
  <si>
    <t>Jose De Leon</t>
  </si>
  <si>
    <t>Drew Gagnon</t>
  </si>
  <si>
    <t>Cy Sneed</t>
  </si>
  <si>
    <t>Jimmie Sherfy</t>
  </si>
  <si>
    <t>Dan Winkler</t>
  </si>
  <si>
    <t>Zac Grotz</t>
  </si>
  <si>
    <t>Alex McRae</t>
  </si>
  <si>
    <t>Jeremy Walker</t>
  </si>
  <si>
    <t>Matt Ramsey</t>
  </si>
  <si>
    <t>Victor Alcantara</t>
  </si>
  <si>
    <t>Jonathan Holder</t>
  </si>
  <si>
    <t>Kolby Allard</t>
  </si>
  <si>
    <t>Stephen Tarpley</t>
  </si>
  <si>
    <t>Tanner Anderson</t>
  </si>
  <si>
    <t>Sam Howard</t>
  </si>
  <si>
    <t>Daniel Stumpf</t>
  </si>
  <si>
    <t>Jon Duplantier</t>
  </si>
  <si>
    <t>Jeffrey Springs</t>
  </si>
  <si>
    <t>John Curtiss</t>
  </si>
  <si>
    <t>Austen Williams</t>
  </si>
  <si>
    <t>Matt Grace</t>
  </si>
  <si>
    <t>Heath Fillmyer</t>
  </si>
  <si>
    <t>Justin Dunn</t>
  </si>
  <si>
    <t>Matt Koch</t>
  </si>
  <si>
    <t>Walker Lockett</t>
  </si>
  <si>
    <t>Justin Miller</t>
  </si>
  <si>
    <t>Jimmy Nelson</t>
  </si>
  <si>
    <t>Nick Goody</t>
  </si>
  <si>
    <t>Adam Morgan</t>
  </si>
  <si>
    <t>David Phelps</t>
  </si>
  <si>
    <t>Buddy Boshers</t>
  </si>
  <si>
    <t>Cody Allen</t>
  </si>
  <si>
    <t>Ben Lively</t>
  </si>
  <si>
    <t>Anthony Banda</t>
  </si>
  <si>
    <t>Burch Smith</t>
  </si>
  <si>
    <t>Austin Voth</t>
  </si>
  <si>
    <t>Zac Rosscup</t>
  </si>
  <si>
    <t>Ryan Buchter</t>
  </si>
  <si>
    <t>Logan Allen</t>
  </si>
  <si>
    <t>Sean Reid-Foley</t>
  </si>
  <si>
    <t>Andrew Suarez</t>
  </si>
  <si>
    <t>Matthew Festa</t>
  </si>
  <si>
    <t>Patrick Sandoval</t>
  </si>
  <si>
    <t>Alex Cobb</t>
  </si>
  <si>
    <t>Justus Sheffield</t>
  </si>
  <si>
    <t>Ranger Suarez</t>
  </si>
  <si>
    <t>Caleb Frare</t>
  </si>
  <si>
    <t>Jimmy Herget</t>
  </si>
  <si>
    <t>Jose Fernandez</t>
  </si>
  <si>
    <t>Hector Noesi</t>
  </si>
  <si>
    <t>Dillon Tate</t>
  </si>
  <si>
    <t>Jose Urquidy</t>
  </si>
  <si>
    <t>Danny Hultzen</t>
  </si>
  <si>
    <t>Adalberto Mejia</t>
  </si>
  <si>
    <t>Ben Heller</t>
  </si>
  <si>
    <t>Wei-Chieh Huang</t>
  </si>
  <si>
    <t>Wade Davis</t>
  </si>
  <si>
    <t>Jake Barrett</t>
  </si>
  <si>
    <t>Fernando Abad</t>
  </si>
  <si>
    <t>Austin Brice</t>
  </si>
  <si>
    <t>Randy Dobnak</t>
  </si>
  <si>
    <t>Odrisamer Despaigne</t>
  </si>
  <si>
    <t>Taijuan Walker</t>
  </si>
  <si>
    <t>Jonny Venters</t>
  </si>
  <si>
    <t>Logan Webb</t>
  </si>
  <si>
    <t>Yefry Ramirez</t>
  </si>
  <si>
    <t>Jose Rodriguez</t>
  </si>
  <si>
    <t>Jake McGee</t>
  </si>
  <si>
    <t>Taylor Guerrieri</t>
  </si>
  <si>
    <t>Joel Payamps</t>
  </si>
  <si>
    <t>Matt Moore</t>
  </si>
  <si>
    <t>Daniel Ponce de Leon</t>
  </si>
  <si>
    <t>Enyel De Los Santos</t>
  </si>
  <si>
    <t>Lucas Sims</t>
  </si>
  <si>
    <t>Cole Sulser</t>
  </si>
  <si>
    <t>D.J. Johnson</t>
  </si>
  <si>
    <t>David Carpenter</t>
  </si>
  <si>
    <t>Jose Quijada</t>
  </si>
  <si>
    <t>Tony Gonsolin</t>
  </si>
  <si>
    <t>Kevin Ginkel</t>
  </si>
  <si>
    <t>David Hale</t>
  </si>
  <si>
    <t>Sam Tuivailala</t>
  </si>
  <si>
    <t>Eduardo Jimenez</t>
  </si>
  <si>
    <t>Ryan Tepera</t>
  </si>
  <si>
    <t>Jake Faria</t>
  </si>
  <si>
    <t>Pedro Payano</t>
  </si>
  <si>
    <t>Anthony Kay</t>
  </si>
  <si>
    <t>Pedro Strop</t>
  </si>
  <si>
    <t>Edinson Volquez</t>
  </si>
  <si>
    <t>Mike Wright Jr.</t>
  </si>
  <si>
    <t>Hunter Wood</t>
  </si>
  <si>
    <t>Matt Bowman</t>
  </si>
  <si>
    <t>Victor Arano</t>
  </si>
  <si>
    <t>Luis Ortiz</t>
  </si>
  <si>
    <t>Juan Minaya</t>
  </si>
  <si>
    <t>Kyle Barraclough</t>
  </si>
  <si>
    <t>Pedro Avila</t>
  </si>
  <si>
    <t>Travis Lakins</t>
  </si>
  <si>
    <t>Ruben Alaniz</t>
  </si>
  <si>
    <t>Jon Edwards</t>
  </si>
  <si>
    <t>James Hoyt</t>
  </si>
  <si>
    <t>Sam Freeman</t>
  </si>
  <si>
    <t>Heath Hembree</t>
  </si>
  <si>
    <t>Touki Toussaint</t>
  </si>
  <si>
    <t>Jimmy Yacabonis</t>
  </si>
  <si>
    <t>Brendan McKay</t>
  </si>
  <si>
    <t>Richard Lovelady</t>
  </si>
  <si>
    <t>David Hernandez</t>
  </si>
  <si>
    <t>Jacob Barnes</t>
  </si>
  <si>
    <t>Zack Littell</t>
  </si>
  <si>
    <t>Stefan Crichton</t>
  </si>
  <si>
    <t>David McKay</t>
  </si>
  <si>
    <t>Austin Davis</t>
  </si>
  <si>
    <t>Edgar Garcia</t>
  </si>
  <si>
    <t>Carson Fulmer</t>
  </si>
  <si>
    <t>Yohander Mendez</t>
  </si>
  <si>
    <t>Juan Nicasio</t>
  </si>
  <si>
    <t>Jorge Alcala</t>
  </si>
  <si>
    <t>Joseph Palumbo</t>
  </si>
  <si>
    <t>Jesse Biddle</t>
  </si>
  <si>
    <t>Chris Ellis</t>
  </si>
  <si>
    <t>Tyler Thornburg</t>
  </si>
  <si>
    <t>Carl Edwards Jr.</t>
  </si>
  <si>
    <t>Jesus Tinoco</t>
  </si>
  <si>
    <t>Jake Newberry</t>
  </si>
  <si>
    <t>Jefry Rodriguez</t>
  </si>
  <si>
    <t>Brad Wieck</t>
  </si>
  <si>
    <t>Bryan Garcia</t>
  </si>
  <si>
    <t>Wes Parsons</t>
  </si>
  <si>
    <t>Keynan Middleton</t>
  </si>
  <si>
    <t>James Pazos</t>
  </si>
  <si>
    <t>Adbert Alzolay</t>
  </si>
  <si>
    <t>Brian Schlitter</t>
  </si>
  <si>
    <t>Scott Alexander</t>
  </si>
  <si>
    <t>Williams Jerez</t>
  </si>
  <si>
    <t>Dylan Floro</t>
  </si>
  <si>
    <t>Dennis Santana</t>
  </si>
  <si>
    <t>Reggie McClain</t>
  </si>
  <si>
    <t>Elvis Luciano</t>
  </si>
  <si>
    <t>Ronald Bolanos</t>
  </si>
  <si>
    <t>Evan Phillips</t>
  </si>
  <si>
    <t>Nate Jones</t>
  </si>
  <si>
    <t>Chris Flexen</t>
  </si>
  <si>
    <t>Cody Reed</t>
  </si>
  <si>
    <t>Gabe Speier</t>
  </si>
  <si>
    <t>Luke Bard</t>
  </si>
  <si>
    <t>J. D. Hammer</t>
  </si>
  <si>
    <t>Jay Jackson</t>
  </si>
  <si>
    <t>Miguel Del Pozo</t>
  </si>
  <si>
    <t>Caleb Ferguson</t>
  </si>
  <si>
    <t>Fernando Rodney</t>
  </si>
  <si>
    <t>Nick Rumbelow</t>
  </si>
  <si>
    <t>A.J. Cole</t>
  </si>
  <si>
    <t>Dominic Leone</t>
  </si>
  <si>
    <t>Jason Adam</t>
  </si>
  <si>
    <t>Jake Jewell</t>
  </si>
  <si>
    <t>Justin Shafer</t>
  </si>
  <si>
    <t>Allen Webster</t>
  </si>
  <si>
    <t>Cody Anderson</t>
  </si>
  <si>
    <t>Kyle Keller</t>
  </si>
  <si>
    <t>Randy Rosario</t>
  </si>
  <si>
    <t>Shelby Miller</t>
  </si>
  <si>
    <t>Zac Reininger</t>
  </si>
  <si>
    <t>Sean Poppen</t>
  </si>
  <si>
    <t>Kyle Wright</t>
  </si>
  <si>
    <t>Bryse Wilson</t>
  </si>
  <si>
    <t>Wily Peralta</t>
  </si>
  <si>
    <t>Miguel Diaz</t>
  </si>
  <si>
    <t>Neil Ramirez</t>
  </si>
  <si>
    <t>Shane Carle</t>
  </si>
  <si>
    <t>Dellin Betances</t>
  </si>
  <si>
    <t>Casey Sadler</t>
  </si>
  <si>
    <t>Josh Taylor</t>
  </si>
  <si>
    <t>Mike Mayers</t>
  </si>
  <si>
    <t>Justin Anderson</t>
  </si>
  <si>
    <t>Garrett Richards</t>
  </si>
  <si>
    <t>Duane Underwood Jr.</t>
  </si>
  <si>
    <t>Brandon Brennan</t>
  </si>
  <si>
    <t>Jordan Romano</t>
  </si>
  <si>
    <t>Tyler Kinley</t>
  </si>
  <si>
    <t>Tayler Scott</t>
  </si>
  <si>
    <t>Taylor Guilbeau</t>
  </si>
  <si>
    <t>Jacob Rhame</t>
  </si>
  <si>
    <t>Bryan Abreu</t>
  </si>
  <si>
    <t>Drew Steckenrider</t>
  </si>
  <si>
    <t>Jacob Webb</t>
  </si>
  <si>
    <t>Josh Sborz</t>
  </si>
  <si>
    <t>Jameson Taillon</t>
  </si>
  <si>
    <t>Luis Escobar</t>
  </si>
  <si>
    <t>J.B. Wendelken</t>
  </si>
  <si>
    <t>Justin Wilson</t>
  </si>
  <si>
    <t>Jose Castillo</t>
  </si>
  <si>
    <t>Jesse Hahn</t>
  </si>
  <si>
    <t>Austin Adams</t>
  </si>
  <si>
    <t>Stephen Nogosek</t>
  </si>
  <si>
    <t>Jake Petricka</t>
  </si>
  <si>
    <t>Art Warren</t>
  </si>
  <si>
    <t>David Bednar</t>
  </si>
  <si>
    <t>Andrew Kittredge</t>
  </si>
  <si>
    <t>Kyle Crick</t>
  </si>
  <si>
    <t>Cionel Perez</t>
  </si>
  <si>
    <t>Joe Harvey</t>
  </si>
  <si>
    <t>Ian Gibaut</t>
  </si>
  <si>
    <t>Mitch Keller</t>
  </si>
  <si>
    <t>Michael Blazek</t>
  </si>
  <si>
    <t>Corbin Martin</t>
  </si>
  <si>
    <t>Kyle Dowdy</t>
  </si>
  <si>
    <t>Darwinzon Hernandez</t>
  </si>
  <si>
    <t>Corbin Burnes</t>
  </si>
  <si>
    <t>Taylor Williams</t>
  </si>
  <si>
    <t>Ricardo Pinto</t>
  </si>
  <si>
    <t>Ryan Burr</t>
  </si>
  <si>
    <t>Tommy Hunter</t>
  </si>
  <si>
    <t>Parker Markel</t>
  </si>
  <si>
    <t>Anthony Bass</t>
  </si>
  <si>
    <t>Enderson Franco</t>
  </si>
  <si>
    <t>Yency Almonte</t>
  </si>
  <si>
    <t>Dustin May</t>
  </si>
  <si>
    <t>Luis Severino</t>
  </si>
  <si>
    <t>Arodys Vizcaino</t>
  </si>
  <si>
    <t>Wandy Peralta</t>
  </si>
  <si>
    <t>Dovydas Neverauskas</t>
  </si>
  <si>
    <t>Jaime Schultz</t>
  </si>
  <si>
    <t>Reymin Guduan</t>
  </si>
  <si>
    <t>Rowan Wick</t>
  </si>
  <si>
    <t>Tyler Bashlor</t>
  </si>
  <si>
    <t>Keury Mella</t>
  </si>
  <si>
    <t>A.J. Minter</t>
  </si>
  <si>
    <t>Hunter Strickland</t>
  </si>
  <si>
    <t>Rafael Montero</t>
  </si>
  <si>
    <t>Michel Baez</t>
  </si>
  <si>
    <t>Josh Staumont</t>
  </si>
  <si>
    <t>JT Chargois</t>
  </si>
  <si>
    <t>James Bourque</t>
  </si>
  <si>
    <t>Chad Sobotka</t>
  </si>
  <si>
    <t>Jandel Gustave</t>
  </si>
  <si>
    <t>Reed Garrett</t>
  </si>
  <si>
    <t>James Norwood</t>
  </si>
  <si>
    <t>Tanner Scott</t>
  </si>
  <si>
    <t>Craig Kimbrel</t>
  </si>
  <si>
    <t>Joel Kuhnel</t>
  </si>
  <si>
    <t>Sal Romano</t>
  </si>
  <si>
    <t>Yacksel Rios</t>
  </si>
  <si>
    <t>Devin Williams</t>
  </si>
  <si>
    <t>Genesis Cabrera</t>
  </si>
  <si>
    <t>Adrian Morejon</t>
  </si>
  <si>
    <t>Keone Kela</t>
  </si>
  <si>
    <t>Geoff Hartlieb</t>
  </si>
  <si>
    <t>Sam Coonrod</t>
  </si>
  <si>
    <t>Jose Cisnero</t>
  </si>
  <si>
    <t>Carlos Martinez</t>
  </si>
  <si>
    <t>Branden Kline</t>
  </si>
  <si>
    <t>Kyle Zimmer</t>
  </si>
  <si>
    <t>Dan Altavilla</t>
  </si>
  <si>
    <t>Jose Ruiz</t>
  </si>
  <si>
    <t>Fernando Romero</t>
  </si>
  <si>
    <t>Connor Sadzeck</t>
  </si>
  <si>
    <t>Jeff Brigham</t>
  </si>
  <si>
    <t>James Karinchak</t>
  </si>
  <si>
    <t>Dillon Maples</t>
  </si>
  <si>
    <t>Jesus Luzardo</t>
  </si>
  <si>
    <t>Jonathan Hernandez</t>
  </si>
  <si>
    <t>Yennsy Diaz</t>
  </si>
  <si>
    <t>Junior Fernandez</t>
  </si>
  <si>
    <t>Gerardo Reyes</t>
  </si>
  <si>
    <t>Jonathan Loaisiga</t>
  </si>
  <si>
    <t>Javier Guerra</t>
  </si>
  <si>
    <t>Alex Reyes</t>
  </si>
  <si>
    <t>Nick Burdi</t>
  </si>
  <si>
    <t>A.J. Puk</t>
  </si>
  <si>
    <t>Peter Fairbanks</t>
  </si>
  <si>
    <t>Huascar Ynoa</t>
  </si>
  <si>
    <t>Seranthony Dominguez</t>
  </si>
  <si>
    <t>Jimmy Cordero</t>
  </si>
  <si>
    <t>Tanner Rainey</t>
  </si>
  <si>
    <t>Gerson Bautista</t>
  </si>
  <si>
    <t>Ryan Helsley</t>
  </si>
  <si>
    <t>Thyago Vieira</t>
  </si>
  <si>
    <t>Robert Stock</t>
  </si>
  <si>
    <t>Trevor Rosenthal</t>
  </si>
  <si>
    <t>Ray Black</t>
  </si>
  <si>
    <t>Hunter Harvey</t>
  </si>
  <si>
    <t>Brusdar Graterol</t>
  </si>
  <si>
    <t>Jose Alvarado</t>
  </si>
  <si>
    <t>Tayron Guerrero</t>
  </si>
  <si>
    <t>Emmanuel Clase</t>
  </si>
  <si>
    <t>Andres Munoz</t>
  </si>
  <si>
    <t>Jordan Hicks</t>
  </si>
  <si>
    <t>vSB</t>
  </si>
  <si>
    <t>vKN</t>
  </si>
  <si>
    <t>vCS</t>
  </si>
  <si>
    <t>vCU</t>
  </si>
  <si>
    <t>vSL</t>
  </si>
  <si>
    <t>vCH</t>
  </si>
  <si>
    <t>vSI</t>
  </si>
  <si>
    <t>vFS</t>
  </si>
  <si>
    <t>vFC</t>
  </si>
  <si>
    <t>vFA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</si>
</sst>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D342"/>
  <sheetViews>
    <sheetView tabSelected="1" topLeftCell="CK1" workbookViewId="0">
      <selection activeCell="CT1" sqref="CT1:CT342"/>
    </sheetView>
  </sheetViews>
  <sheetFormatPr defaultRowHeight="14.4" x14ac:dyDescent="0.3"/>
  <cols>
    <col min="1" max="1" width="13.5546875" customWidth="1"/>
    <col min="45" max="45" width="9.88671875" customWidth="1"/>
  </cols>
  <sheetData>
    <row r="1" spans="1:108" x14ac:dyDescent="0.3">
      <c r="A1" t="s">
        <v>0</v>
      </c>
      <c r="B1" t="str" cm="1">
        <f t="array" ref="B1:Y1">VLOOKUP(A1,standard_pitchers_2019!A:Y,{2,3,4,5,6,7,8,9,10,11,12,13,14,15,16,17,18,19,20,21,22,23,24,25},FALSE)</f>
        <v>Team</v>
      </c>
      <c r="C1" t="str">
        <v>W</v>
      </c>
      <c r="D1" t="str">
        <v>L</v>
      </c>
      <c r="E1" t="str">
        <v>ERA</v>
      </c>
      <c r="F1" t="str">
        <v>G</v>
      </c>
      <c r="G1" t="str">
        <v>GS</v>
      </c>
      <c r="H1" t="str">
        <v>CG</v>
      </c>
      <c r="I1" t="str">
        <v>ShO</v>
      </c>
      <c r="J1" t="str">
        <v>SV</v>
      </c>
      <c r="K1" t="str">
        <v>HLD</v>
      </c>
      <c r="L1" t="str">
        <v>BS</v>
      </c>
      <c r="M1" t="str">
        <v>IP</v>
      </c>
      <c r="N1" t="str">
        <v>TBF</v>
      </c>
      <c r="O1" t="str">
        <v>H</v>
      </c>
      <c r="P1" t="str">
        <v>R</v>
      </c>
      <c r="Q1" t="str">
        <v>ER</v>
      </c>
      <c r="R1" t="str">
        <v>HR</v>
      </c>
      <c r="S1" t="str">
        <v>BB</v>
      </c>
      <c r="T1" t="str">
        <v>IBB</v>
      </c>
      <c r="U1" t="str">
        <v>HBP</v>
      </c>
      <c r="V1" t="str">
        <v>WP</v>
      </c>
      <c r="W1" t="str">
        <v>BK</v>
      </c>
      <c r="X1" t="str">
        <v>SO</v>
      </c>
      <c r="Y1" t="str">
        <v>playerid</v>
      </c>
      <c r="Z1" t="str" cm="1">
        <f t="array" ref="Z1:AR1">VLOOKUP(A1,advanced_pitchers_2019!A:Y,{3,4,5,6,7,8,9,10,11,12,13,14,15,16,17,18,19,20,21},FALSE)</f>
        <v>K/9</v>
      </c>
      <c r="AA1" t="str">
        <v>BB/9</v>
      </c>
      <c r="AB1" t="str">
        <v>K/BB</v>
      </c>
      <c r="AC1" t="str">
        <v>HR/9</v>
      </c>
      <c r="AD1" t="str">
        <v>K%</v>
      </c>
      <c r="AE1" t="str">
        <v>BB%</v>
      </c>
      <c r="AF1" t="str">
        <v>K-BB%</v>
      </c>
      <c r="AG1" t="str">
        <v>AVG</v>
      </c>
      <c r="AH1" t="str">
        <v>WHIP</v>
      </c>
      <c r="AI1" t="str">
        <v>BABIP</v>
      </c>
      <c r="AJ1" t="str">
        <v>LOB%</v>
      </c>
      <c r="AK1" t="str">
        <v>ERA-</v>
      </c>
      <c r="AL1" t="str">
        <v>FIP-</v>
      </c>
      <c r="AM1" t="str">
        <v>xFIP-</v>
      </c>
      <c r="AN1" t="str">
        <v>ERA</v>
      </c>
      <c r="AO1" t="str">
        <v>FIP</v>
      </c>
      <c r="AP1" t="str">
        <v>E-F</v>
      </c>
      <c r="AQ1" t="str">
        <v>xFIP</v>
      </c>
      <c r="AR1" t="str">
        <v>SIERA</v>
      </c>
      <c r="AS1" t="str" cm="1">
        <f t="array" ref="AS1:BA1">VLOOKUP(A1,plate_discipline_pitchers_2019!A:L,{3,4,5,6,7,8,9,10,11},FALSE)</f>
        <v>O-Swing%</v>
      </c>
      <c r="AT1" t="str">
        <v>Z-Swing%</v>
      </c>
      <c r="AU1" t="str">
        <v>Swing%</v>
      </c>
      <c r="AV1" t="str">
        <v>O-Contact%</v>
      </c>
      <c r="AW1" t="str">
        <v>Z-Contact%</v>
      </c>
      <c r="AX1" t="str">
        <v>Contact%</v>
      </c>
      <c r="AY1" t="str">
        <v>Zone%</v>
      </c>
      <c r="AZ1" t="str">
        <v>F-Strike%</v>
      </c>
      <c r="BA1" t="str">
        <v>SwStr%</v>
      </c>
      <c r="BB1" t="str" cm="1">
        <f t="array" ref="BB1:BP1">VLOOKUP(A1,pitchvalue_pitchers_2019!A:Q,{3,4,5,6,7,8,9,10,11,12,13,14,15,16,17},FALSE)</f>
        <v>wFB</v>
      </c>
      <c r="BC1" t="str">
        <v>wSL</v>
      </c>
      <c r="BD1" t="str">
        <v>wCT</v>
      </c>
      <c r="BE1" t="str">
        <v>wCB</v>
      </c>
      <c r="BF1" t="str">
        <v>wCH</v>
      </c>
      <c r="BG1" t="str">
        <v>wSF</v>
      </c>
      <c r="BH1" t="str">
        <v>wKN</v>
      </c>
      <c r="BI1" t="str">
        <v>wFB/C</v>
      </c>
      <c r="BJ1" t="str">
        <v>wSL/C</v>
      </c>
      <c r="BK1" t="str">
        <v>wCT/C</v>
      </c>
      <c r="BL1" t="str">
        <v>wCB/C</v>
      </c>
      <c r="BM1" t="str">
        <v>wCH/C</v>
      </c>
      <c r="BN1" t="str">
        <v>wSF/C</v>
      </c>
      <c r="BO1" t="str">
        <v>wKN/C</v>
      </c>
      <c r="BP1" t="str">
        <v>playerid</v>
      </c>
      <c r="BQ1" t="str" cm="1">
        <f t="array" ref="BQ1:CH1">VLOOKUP(A1,battedball_pitchers_2019!A:U,{3,4,5,6,7,8,9,10,11,12,13,14,15,16,17,18,19,20},FALSE)</f>
        <v>BABIP</v>
      </c>
      <c r="BR1" t="str">
        <v>GB/FB</v>
      </c>
      <c r="BS1" t="str">
        <v>LD%</v>
      </c>
      <c r="BT1" t="str">
        <v>GB%</v>
      </c>
      <c r="BU1" t="str">
        <v>FB%</v>
      </c>
      <c r="BV1" t="str">
        <v>IFFB%</v>
      </c>
      <c r="BW1" t="str">
        <v>HR/FB</v>
      </c>
      <c r="BX1" t="str">
        <v>RS</v>
      </c>
      <c r="BY1" t="str">
        <v>RS/9</v>
      </c>
      <c r="BZ1" t="str">
        <v>Balls</v>
      </c>
      <c r="CA1" t="str">
        <v>Strikes</v>
      </c>
      <c r="CB1" t="str">
        <v>Pitches</v>
      </c>
      <c r="CC1" t="str">
        <v>Pull%</v>
      </c>
      <c r="CD1" t="str">
        <v>Cent%</v>
      </c>
      <c r="CE1" t="str">
        <v>Oppo%</v>
      </c>
      <c r="CF1" t="str">
        <v>Soft%</v>
      </c>
      <c r="CG1" t="str">
        <v>Med%</v>
      </c>
      <c r="CH1" t="str">
        <v>Hard%</v>
      </c>
      <c r="CI1" t="str" cm="1">
        <f t="array" ref="CI1:CS1">VLOOKUP(A1,verticalmove_pitchers_2019!A:N,{3,4,5,6,7,8,9,10,11,12,13},FALSE)</f>
        <v>IP</v>
      </c>
      <c r="CJ1" t="str">
        <v>FA-Z</v>
      </c>
      <c r="CK1" t="str">
        <v>FC-Z</v>
      </c>
      <c r="CL1" t="str">
        <v>FS-Z</v>
      </c>
      <c r="CM1" t="str">
        <v>SI-Z</v>
      </c>
      <c r="CN1" t="str">
        <v>CH-Z</v>
      </c>
      <c r="CO1" t="str">
        <v>SL-Z</v>
      </c>
      <c r="CP1" t="str">
        <v>CU-Z</v>
      </c>
      <c r="CQ1" t="str">
        <v>CS-Z</v>
      </c>
      <c r="CR1" t="str">
        <v>KN-Z</v>
      </c>
      <c r="CS1" t="str">
        <v>SB-Z</v>
      </c>
      <c r="CT1" t="str" cm="1">
        <f t="array" ref="CT1:DD1">VLOOKUP(A1,velocity_pitchers_2019!A:N,{3,4,5,6,7,8,9,10,11,12,13},FALSE)</f>
        <v>IP</v>
      </c>
      <c r="CU1" t="str">
        <v>vFA</v>
      </c>
      <c r="CV1" t="str">
        <v>vFC</v>
      </c>
      <c r="CW1" t="str">
        <v>vFS</v>
      </c>
      <c r="CX1" t="str">
        <v>vSI</v>
      </c>
      <c r="CY1" t="str">
        <v>vCH</v>
      </c>
      <c r="CZ1" t="str">
        <v>vSL</v>
      </c>
      <c r="DA1" t="str">
        <v>vCU</v>
      </c>
      <c r="DB1" t="str">
        <v>vCS</v>
      </c>
      <c r="DC1" t="str">
        <v>vKN</v>
      </c>
      <c r="DD1" t="str">
        <v>vSB</v>
      </c>
    </row>
    <row r="2" spans="1:108" x14ac:dyDescent="0.3">
      <c r="A2" t="s">
        <v>67</v>
      </c>
      <c r="B2" t="str" cm="1">
        <f t="array" ref="B2:Y2">VLOOKUP(A2,standard_pitchers_2019!A:Y,{2,3,4,5,6,7,8,9,10,11,12,13,14,15,16,17,18,19,20,21,22,23,24,25},FALSE)</f>
        <v>Astros</v>
      </c>
      <c r="C2">
        <v>20</v>
      </c>
      <c r="D2">
        <v>5</v>
      </c>
      <c r="E2">
        <v>2.5</v>
      </c>
      <c r="F2">
        <v>33</v>
      </c>
      <c r="G2">
        <v>33</v>
      </c>
      <c r="H2">
        <v>0</v>
      </c>
      <c r="I2">
        <v>0</v>
      </c>
      <c r="J2">
        <v>0</v>
      </c>
      <c r="K2">
        <v>0</v>
      </c>
      <c r="L2">
        <v>0</v>
      </c>
      <c r="M2">
        <v>212.1</v>
      </c>
      <c r="N2">
        <v>817</v>
      </c>
      <c r="O2">
        <v>142</v>
      </c>
      <c r="P2">
        <v>66</v>
      </c>
      <c r="Q2">
        <v>59</v>
      </c>
      <c r="R2">
        <v>29</v>
      </c>
      <c r="S2">
        <v>48</v>
      </c>
      <c r="T2">
        <v>0</v>
      </c>
      <c r="U2">
        <v>3</v>
      </c>
      <c r="V2">
        <v>4</v>
      </c>
      <c r="W2">
        <v>3</v>
      </c>
      <c r="X2">
        <v>326</v>
      </c>
      <c r="Y2">
        <v>13125</v>
      </c>
      <c r="Z2" cm="1">
        <f t="array" ref="Z2:AR2">VLOOKUP(A2,advanced_pitchers_2019!A:Y,{3,4,5,6,7,8,9,10,11,12,13,14,15,16,17,18,19,20,21},FALSE)</f>
        <v>13.82</v>
      </c>
      <c r="AA2">
        <v>2.0299999999999998</v>
      </c>
      <c r="AB2">
        <v>6.79</v>
      </c>
      <c r="AC2">
        <v>1.23</v>
      </c>
      <c r="AD2">
        <v>0.39900000000000002</v>
      </c>
      <c r="AE2">
        <v>5.8999999999999997E-2</v>
      </c>
      <c r="AF2">
        <v>0.34</v>
      </c>
      <c r="AG2">
        <v>0.185</v>
      </c>
      <c r="AH2">
        <v>0.89</v>
      </c>
      <c r="AI2">
        <v>0.27500000000000002</v>
      </c>
      <c r="AJ2">
        <v>0.83299999999999996</v>
      </c>
      <c r="AK2">
        <v>56</v>
      </c>
      <c r="AL2">
        <v>59</v>
      </c>
      <c r="AM2">
        <v>55</v>
      </c>
      <c r="AN2">
        <v>2.5</v>
      </c>
      <c r="AO2">
        <v>2.64</v>
      </c>
      <c r="AP2">
        <v>-0.14000000000000001</v>
      </c>
      <c r="AQ2">
        <v>2.48</v>
      </c>
      <c r="AR2">
        <v>2.62</v>
      </c>
      <c r="AS2" cm="1">
        <f t="array" ref="AS2:BA2">VLOOKUP(A2,plate_discipline_pitchers_2019!A:L,{3,4,5,6,7,8,9,10,11},FALSE)</f>
        <v>0.35</v>
      </c>
      <c r="AT2">
        <v>0.67900000000000005</v>
      </c>
      <c r="AU2">
        <v>0.499</v>
      </c>
      <c r="AV2">
        <v>0.49099999999999999</v>
      </c>
      <c r="AW2">
        <v>0.77100000000000002</v>
      </c>
      <c r="AX2">
        <v>0.66300000000000003</v>
      </c>
      <c r="AY2">
        <v>0.45200000000000001</v>
      </c>
      <c r="AZ2">
        <v>0.64100000000000001</v>
      </c>
      <c r="BA2">
        <v>0.16800000000000001</v>
      </c>
      <c r="BB2" cm="1">
        <f t="array" ref="BB2:BP2">VLOOKUP(A2,pitchvalue_pitchers_2019!A:Q,{3,4,5,6,7,8,9,10,11,12,13,14,15,16,17},FALSE)</f>
        <v>37.1</v>
      </c>
      <c r="BC2">
        <v>13.6</v>
      </c>
      <c r="BD2">
        <v>0</v>
      </c>
      <c r="BE2">
        <v>0</v>
      </c>
      <c r="BF2">
        <v>0.4</v>
      </c>
      <c r="BG2">
        <v>0</v>
      </c>
      <c r="BH2">
        <v>0</v>
      </c>
      <c r="BI2">
        <v>2.0499999999999998</v>
      </c>
      <c r="BJ2">
        <v>1.75</v>
      </c>
      <c r="BK2">
        <v>0</v>
      </c>
      <c r="BL2">
        <v>0</v>
      </c>
      <c r="BM2">
        <v>0.16</v>
      </c>
      <c r="BN2">
        <v>0</v>
      </c>
      <c r="BO2">
        <v>0</v>
      </c>
      <c r="BP2">
        <v>13125</v>
      </c>
      <c r="BQ2" cm="1">
        <f t="array" ref="BQ2:CH2">VLOOKUP(A2,battedball_pitchers_2019!A:U,{3,4,5,6,7,8,9,10,11,12,13,14,15,16,17,18,19,20},FALSE)</f>
        <v>0.27500000000000002</v>
      </c>
      <c r="BR2">
        <v>1.02</v>
      </c>
      <c r="BS2">
        <v>0.20399999999999999</v>
      </c>
      <c r="BT2">
        <v>0.40300000000000002</v>
      </c>
      <c r="BU2">
        <v>0.39400000000000002</v>
      </c>
      <c r="BV2">
        <v>0.11</v>
      </c>
      <c r="BW2">
        <v>0.16900000000000001</v>
      </c>
      <c r="BX2">
        <v>177</v>
      </c>
      <c r="BY2">
        <v>7.5</v>
      </c>
      <c r="BZ2">
        <v>1108</v>
      </c>
      <c r="CA2">
        <v>2254</v>
      </c>
      <c r="CB2">
        <v>3362</v>
      </c>
      <c r="CC2">
        <v>0.373</v>
      </c>
      <c r="CD2">
        <v>0.34300000000000003</v>
      </c>
      <c r="CE2">
        <v>0.28399999999999997</v>
      </c>
      <c r="CF2">
        <v>0.193</v>
      </c>
      <c r="CG2">
        <v>0.46800000000000003</v>
      </c>
      <c r="CH2">
        <v>0.33900000000000002</v>
      </c>
      <c r="CI2" cm="1">
        <f t="array" ref="CI2:CS2">VLOOKUP(A2,verticalmove_pitchers_2019!A:N,{3,4,5,6,7,8,9,10,11,12,13},FALSE)</f>
        <v>212.1</v>
      </c>
      <c r="CJ2">
        <v>9.9</v>
      </c>
      <c r="CK2">
        <v>0</v>
      </c>
      <c r="CL2">
        <v>0</v>
      </c>
      <c r="CM2">
        <v>7.4</v>
      </c>
      <c r="CN2">
        <v>6</v>
      </c>
      <c r="CO2">
        <v>1</v>
      </c>
      <c r="CP2">
        <v>-9.1</v>
      </c>
      <c r="CQ2">
        <v>0</v>
      </c>
      <c r="CR2">
        <v>0</v>
      </c>
      <c r="CS2">
        <v>0</v>
      </c>
      <c r="CT2" cm="1">
        <f t="array" ref="CT2:DD2">VLOOKUP(A2,velocity_pitchers_2019!A:N,{3,4,5,6,7,8,9,10,11,12,13},FALSE)</f>
        <v>212.1</v>
      </c>
      <c r="CU2">
        <v>97.4</v>
      </c>
      <c r="CV2">
        <v>0</v>
      </c>
      <c r="CW2">
        <v>0</v>
      </c>
      <c r="CX2">
        <v>96</v>
      </c>
      <c r="CY2">
        <v>88.9</v>
      </c>
      <c r="CZ2">
        <v>89.5</v>
      </c>
      <c r="DA2">
        <v>82.8</v>
      </c>
      <c r="DB2">
        <v>0</v>
      </c>
      <c r="DC2">
        <v>0</v>
      </c>
      <c r="DD2">
        <v>0</v>
      </c>
    </row>
    <row r="3" spans="1:108" x14ac:dyDescent="0.3">
      <c r="A3" t="s">
        <v>81</v>
      </c>
      <c r="B3" t="str" cm="1">
        <f t="array" ref="B3:Y3">VLOOKUP(A3,standard_pitchers_2019!A:Y,{2,3,4,5,6,7,8,9,10,11,12,13,14,15,16,17,18,19,20,21,22,23,24,25},FALSE)</f>
        <v>Cardinals</v>
      </c>
      <c r="C3">
        <v>11</v>
      </c>
      <c r="D3">
        <v>8</v>
      </c>
      <c r="E3">
        <v>2.75</v>
      </c>
      <c r="F3">
        <v>33</v>
      </c>
      <c r="G3">
        <v>33</v>
      </c>
      <c r="H3">
        <v>0</v>
      </c>
      <c r="I3">
        <v>0</v>
      </c>
      <c r="J3">
        <v>0</v>
      </c>
      <c r="K3">
        <v>0</v>
      </c>
      <c r="L3">
        <v>0</v>
      </c>
      <c r="M3">
        <v>196.1</v>
      </c>
      <c r="N3">
        <v>772</v>
      </c>
      <c r="O3">
        <v>135</v>
      </c>
      <c r="P3">
        <v>62</v>
      </c>
      <c r="Q3">
        <v>60</v>
      </c>
      <c r="R3">
        <v>25</v>
      </c>
      <c r="S3">
        <v>55</v>
      </c>
      <c r="T3">
        <v>2</v>
      </c>
      <c r="U3">
        <v>7</v>
      </c>
      <c r="V3">
        <v>6</v>
      </c>
      <c r="W3">
        <v>0</v>
      </c>
      <c r="X3">
        <v>231</v>
      </c>
      <c r="Y3">
        <v>17479</v>
      </c>
      <c r="Z3" cm="1">
        <f t="array" ref="Z3:AR3">VLOOKUP(A3,advanced_pitchers_2019!A:Y,{3,4,5,6,7,8,9,10,11,12,13,14,15,16,17,18,19,20,21},FALSE)</f>
        <v>10.59</v>
      </c>
      <c r="AA3">
        <v>2.52</v>
      </c>
      <c r="AB3">
        <v>4.2</v>
      </c>
      <c r="AC3">
        <v>1.1499999999999999</v>
      </c>
      <c r="AD3">
        <v>0.29899999999999999</v>
      </c>
      <c r="AE3">
        <v>7.0999999999999994E-2</v>
      </c>
      <c r="AF3">
        <v>0.22800000000000001</v>
      </c>
      <c r="AG3">
        <v>0.19</v>
      </c>
      <c r="AH3">
        <v>0.97</v>
      </c>
      <c r="AI3">
        <v>0.24199999999999999</v>
      </c>
      <c r="AJ3">
        <v>0.83299999999999996</v>
      </c>
      <c r="AK3">
        <v>65</v>
      </c>
      <c r="AL3">
        <v>80</v>
      </c>
      <c r="AM3">
        <v>82</v>
      </c>
      <c r="AN3">
        <v>2.75</v>
      </c>
      <c r="AO3">
        <v>3.46</v>
      </c>
      <c r="AP3">
        <v>-0.71</v>
      </c>
      <c r="AQ3">
        <v>3.64</v>
      </c>
      <c r="AR3">
        <v>3.68</v>
      </c>
      <c r="AS3" cm="1">
        <f t="array" ref="AS3:BA3">VLOOKUP(A3,plate_discipline_pitchers_2019!A:L,{3,4,5,6,7,8,9,10,11},FALSE)</f>
        <v>0.32400000000000001</v>
      </c>
      <c r="AT3">
        <v>0.68500000000000005</v>
      </c>
      <c r="AU3">
        <v>0.47799999999999998</v>
      </c>
      <c r="AV3">
        <v>0.56499999999999995</v>
      </c>
      <c r="AW3">
        <v>0.80600000000000005</v>
      </c>
      <c r="AX3">
        <v>0.71299999999999997</v>
      </c>
      <c r="AY3">
        <v>0.42799999999999999</v>
      </c>
      <c r="AZ3">
        <v>0.60399999999999998</v>
      </c>
      <c r="BA3">
        <v>0.13700000000000001</v>
      </c>
      <c r="BB3" cm="1">
        <f t="array" ref="BB3:BP3">VLOOKUP(A3,pitchvalue_pitchers_2019!A:Q,{3,4,5,6,7,8,9,10,11,12,13,14,15,16,17},FALSE)</f>
        <v>32.799999999999997</v>
      </c>
      <c r="BC3">
        <v>16.7</v>
      </c>
      <c r="BD3">
        <v>0</v>
      </c>
      <c r="BE3">
        <v>-2</v>
      </c>
      <c r="BF3">
        <v>-2.5</v>
      </c>
      <c r="BG3">
        <v>0</v>
      </c>
      <c r="BH3">
        <v>0</v>
      </c>
      <c r="BI3">
        <v>1.77</v>
      </c>
      <c r="BJ3">
        <v>1.91</v>
      </c>
      <c r="BK3">
        <v>0</v>
      </c>
      <c r="BL3">
        <v>-0.51</v>
      </c>
      <c r="BM3">
        <v>-3.53</v>
      </c>
      <c r="BN3">
        <v>0</v>
      </c>
      <c r="BO3">
        <v>0</v>
      </c>
      <c r="BP3">
        <v>17479</v>
      </c>
      <c r="BQ3" cm="1">
        <f t="array" ref="BQ3:CH3">VLOOKUP(A3,battedball_pitchers_2019!A:U,{3,4,5,6,7,8,9,10,11,12,13,14,15,16,17,18,19,20},FALSE)</f>
        <v>0.24199999999999999</v>
      </c>
      <c r="BR3">
        <v>1.03</v>
      </c>
      <c r="BS3">
        <v>0.222</v>
      </c>
      <c r="BT3">
        <v>0.39500000000000002</v>
      </c>
      <c r="BU3">
        <v>0.38300000000000001</v>
      </c>
      <c r="BV3">
        <v>0.127</v>
      </c>
      <c r="BW3">
        <v>0.13800000000000001</v>
      </c>
      <c r="BX3">
        <v>92</v>
      </c>
      <c r="BY3">
        <v>4.22</v>
      </c>
      <c r="BZ3">
        <v>1130</v>
      </c>
      <c r="CA3">
        <v>2049</v>
      </c>
      <c r="CB3">
        <v>3179</v>
      </c>
      <c r="CC3">
        <v>0.39500000000000002</v>
      </c>
      <c r="CD3">
        <v>0.33200000000000002</v>
      </c>
      <c r="CE3">
        <v>0.27300000000000002</v>
      </c>
      <c r="CF3">
        <v>0.23599999999999999</v>
      </c>
      <c r="CG3">
        <v>0.38800000000000001</v>
      </c>
      <c r="CH3">
        <v>0.376</v>
      </c>
      <c r="CI3" cm="1">
        <f t="array" ref="CI3:CS3">VLOOKUP(A3,verticalmove_pitchers_2019!A:N,{3,4,5,6,7,8,9,10,11,12,13},FALSE)</f>
        <v>196.1</v>
      </c>
      <c r="CJ3">
        <v>7.9</v>
      </c>
      <c r="CK3">
        <v>0</v>
      </c>
      <c r="CL3">
        <v>0</v>
      </c>
      <c r="CM3">
        <v>4.2</v>
      </c>
      <c r="CN3">
        <v>3.4</v>
      </c>
      <c r="CO3">
        <v>2</v>
      </c>
      <c r="CP3">
        <v>-7.4</v>
      </c>
      <c r="CQ3">
        <v>0</v>
      </c>
      <c r="CR3">
        <v>0</v>
      </c>
      <c r="CS3">
        <v>0</v>
      </c>
      <c r="CT3" cm="1">
        <f t="array" ref="CT3:DD3">VLOOKUP(A3,velocity_pitchers_2019!A:N,{3,4,5,6,7,8,9,10,11,12,13},FALSE)</f>
        <v>196.1</v>
      </c>
      <c r="CU3">
        <v>94.6</v>
      </c>
      <c r="CV3">
        <v>0</v>
      </c>
      <c r="CW3">
        <v>0</v>
      </c>
      <c r="CX3">
        <v>92.4</v>
      </c>
      <c r="CY3">
        <v>87.4</v>
      </c>
      <c r="CZ3">
        <v>85.1</v>
      </c>
      <c r="DA3">
        <v>78.400000000000006</v>
      </c>
      <c r="DB3">
        <v>0</v>
      </c>
      <c r="DC3">
        <v>0</v>
      </c>
      <c r="DD3">
        <v>0</v>
      </c>
    </row>
    <row r="4" spans="1:108" x14ac:dyDescent="0.3">
      <c r="A4" t="s">
        <v>149</v>
      </c>
      <c r="B4" t="str" cm="1">
        <f t="array" ref="B4:Y4">VLOOKUP(A4,standard_pitchers_2019!A:Y,{2,3,4,5,6,7,8,9,10,11,12,13,14,15,16,17,18,19,20,21,22,23,24,25},FALSE)</f>
        <v>Brewers</v>
      </c>
      <c r="C4">
        <v>11</v>
      </c>
      <c r="D4">
        <v>3</v>
      </c>
      <c r="E4">
        <v>3.62</v>
      </c>
      <c r="F4">
        <v>22</v>
      </c>
      <c r="G4">
        <v>22</v>
      </c>
      <c r="H4">
        <v>0</v>
      </c>
      <c r="I4">
        <v>0</v>
      </c>
      <c r="J4">
        <v>0</v>
      </c>
      <c r="K4">
        <v>0</v>
      </c>
      <c r="L4">
        <v>0</v>
      </c>
      <c r="M4">
        <v>121.2</v>
      </c>
      <c r="N4">
        <v>493</v>
      </c>
      <c r="O4">
        <v>109</v>
      </c>
      <c r="P4">
        <v>49</v>
      </c>
      <c r="Q4">
        <v>49</v>
      </c>
      <c r="R4">
        <v>12</v>
      </c>
      <c r="S4">
        <v>30</v>
      </c>
      <c r="T4">
        <v>0</v>
      </c>
      <c r="U4">
        <v>5</v>
      </c>
      <c r="V4">
        <v>1</v>
      </c>
      <c r="W4">
        <v>1</v>
      </c>
      <c r="X4">
        <v>143</v>
      </c>
      <c r="Y4">
        <v>16162</v>
      </c>
      <c r="Z4" cm="1">
        <f t="array" ref="Z4:AR4">VLOOKUP(A4,advanced_pitchers_2019!A:Y,{3,4,5,6,7,8,9,10,11,12,13,14,15,16,17,18,19,20,21},FALSE)</f>
        <v>10.58</v>
      </c>
      <c r="AA4">
        <v>2.2200000000000002</v>
      </c>
      <c r="AB4">
        <v>4.7699999999999996</v>
      </c>
      <c r="AC4">
        <v>0.89</v>
      </c>
      <c r="AD4">
        <v>0.28999999999999998</v>
      </c>
      <c r="AE4">
        <v>6.0999999999999999E-2</v>
      </c>
      <c r="AF4">
        <v>0.22900000000000001</v>
      </c>
      <c r="AG4">
        <v>0.23799999999999999</v>
      </c>
      <c r="AH4">
        <v>1.1399999999999999</v>
      </c>
      <c r="AI4">
        <v>0.32</v>
      </c>
      <c r="AJ4">
        <v>0.747</v>
      </c>
      <c r="AK4">
        <v>82</v>
      </c>
      <c r="AL4">
        <v>67</v>
      </c>
      <c r="AM4">
        <v>76</v>
      </c>
      <c r="AN4">
        <v>3.62</v>
      </c>
      <c r="AO4">
        <v>3.01</v>
      </c>
      <c r="AP4">
        <v>0.62</v>
      </c>
      <c r="AQ4">
        <v>3.36</v>
      </c>
      <c r="AR4">
        <v>3.6</v>
      </c>
      <c r="AS4" cm="1">
        <f t="array" ref="AS4:BA4">VLOOKUP(A4,plate_discipline_pitchers_2019!A:L,{3,4,5,6,7,8,9,10,11},FALSE)</f>
        <v>0.33900000000000002</v>
      </c>
      <c r="AT4">
        <v>0.72799999999999998</v>
      </c>
      <c r="AU4">
        <v>0.51</v>
      </c>
      <c r="AV4">
        <v>0.63</v>
      </c>
      <c r="AW4">
        <v>0.85799999999999998</v>
      </c>
      <c r="AX4">
        <v>0.77300000000000002</v>
      </c>
      <c r="AY4">
        <v>0.44</v>
      </c>
      <c r="AZ4">
        <v>0.61099999999999999</v>
      </c>
      <c r="BA4">
        <v>0.11600000000000001</v>
      </c>
      <c r="BB4" cm="1">
        <f t="array" ref="BB4:BP4">VLOOKUP(A4,pitchvalue_pitchers_2019!A:Q,{3,4,5,6,7,8,9,10,11,12,13,14,15,16,17},FALSE)</f>
        <v>25</v>
      </c>
      <c r="BC4">
        <v>1.3</v>
      </c>
      <c r="BD4">
        <v>0</v>
      </c>
      <c r="BE4">
        <v>-1.4</v>
      </c>
      <c r="BF4">
        <v>-3.2</v>
      </c>
      <c r="BG4">
        <v>0</v>
      </c>
      <c r="BH4">
        <v>0</v>
      </c>
      <c r="BI4">
        <v>1.97</v>
      </c>
      <c r="BJ4">
        <v>0.35</v>
      </c>
      <c r="BK4">
        <v>0</v>
      </c>
      <c r="BL4">
        <v>-3.09</v>
      </c>
      <c r="BM4">
        <v>-1.1499999999999999</v>
      </c>
      <c r="BN4">
        <v>0</v>
      </c>
      <c r="BO4">
        <v>0</v>
      </c>
      <c r="BP4">
        <v>16162</v>
      </c>
      <c r="BQ4" cm="1">
        <f t="array" ref="BQ4:CH4">VLOOKUP(A4,battedball_pitchers_2019!A:U,{3,4,5,6,7,8,9,10,11,12,13,14,15,16,17,18,19,20},FALSE)</f>
        <v>0.32</v>
      </c>
      <c r="BR4">
        <v>1.39</v>
      </c>
      <c r="BS4">
        <v>0.23400000000000001</v>
      </c>
      <c r="BT4">
        <v>0.44600000000000001</v>
      </c>
      <c r="BU4">
        <v>0.32100000000000001</v>
      </c>
      <c r="BV4">
        <v>0.05</v>
      </c>
      <c r="BW4">
        <v>0.12</v>
      </c>
      <c r="BX4">
        <v>91</v>
      </c>
      <c r="BY4">
        <v>6.73</v>
      </c>
      <c r="BZ4">
        <v>652</v>
      </c>
      <c r="CA4">
        <v>1327</v>
      </c>
      <c r="CB4">
        <v>1979</v>
      </c>
      <c r="CC4">
        <v>0.34300000000000003</v>
      </c>
      <c r="CD4">
        <v>0.36799999999999999</v>
      </c>
      <c r="CE4">
        <v>0.28899999999999998</v>
      </c>
      <c r="CF4">
        <v>0.19700000000000001</v>
      </c>
      <c r="CG4">
        <v>0.438</v>
      </c>
      <c r="CH4">
        <v>0.36499999999999999</v>
      </c>
      <c r="CI4" cm="1">
        <f t="array" ref="CI4:CS4">VLOOKUP(A4,verticalmove_pitchers_2019!A:N,{3,4,5,6,7,8,9,10,11,12,13},FALSE)</f>
        <v>121.2</v>
      </c>
      <c r="CJ4">
        <v>8.3000000000000007</v>
      </c>
      <c r="CK4">
        <v>0</v>
      </c>
      <c r="CL4">
        <v>0</v>
      </c>
      <c r="CM4">
        <v>6</v>
      </c>
      <c r="CN4">
        <v>4.0999999999999996</v>
      </c>
      <c r="CO4">
        <v>0.9</v>
      </c>
      <c r="CP4">
        <v>-1.6</v>
      </c>
      <c r="CQ4">
        <v>0</v>
      </c>
      <c r="CR4">
        <v>0</v>
      </c>
      <c r="CS4">
        <v>0</v>
      </c>
      <c r="CT4" cm="1">
        <f t="array" ref="CT4:DD4">VLOOKUP(A4,velocity_pitchers_2019!A:N,{3,4,5,6,7,8,9,10,11,12,13},FALSE)</f>
        <v>121.2</v>
      </c>
      <c r="CU4">
        <v>96.7</v>
      </c>
      <c r="CV4">
        <v>0</v>
      </c>
      <c r="CW4">
        <v>0</v>
      </c>
      <c r="CX4">
        <v>96.3</v>
      </c>
      <c r="CY4">
        <v>87.3</v>
      </c>
      <c r="CZ4">
        <v>88.8</v>
      </c>
      <c r="DA4">
        <v>82.1</v>
      </c>
      <c r="DB4">
        <v>0</v>
      </c>
      <c r="DC4">
        <v>0</v>
      </c>
      <c r="DD4">
        <v>0</v>
      </c>
    </row>
    <row r="5" spans="1:108" x14ac:dyDescent="0.3">
      <c r="A5" t="s">
        <v>112</v>
      </c>
      <c r="B5" t="str" cm="1">
        <f t="array" ref="B5:Y5">VLOOKUP(A5,standard_pitchers_2019!A:Y,{2,3,4,5,6,7,8,9,10,11,12,13,14,15,16,17,18,19,20,21,22,23,24,25},FALSE)</f>
        <v>Dodgers</v>
      </c>
      <c r="C5">
        <v>14</v>
      </c>
      <c r="D5">
        <v>4</v>
      </c>
      <c r="E5">
        <v>3.26</v>
      </c>
      <c r="F5">
        <v>30</v>
      </c>
      <c r="G5">
        <v>30</v>
      </c>
      <c r="H5">
        <v>2</v>
      </c>
      <c r="I5">
        <v>0</v>
      </c>
      <c r="J5">
        <v>0</v>
      </c>
      <c r="K5">
        <v>0</v>
      </c>
      <c r="L5">
        <v>0</v>
      </c>
      <c r="M5">
        <v>182.1</v>
      </c>
      <c r="N5">
        <v>737</v>
      </c>
      <c r="O5">
        <v>153</v>
      </c>
      <c r="P5">
        <v>77</v>
      </c>
      <c r="Q5">
        <v>66</v>
      </c>
      <c r="R5">
        <v>20</v>
      </c>
      <c r="S5">
        <v>37</v>
      </c>
      <c r="T5">
        <v>0</v>
      </c>
      <c r="U5">
        <v>7</v>
      </c>
      <c r="V5">
        <v>4</v>
      </c>
      <c r="W5">
        <v>0</v>
      </c>
      <c r="X5">
        <v>215</v>
      </c>
      <c r="Y5">
        <v>19374</v>
      </c>
      <c r="Z5" cm="1">
        <f t="array" ref="Z5:AR5">VLOOKUP(A5,advanced_pitchers_2019!A:Y,{3,4,5,6,7,8,9,10,11,12,13,14,15,16,17,18,19,20,21},FALSE)</f>
        <v>10.61</v>
      </c>
      <c r="AA5">
        <v>1.83</v>
      </c>
      <c r="AB5">
        <v>5.81</v>
      </c>
      <c r="AC5">
        <v>0.99</v>
      </c>
      <c r="AD5">
        <v>0.29199999999999998</v>
      </c>
      <c r="AE5">
        <v>0.05</v>
      </c>
      <c r="AF5">
        <v>0.24199999999999999</v>
      </c>
      <c r="AG5">
        <v>0.221</v>
      </c>
      <c r="AH5">
        <v>1.04</v>
      </c>
      <c r="AI5">
        <v>0.28999999999999998</v>
      </c>
      <c r="AJ5">
        <v>0.71</v>
      </c>
      <c r="AK5">
        <v>78</v>
      </c>
      <c r="AL5">
        <v>69</v>
      </c>
      <c r="AM5">
        <v>76</v>
      </c>
      <c r="AN5">
        <v>3.26</v>
      </c>
      <c r="AO5">
        <v>3.01</v>
      </c>
      <c r="AP5">
        <v>0.25</v>
      </c>
      <c r="AQ5">
        <v>3.37</v>
      </c>
      <c r="AR5">
        <v>3.5</v>
      </c>
      <c r="AS5" cm="1">
        <f t="array" ref="AS5:BA5">VLOOKUP(A5,plate_discipline_pitchers_2019!A:L,{3,4,5,6,7,8,9,10,11},FALSE)</f>
        <v>0.33900000000000002</v>
      </c>
      <c r="AT5">
        <v>0.68600000000000005</v>
      </c>
      <c r="AU5">
        <v>0.5</v>
      </c>
      <c r="AV5">
        <v>0.60799999999999998</v>
      </c>
      <c r="AW5">
        <v>0.84399999999999997</v>
      </c>
      <c r="AX5">
        <v>0.75800000000000001</v>
      </c>
      <c r="AY5">
        <v>0.46500000000000002</v>
      </c>
      <c r="AZ5">
        <v>0.65700000000000003</v>
      </c>
      <c r="BA5">
        <v>0.121</v>
      </c>
      <c r="BB5" cm="1">
        <f t="array" ref="BB5:BP5">VLOOKUP(A5,pitchvalue_pitchers_2019!A:Q,{3,4,5,6,7,8,9,10,11,12,13,14,15,16,17},FALSE)</f>
        <v>24.4</v>
      </c>
      <c r="BC5">
        <v>3.6</v>
      </c>
      <c r="BD5">
        <v>2.7</v>
      </c>
      <c r="BE5">
        <v>-2.9</v>
      </c>
      <c r="BF5">
        <v>-1.3</v>
      </c>
      <c r="BG5">
        <v>0</v>
      </c>
      <c r="BH5">
        <v>0</v>
      </c>
      <c r="BI5">
        <v>1.43</v>
      </c>
      <c r="BJ5">
        <v>0.9</v>
      </c>
      <c r="BK5">
        <v>0.73</v>
      </c>
      <c r="BL5">
        <v>-0.85</v>
      </c>
      <c r="BM5">
        <v>-8.6199999999999992</v>
      </c>
      <c r="BN5">
        <v>0</v>
      </c>
      <c r="BO5">
        <v>0</v>
      </c>
      <c r="BP5">
        <v>19374</v>
      </c>
      <c r="BQ5" cm="1">
        <f t="array" ref="BQ5:CH5">VLOOKUP(A5,battedball_pitchers_2019!A:U,{3,4,5,6,7,8,9,10,11,12,13,14,15,16,17,18,19,20},FALSE)</f>
        <v>0.28999999999999998</v>
      </c>
      <c r="BR5">
        <v>1.23</v>
      </c>
      <c r="BS5">
        <v>0.22500000000000001</v>
      </c>
      <c r="BT5">
        <v>0.42699999999999999</v>
      </c>
      <c r="BU5">
        <v>0.34799999999999998</v>
      </c>
      <c r="BV5">
        <v>6.0999999999999999E-2</v>
      </c>
      <c r="BW5">
        <v>0.122</v>
      </c>
      <c r="BX5">
        <v>123</v>
      </c>
      <c r="BY5">
        <v>6.07</v>
      </c>
      <c r="BZ5">
        <v>899</v>
      </c>
      <c r="CA5">
        <v>1939</v>
      </c>
      <c r="CB5">
        <v>2838</v>
      </c>
      <c r="CC5">
        <v>0.34300000000000003</v>
      </c>
      <c r="CD5">
        <v>0.38100000000000001</v>
      </c>
      <c r="CE5">
        <v>0.27600000000000002</v>
      </c>
      <c r="CF5">
        <v>0.14000000000000001</v>
      </c>
      <c r="CG5">
        <v>0.441</v>
      </c>
      <c r="CH5">
        <v>0.41799999999999998</v>
      </c>
      <c r="CI5" cm="1">
        <f t="array" ref="CI5:CS5">VLOOKUP(A5,verticalmove_pitchers_2019!A:N,{3,4,5,6,7,8,9,10,11,12,13},FALSE)</f>
        <v>182.1</v>
      </c>
      <c r="CJ5">
        <v>9.6999999999999993</v>
      </c>
      <c r="CK5">
        <v>4.7</v>
      </c>
      <c r="CL5">
        <v>0</v>
      </c>
      <c r="CM5">
        <v>7.1</v>
      </c>
      <c r="CN5">
        <v>3.1</v>
      </c>
      <c r="CO5">
        <v>-1.2</v>
      </c>
      <c r="CP5">
        <v>-10</v>
      </c>
      <c r="CQ5">
        <v>0</v>
      </c>
      <c r="CR5">
        <v>0</v>
      </c>
      <c r="CS5">
        <v>0</v>
      </c>
      <c r="CT5" cm="1">
        <f t="array" ref="CT5:DD5">VLOOKUP(A5,velocity_pitchers_2019!A:N,{3,4,5,6,7,8,9,10,11,12,13},FALSE)</f>
        <v>182.1</v>
      </c>
      <c r="CU5">
        <v>96.8</v>
      </c>
      <c r="CV5">
        <v>92.8</v>
      </c>
      <c r="CW5">
        <v>0</v>
      </c>
      <c r="CX5">
        <v>96.8</v>
      </c>
      <c r="CY5">
        <v>91.8</v>
      </c>
      <c r="CZ5">
        <v>86.9</v>
      </c>
      <c r="DA5">
        <v>80.900000000000006</v>
      </c>
      <c r="DB5">
        <v>0</v>
      </c>
      <c r="DC5">
        <v>0</v>
      </c>
      <c r="DD5">
        <v>0</v>
      </c>
    </row>
    <row r="6" spans="1:108" x14ac:dyDescent="0.3">
      <c r="A6" t="s">
        <v>174</v>
      </c>
      <c r="B6" t="str" cm="1">
        <f t="array" ref="B6:Y6">VLOOKUP(A6,standard_pitchers_2019!A:Y,{2,3,4,5,6,7,8,9,10,11,12,13,14,15,16,17,18,19,20,21,22,23,24,25},FALSE)</f>
        <v>Braves</v>
      </c>
      <c r="C6">
        <v>10</v>
      </c>
      <c r="D6">
        <v>11</v>
      </c>
      <c r="E6">
        <v>3.81</v>
      </c>
      <c r="F6">
        <v>33</v>
      </c>
      <c r="G6">
        <v>33</v>
      </c>
      <c r="H6">
        <v>0</v>
      </c>
      <c r="I6">
        <v>0</v>
      </c>
      <c r="J6">
        <v>0</v>
      </c>
      <c r="K6">
        <v>0</v>
      </c>
      <c r="L6">
        <v>0</v>
      </c>
      <c r="M6">
        <v>174.2</v>
      </c>
      <c r="N6">
        <v>754</v>
      </c>
      <c r="O6">
        <v>148</v>
      </c>
      <c r="P6">
        <v>81</v>
      </c>
      <c r="Q6">
        <v>74</v>
      </c>
      <c r="R6">
        <v>22</v>
      </c>
      <c r="S6">
        <v>83</v>
      </c>
      <c r="T6">
        <v>3</v>
      </c>
      <c r="U6">
        <v>14</v>
      </c>
      <c r="V6">
        <v>5</v>
      </c>
      <c r="W6">
        <v>1</v>
      </c>
      <c r="X6">
        <v>162</v>
      </c>
      <c r="Y6">
        <v>6797</v>
      </c>
      <c r="Z6" cm="1">
        <f t="array" ref="Z6:AR6">VLOOKUP(A6,advanced_pitchers_2019!A:Y,{3,4,5,6,7,8,9,10,11,12,13,14,15,16,17,18,19,20,21},FALSE)</f>
        <v>8.35</v>
      </c>
      <c r="AA6">
        <v>4.28</v>
      </c>
      <c r="AB6">
        <v>1.95</v>
      </c>
      <c r="AC6">
        <v>1.1299999999999999</v>
      </c>
      <c r="AD6">
        <v>0.215</v>
      </c>
      <c r="AE6">
        <v>0.11</v>
      </c>
      <c r="AF6">
        <v>0.105</v>
      </c>
      <c r="AG6">
        <v>0.22500000000000001</v>
      </c>
      <c r="AH6">
        <v>1.32</v>
      </c>
      <c r="AI6">
        <v>0.26600000000000001</v>
      </c>
      <c r="AJ6">
        <v>0.76600000000000001</v>
      </c>
      <c r="AK6">
        <v>86</v>
      </c>
      <c r="AL6">
        <v>106</v>
      </c>
      <c r="AM6">
        <v>119</v>
      </c>
      <c r="AN6">
        <v>3.81</v>
      </c>
      <c r="AO6">
        <v>4.66</v>
      </c>
      <c r="AP6">
        <v>-0.85</v>
      </c>
      <c r="AQ6">
        <v>5.26</v>
      </c>
      <c r="AR6">
        <v>5.1100000000000003</v>
      </c>
      <c r="AS6" cm="1">
        <f t="array" ref="AS6:BA6">VLOOKUP(A6,plate_discipline_pitchers_2019!A:L,{3,4,5,6,7,8,9,10,11},FALSE)</f>
        <v>0.29099999999999998</v>
      </c>
      <c r="AT6">
        <v>0.71699999999999997</v>
      </c>
      <c r="AU6">
        <v>0.45100000000000001</v>
      </c>
      <c r="AV6">
        <v>0.70499999999999996</v>
      </c>
      <c r="AW6">
        <v>0.85499999999999998</v>
      </c>
      <c r="AX6">
        <v>0.79500000000000004</v>
      </c>
      <c r="AY6">
        <v>0.377</v>
      </c>
      <c r="AZ6">
        <v>0.59899999999999998</v>
      </c>
      <c r="BA6">
        <v>9.2999999999999999E-2</v>
      </c>
      <c r="BB6" cm="1">
        <f t="array" ref="BB6:BP6">VLOOKUP(A6,pitchvalue_pitchers_2019!A:Q,{3,4,5,6,7,8,9,10,11,12,13,14,15,16,17},FALSE)</f>
        <v>21.1</v>
      </c>
      <c r="BC6">
        <v>-12.4</v>
      </c>
      <c r="BD6">
        <v>0</v>
      </c>
      <c r="BE6">
        <v>-3.3</v>
      </c>
      <c r="BF6">
        <v>2.5</v>
      </c>
      <c r="BG6">
        <v>0</v>
      </c>
      <c r="BH6">
        <v>0</v>
      </c>
      <c r="BI6">
        <v>1.0900000000000001</v>
      </c>
      <c r="BJ6">
        <v>-1.94</v>
      </c>
      <c r="BK6">
        <v>0</v>
      </c>
      <c r="BL6">
        <v>-1.67</v>
      </c>
      <c r="BM6">
        <v>0.93</v>
      </c>
      <c r="BN6">
        <v>0</v>
      </c>
      <c r="BO6">
        <v>0</v>
      </c>
      <c r="BP6">
        <v>6797</v>
      </c>
      <c r="BQ6" cm="1">
        <f t="array" ref="BQ6:CH6">VLOOKUP(A6,battedball_pitchers_2019!A:U,{3,4,5,6,7,8,9,10,11,12,13,14,15,16,17,18,19,20},FALSE)</f>
        <v>0.26600000000000001</v>
      </c>
      <c r="BR6">
        <v>0.96</v>
      </c>
      <c r="BS6">
        <v>0.20599999999999999</v>
      </c>
      <c r="BT6">
        <v>0.39</v>
      </c>
      <c r="BU6">
        <v>0.40400000000000003</v>
      </c>
      <c r="BV6">
        <v>9.1999999999999998E-2</v>
      </c>
      <c r="BW6">
        <v>0.112</v>
      </c>
      <c r="BX6">
        <v>82</v>
      </c>
      <c r="BY6">
        <v>4.2300000000000004</v>
      </c>
      <c r="BZ6">
        <v>1155</v>
      </c>
      <c r="CA6">
        <v>1881</v>
      </c>
      <c r="CB6">
        <v>3036</v>
      </c>
      <c r="CC6">
        <v>0.39500000000000002</v>
      </c>
      <c r="CD6">
        <v>0.34200000000000003</v>
      </c>
      <c r="CE6">
        <v>0.26300000000000001</v>
      </c>
      <c r="CF6">
        <v>0.17399999999999999</v>
      </c>
      <c r="CG6">
        <v>0.439</v>
      </c>
      <c r="CH6">
        <v>0.38700000000000001</v>
      </c>
      <c r="CI6" cm="1">
        <f t="array" ref="CI6:CS6">VLOOKUP(A6,verticalmove_pitchers_2019!A:N,{3,4,5,6,7,8,9,10,11,12,13},FALSE)</f>
        <v>174.2</v>
      </c>
      <c r="CJ6">
        <v>6.7</v>
      </c>
      <c r="CK6">
        <v>0</v>
      </c>
      <c r="CL6">
        <v>0</v>
      </c>
      <c r="CM6">
        <v>2.2999999999999998</v>
      </c>
      <c r="CN6">
        <v>3.8</v>
      </c>
      <c r="CO6">
        <v>1.7</v>
      </c>
      <c r="CP6">
        <v>-1.9</v>
      </c>
      <c r="CQ6">
        <v>0</v>
      </c>
      <c r="CR6">
        <v>0</v>
      </c>
      <c r="CS6">
        <v>0</v>
      </c>
      <c r="CT6" cm="1">
        <f t="array" ref="CT6:DD6">VLOOKUP(A6,velocity_pitchers_2019!A:N,{3,4,5,6,7,8,9,10,11,12,13},FALSE)</f>
        <v>174.2</v>
      </c>
      <c r="CU6">
        <v>89.9</v>
      </c>
      <c r="CV6">
        <v>0</v>
      </c>
      <c r="CW6">
        <v>0</v>
      </c>
      <c r="CX6">
        <v>89.4</v>
      </c>
      <c r="CY6">
        <v>84</v>
      </c>
      <c r="CZ6">
        <v>82.3</v>
      </c>
      <c r="DA6">
        <v>74.8</v>
      </c>
      <c r="DB6">
        <v>0</v>
      </c>
      <c r="DC6">
        <v>0</v>
      </c>
      <c r="DD6">
        <v>0</v>
      </c>
    </row>
    <row r="7" spans="1:108" x14ac:dyDescent="0.3">
      <c r="A7" t="s">
        <v>135</v>
      </c>
      <c r="B7" t="str" cm="1">
        <f t="array" ref="B7:Y7">VLOOKUP(A7,standard_pitchers_2019!A:Y,{2,3,4,5,6,7,8,9,10,11,12,13,14,15,16,17,18,19,20,21,22,23,24,25},FALSE)</f>
        <v>Twins</v>
      </c>
      <c r="C7">
        <v>15</v>
      </c>
      <c r="D7">
        <v>7</v>
      </c>
      <c r="E7">
        <v>3.51</v>
      </c>
      <c r="F7">
        <v>30</v>
      </c>
      <c r="G7">
        <v>30</v>
      </c>
      <c r="H7">
        <v>0</v>
      </c>
      <c r="I7">
        <v>0</v>
      </c>
      <c r="J7">
        <v>0</v>
      </c>
      <c r="K7">
        <v>0</v>
      </c>
      <c r="L7">
        <v>0</v>
      </c>
      <c r="M7">
        <v>159</v>
      </c>
      <c r="N7">
        <v>658</v>
      </c>
      <c r="O7">
        <v>139</v>
      </c>
      <c r="P7">
        <v>65</v>
      </c>
      <c r="Q7">
        <v>62</v>
      </c>
      <c r="R7">
        <v>16</v>
      </c>
      <c r="S7">
        <v>53</v>
      </c>
      <c r="T7">
        <v>0</v>
      </c>
      <c r="U7">
        <v>4</v>
      </c>
      <c r="V7">
        <v>4</v>
      </c>
      <c r="W7">
        <v>0</v>
      </c>
      <c r="X7">
        <v>178</v>
      </c>
      <c r="Y7">
        <v>6397</v>
      </c>
      <c r="Z7" cm="1">
        <f t="array" ref="Z7:AR7">VLOOKUP(A7,advanced_pitchers_2019!A:Y,{3,4,5,6,7,8,9,10,11,12,13,14,15,16,17,18,19,20,21},FALSE)</f>
        <v>10.08</v>
      </c>
      <c r="AA7">
        <v>3</v>
      </c>
      <c r="AB7">
        <v>3.36</v>
      </c>
      <c r="AC7">
        <v>0.91</v>
      </c>
      <c r="AD7">
        <v>0.27100000000000002</v>
      </c>
      <c r="AE7">
        <v>8.1000000000000003E-2</v>
      </c>
      <c r="AF7">
        <v>0.19</v>
      </c>
      <c r="AG7">
        <v>0.23100000000000001</v>
      </c>
      <c r="AH7">
        <v>1.21</v>
      </c>
      <c r="AI7">
        <v>0.30199999999999999</v>
      </c>
      <c r="AJ7">
        <v>0.755</v>
      </c>
      <c r="AK7">
        <v>75</v>
      </c>
      <c r="AL7">
        <v>73</v>
      </c>
      <c r="AM7">
        <v>95</v>
      </c>
      <c r="AN7">
        <v>3.51</v>
      </c>
      <c r="AO7">
        <v>3.36</v>
      </c>
      <c r="AP7">
        <v>0.15</v>
      </c>
      <c r="AQ7">
        <v>4.33</v>
      </c>
      <c r="AR7">
        <v>4.1399999999999997</v>
      </c>
      <c r="AS7" cm="1">
        <f t="array" ref="AS7:BA7">VLOOKUP(A7,plate_discipline_pitchers_2019!A:L,{3,4,5,6,7,8,9,10,11},FALSE)</f>
        <v>0.318</v>
      </c>
      <c r="AT7">
        <v>0.72699999999999998</v>
      </c>
      <c r="AU7">
        <v>0.48899999999999999</v>
      </c>
      <c r="AV7">
        <v>0.66100000000000003</v>
      </c>
      <c r="AW7">
        <v>0.78700000000000003</v>
      </c>
      <c r="AX7">
        <v>0.74</v>
      </c>
      <c r="AY7">
        <v>0.41799999999999998</v>
      </c>
      <c r="AZ7">
        <v>0.58399999999999996</v>
      </c>
      <c r="BA7">
        <v>0.127</v>
      </c>
      <c r="BB7" cm="1">
        <f t="array" ref="BB7:BP7">VLOOKUP(A7,pitchvalue_pitchers_2019!A:Q,{3,4,5,6,7,8,9,10,11,12,13,14,15,16,17},FALSE)</f>
        <v>20.8</v>
      </c>
      <c r="BC7">
        <v>2.5</v>
      </c>
      <c r="BD7">
        <v>0.9</v>
      </c>
      <c r="BE7">
        <v>-3.5</v>
      </c>
      <c r="BF7">
        <v>-1.5</v>
      </c>
      <c r="BG7">
        <v>0</v>
      </c>
      <c r="BH7">
        <v>0</v>
      </c>
      <c r="BI7">
        <v>1.29</v>
      </c>
      <c r="BJ7">
        <v>0.64</v>
      </c>
      <c r="BK7">
        <v>0.7</v>
      </c>
      <c r="BL7">
        <v>-1.93</v>
      </c>
      <c r="BM7">
        <v>-0.31</v>
      </c>
      <c r="BN7">
        <v>0</v>
      </c>
      <c r="BO7">
        <v>0</v>
      </c>
      <c r="BP7">
        <v>6397</v>
      </c>
      <c r="BQ7" cm="1">
        <f t="array" ref="BQ7:CH7">VLOOKUP(A7,battedball_pitchers_2019!A:U,{3,4,5,6,7,8,9,10,11,12,13,14,15,16,17,18,19,20},FALSE)</f>
        <v>0.30199999999999999</v>
      </c>
      <c r="BR7">
        <v>0.79</v>
      </c>
      <c r="BS7">
        <v>0.20699999999999999</v>
      </c>
      <c r="BT7">
        <v>0.35</v>
      </c>
      <c r="BU7">
        <v>0.443</v>
      </c>
      <c r="BV7">
        <v>0.11</v>
      </c>
      <c r="BW7">
        <v>8.7999999999999995E-2</v>
      </c>
      <c r="BX7">
        <v>101</v>
      </c>
      <c r="BY7">
        <v>5.72</v>
      </c>
      <c r="BZ7">
        <v>1012</v>
      </c>
      <c r="CA7">
        <v>1775</v>
      </c>
      <c r="CB7">
        <v>2787</v>
      </c>
      <c r="CC7">
        <v>0.36899999999999999</v>
      </c>
      <c r="CD7">
        <v>0.33300000000000002</v>
      </c>
      <c r="CE7">
        <v>0.29799999999999999</v>
      </c>
      <c r="CF7">
        <v>0.14699999999999999</v>
      </c>
      <c r="CG7">
        <v>0.43</v>
      </c>
      <c r="CH7">
        <v>0.42299999999999999</v>
      </c>
      <c r="CI7" cm="1">
        <f t="array" ref="CI7:CS7">VLOOKUP(A7,verticalmove_pitchers_2019!A:N,{3,4,5,6,7,8,9,10,11,12,13},FALSE)</f>
        <v>159</v>
      </c>
      <c r="CJ7">
        <v>9.3000000000000007</v>
      </c>
      <c r="CK7">
        <v>4.4000000000000004</v>
      </c>
      <c r="CL7">
        <v>2.8</v>
      </c>
      <c r="CM7">
        <v>8.3000000000000007</v>
      </c>
      <c r="CN7">
        <v>0</v>
      </c>
      <c r="CO7">
        <v>2.4</v>
      </c>
      <c r="CP7">
        <v>-7.6</v>
      </c>
      <c r="CQ7">
        <v>0</v>
      </c>
      <c r="CR7">
        <v>0</v>
      </c>
      <c r="CS7">
        <v>0</v>
      </c>
      <c r="CT7" cm="1">
        <f t="array" ref="CT7:DD7">VLOOKUP(A7,velocity_pitchers_2019!A:N,{3,4,5,6,7,8,9,10,11,12,13},FALSE)</f>
        <v>159</v>
      </c>
      <c r="CU7">
        <v>93</v>
      </c>
      <c r="CV7">
        <v>86.8</v>
      </c>
      <c r="CW7">
        <v>85.3</v>
      </c>
      <c r="CX7">
        <v>93.2</v>
      </c>
      <c r="CY7">
        <v>0</v>
      </c>
      <c r="CZ7">
        <v>84.8</v>
      </c>
      <c r="DA7">
        <v>75.599999999999994</v>
      </c>
      <c r="DB7">
        <v>0</v>
      </c>
      <c r="DC7">
        <v>0</v>
      </c>
      <c r="DD7">
        <v>0</v>
      </c>
    </row>
    <row r="8" spans="1:108" x14ac:dyDescent="0.3">
      <c r="A8" t="s">
        <v>78</v>
      </c>
      <c r="B8" t="str" cm="1">
        <f t="array" ref="B8:Y8">VLOOKUP(A8,standard_pitchers_2019!A:Y,{2,3,4,5,6,7,8,9,10,11,12,13,14,15,16,17,18,19,20,21,22,23,24,25},FALSE)</f>
        <v>Mets</v>
      </c>
      <c r="C8">
        <v>7</v>
      </c>
      <c r="D8">
        <v>4</v>
      </c>
      <c r="E8">
        <v>2.7</v>
      </c>
      <c r="F8">
        <v>61</v>
      </c>
      <c r="G8">
        <v>0</v>
      </c>
      <c r="H8">
        <v>0</v>
      </c>
      <c r="I8">
        <v>0</v>
      </c>
      <c r="J8">
        <v>6</v>
      </c>
      <c r="K8">
        <v>21</v>
      </c>
      <c r="L8">
        <v>5</v>
      </c>
      <c r="M8">
        <v>80</v>
      </c>
      <c r="N8">
        <v>314</v>
      </c>
      <c r="O8">
        <v>56</v>
      </c>
      <c r="P8">
        <v>28</v>
      </c>
      <c r="Q8">
        <v>24</v>
      </c>
      <c r="R8">
        <v>8</v>
      </c>
      <c r="S8">
        <v>16</v>
      </c>
      <c r="T8">
        <v>4</v>
      </c>
      <c r="U8">
        <v>5</v>
      </c>
      <c r="V8">
        <v>2</v>
      </c>
      <c r="W8">
        <v>0</v>
      </c>
      <c r="X8">
        <v>104</v>
      </c>
      <c r="Y8">
        <v>12447</v>
      </c>
      <c r="Z8" cm="1">
        <f t="array" ref="Z8:AR8">VLOOKUP(A8,advanced_pitchers_2019!A:Y,{3,4,5,6,7,8,9,10,11,12,13,14,15,16,17,18,19,20,21},FALSE)</f>
        <v>11.7</v>
      </c>
      <c r="AA8">
        <v>1.8</v>
      </c>
      <c r="AB8">
        <v>6.5</v>
      </c>
      <c r="AC8">
        <v>0.9</v>
      </c>
      <c r="AD8">
        <v>0.33100000000000002</v>
      </c>
      <c r="AE8">
        <v>5.0999999999999997E-2</v>
      </c>
      <c r="AF8">
        <v>0.28000000000000003</v>
      </c>
      <c r="AG8">
        <v>0.191</v>
      </c>
      <c r="AH8">
        <v>0.9</v>
      </c>
      <c r="AI8">
        <v>0.26500000000000001</v>
      </c>
      <c r="AJ8">
        <v>0.745</v>
      </c>
      <c r="AK8">
        <v>65</v>
      </c>
      <c r="AL8">
        <v>62</v>
      </c>
      <c r="AM8">
        <v>73</v>
      </c>
      <c r="AN8">
        <v>2.7</v>
      </c>
      <c r="AO8">
        <v>2.7</v>
      </c>
      <c r="AP8">
        <v>0</v>
      </c>
      <c r="AQ8">
        <v>3.24</v>
      </c>
      <c r="AR8">
        <v>2.78</v>
      </c>
      <c r="AS8" cm="1">
        <f t="array" ref="AS8:BA8">VLOOKUP(A8,plate_discipline_pitchers_2019!A:L,{3,4,5,6,7,8,9,10,11},FALSE)</f>
        <v>0.28199999999999997</v>
      </c>
      <c r="AT8">
        <v>0.66200000000000003</v>
      </c>
      <c r="AU8">
        <v>0.46</v>
      </c>
      <c r="AV8">
        <v>0.63500000000000001</v>
      </c>
      <c r="AW8">
        <v>0.81200000000000006</v>
      </c>
      <c r="AX8">
        <v>0.754</v>
      </c>
      <c r="AY8">
        <v>0.46700000000000003</v>
      </c>
      <c r="AZ8">
        <v>0.58299999999999996</v>
      </c>
      <c r="BA8">
        <v>0.113</v>
      </c>
      <c r="BB8" cm="1">
        <f t="array" ref="BB8:BP8">VLOOKUP(A8,pitchvalue_pitchers_2019!A:Q,{3,4,5,6,7,8,9,10,11,12,13,14,15,16,17},FALSE)</f>
        <v>20.8</v>
      </c>
      <c r="BC8">
        <v>-2.8</v>
      </c>
      <c r="BD8">
        <v>0</v>
      </c>
      <c r="BE8">
        <v>1.4</v>
      </c>
      <c r="BF8">
        <v>-0.3</v>
      </c>
      <c r="BG8">
        <v>0</v>
      </c>
      <c r="BH8">
        <v>0</v>
      </c>
      <c r="BI8">
        <v>2.87</v>
      </c>
      <c r="BJ8">
        <v>-1.67</v>
      </c>
      <c r="BK8">
        <v>0</v>
      </c>
      <c r="BL8">
        <v>0.45</v>
      </c>
      <c r="BM8">
        <v>-0.33</v>
      </c>
      <c r="BN8">
        <v>0</v>
      </c>
      <c r="BO8">
        <v>0</v>
      </c>
      <c r="BP8">
        <v>12447</v>
      </c>
      <c r="BQ8" cm="1">
        <f t="array" ref="BQ8:CH8">VLOOKUP(A8,battedball_pitchers_2019!A:U,{3,4,5,6,7,8,9,10,11,12,13,14,15,16,17,18,19,20},FALSE)</f>
        <v>0.26500000000000001</v>
      </c>
      <c r="BR8">
        <v>1.0900000000000001</v>
      </c>
      <c r="BS8">
        <v>0.17599999999999999</v>
      </c>
      <c r="BT8">
        <v>0.43099999999999999</v>
      </c>
      <c r="BU8">
        <v>0.39400000000000002</v>
      </c>
      <c r="BV8">
        <v>8.1000000000000003E-2</v>
      </c>
      <c r="BW8">
        <v>0.108</v>
      </c>
      <c r="BX8">
        <v>46</v>
      </c>
      <c r="BY8">
        <v>5.18</v>
      </c>
      <c r="BZ8">
        <v>426</v>
      </c>
      <c r="CA8">
        <v>849</v>
      </c>
      <c r="CB8">
        <v>1275</v>
      </c>
      <c r="CC8">
        <v>0.45</v>
      </c>
      <c r="CD8">
        <v>0.307</v>
      </c>
      <c r="CE8">
        <v>0.24299999999999999</v>
      </c>
      <c r="CF8">
        <v>0.122</v>
      </c>
      <c r="CG8">
        <v>0.55000000000000004</v>
      </c>
      <c r="CH8">
        <v>0.32800000000000001</v>
      </c>
      <c r="CI8" cm="1">
        <f t="array" ref="CI8:CS8">VLOOKUP(A8,verticalmove_pitchers_2019!A:N,{3,4,5,6,7,8,9,10,11,12,13},FALSE)</f>
        <v>80</v>
      </c>
      <c r="CJ8">
        <v>9</v>
      </c>
      <c r="CK8">
        <v>0</v>
      </c>
      <c r="CL8">
        <v>0</v>
      </c>
      <c r="CM8">
        <v>6.3</v>
      </c>
      <c r="CN8">
        <v>4.5999999999999996</v>
      </c>
      <c r="CO8">
        <v>3.1</v>
      </c>
      <c r="CP8">
        <v>-10.7</v>
      </c>
      <c r="CQ8">
        <v>-11.4</v>
      </c>
      <c r="CR8">
        <v>0</v>
      </c>
      <c r="CS8">
        <v>0</v>
      </c>
      <c r="CT8" cm="1">
        <f t="array" ref="CT8:DD8">VLOOKUP(A8,velocity_pitchers_2019!A:N,{3,4,5,6,7,8,9,10,11,12,13},FALSE)</f>
        <v>80</v>
      </c>
      <c r="CU8">
        <v>94.8</v>
      </c>
      <c r="CV8">
        <v>0</v>
      </c>
      <c r="CW8">
        <v>0</v>
      </c>
      <c r="CX8">
        <v>94.3</v>
      </c>
      <c r="CY8">
        <v>88.3</v>
      </c>
      <c r="CZ8">
        <v>88.3</v>
      </c>
      <c r="DA8">
        <v>79.8</v>
      </c>
      <c r="DB8">
        <v>69</v>
      </c>
      <c r="DC8">
        <v>0</v>
      </c>
      <c r="DD8">
        <v>0</v>
      </c>
    </row>
    <row r="9" spans="1:108" x14ac:dyDescent="0.3">
      <c r="A9" t="s">
        <v>129</v>
      </c>
      <c r="B9" t="str" cm="1">
        <f t="array" ref="B9:Y9">VLOOKUP(A9,standard_pitchers_2019!A:Y,{2,3,4,5,6,7,8,9,10,11,12,13,14,15,16,17,18,19,20,21,22,23,24,25},FALSE)</f>
        <v>White Sox</v>
      </c>
      <c r="C9">
        <v>14</v>
      </c>
      <c r="D9">
        <v>9</v>
      </c>
      <c r="E9">
        <v>3.41</v>
      </c>
      <c r="F9">
        <v>29</v>
      </c>
      <c r="G9">
        <v>29</v>
      </c>
      <c r="H9">
        <v>3</v>
      </c>
      <c r="I9">
        <v>2</v>
      </c>
      <c r="J9">
        <v>0</v>
      </c>
      <c r="K9">
        <v>0</v>
      </c>
      <c r="L9">
        <v>0</v>
      </c>
      <c r="M9">
        <v>176.2</v>
      </c>
      <c r="N9">
        <v>705</v>
      </c>
      <c r="O9">
        <v>131</v>
      </c>
      <c r="P9">
        <v>69</v>
      </c>
      <c r="Q9">
        <v>67</v>
      </c>
      <c r="R9">
        <v>24</v>
      </c>
      <c r="S9">
        <v>57</v>
      </c>
      <c r="T9">
        <v>1</v>
      </c>
      <c r="U9">
        <v>4</v>
      </c>
      <c r="V9">
        <v>6</v>
      </c>
      <c r="W9">
        <v>0</v>
      </c>
      <c r="X9">
        <v>228</v>
      </c>
      <c r="Y9">
        <v>15474</v>
      </c>
      <c r="Z9" cm="1">
        <f t="array" ref="Z9:AR9">VLOOKUP(A9,advanced_pitchers_2019!A:Y,{3,4,5,6,7,8,9,10,11,12,13,14,15,16,17,18,19,20,21},FALSE)</f>
        <v>11.62</v>
      </c>
      <c r="AA9">
        <v>2.9</v>
      </c>
      <c r="AB9">
        <v>4</v>
      </c>
      <c r="AC9">
        <v>1.22</v>
      </c>
      <c r="AD9">
        <v>0.32300000000000001</v>
      </c>
      <c r="AE9">
        <v>8.1000000000000003E-2</v>
      </c>
      <c r="AF9">
        <v>0.24299999999999999</v>
      </c>
      <c r="AG9">
        <v>0.20300000000000001</v>
      </c>
      <c r="AH9">
        <v>1.06</v>
      </c>
      <c r="AI9">
        <v>0.27300000000000002</v>
      </c>
      <c r="AJ9">
        <v>0.77700000000000002</v>
      </c>
      <c r="AK9">
        <v>76</v>
      </c>
      <c r="AL9">
        <v>74</v>
      </c>
      <c r="AM9">
        <v>80</v>
      </c>
      <c r="AN9">
        <v>3.41</v>
      </c>
      <c r="AO9">
        <v>3.43</v>
      </c>
      <c r="AP9">
        <v>-0.02</v>
      </c>
      <c r="AQ9">
        <v>3.66</v>
      </c>
      <c r="AR9">
        <v>3.57</v>
      </c>
      <c r="AS9" cm="1">
        <f t="array" ref="AS9:BA9">VLOOKUP(A9,plate_discipline_pitchers_2019!A:L,{3,4,5,6,7,8,9,10,11},FALSE)</f>
        <v>0.31900000000000001</v>
      </c>
      <c r="AT9">
        <v>0.69099999999999995</v>
      </c>
      <c r="AU9">
        <v>0.49399999999999999</v>
      </c>
      <c r="AV9">
        <v>0.54600000000000004</v>
      </c>
      <c r="AW9">
        <v>0.77300000000000002</v>
      </c>
      <c r="AX9">
        <v>0.69599999999999995</v>
      </c>
      <c r="AY9">
        <v>0.47199999999999998</v>
      </c>
      <c r="AZ9">
        <v>0.621</v>
      </c>
      <c r="BA9">
        <v>0.15</v>
      </c>
      <c r="BB9" cm="1">
        <f t="array" ref="BB9:BP9">VLOOKUP(A9,pitchvalue_pitchers_2019!A:Q,{3,4,5,6,7,8,9,10,11,12,13,14,15,16,17},FALSE)</f>
        <v>20.6</v>
      </c>
      <c r="BC9">
        <v>2</v>
      </c>
      <c r="BD9">
        <v>0</v>
      </c>
      <c r="BE9">
        <v>-4.4000000000000004</v>
      </c>
      <c r="BF9">
        <v>15</v>
      </c>
      <c r="BG9">
        <v>0</v>
      </c>
      <c r="BH9">
        <v>0</v>
      </c>
      <c r="BI9">
        <v>1.33</v>
      </c>
      <c r="BJ9">
        <v>0.49</v>
      </c>
      <c r="BK9">
        <v>0</v>
      </c>
      <c r="BL9">
        <v>-3.8</v>
      </c>
      <c r="BM9">
        <v>2.04</v>
      </c>
      <c r="BN9">
        <v>0</v>
      </c>
      <c r="BO9">
        <v>0</v>
      </c>
      <c r="BP9">
        <v>15474</v>
      </c>
      <c r="BQ9" cm="1">
        <f t="array" ref="BQ9:CH9">VLOOKUP(A9,battedball_pitchers_2019!A:U,{3,4,5,6,7,8,9,10,11,12,13,14,15,16,17,18,19,20},FALSE)</f>
        <v>0.27300000000000002</v>
      </c>
      <c r="BR9">
        <v>0.84</v>
      </c>
      <c r="BS9">
        <v>0.21299999999999999</v>
      </c>
      <c r="BT9">
        <v>0.36</v>
      </c>
      <c r="BU9">
        <v>0.42799999999999999</v>
      </c>
      <c r="BV9">
        <v>0.14699999999999999</v>
      </c>
      <c r="BW9">
        <v>0.13600000000000001</v>
      </c>
      <c r="BX9">
        <v>83</v>
      </c>
      <c r="BY9">
        <v>4.2300000000000004</v>
      </c>
      <c r="BZ9">
        <v>953</v>
      </c>
      <c r="CA9">
        <v>1861</v>
      </c>
      <c r="CB9">
        <v>2814</v>
      </c>
      <c r="CC9">
        <v>0.41099999999999998</v>
      </c>
      <c r="CD9">
        <v>0.315</v>
      </c>
      <c r="CE9">
        <v>0.27400000000000002</v>
      </c>
      <c r="CF9">
        <v>0.20200000000000001</v>
      </c>
      <c r="CG9">
        <v>0.47799999999999998</v>
      </c>
      <c r="CH9">
        <v>0.32</v>
      </c>
      <c r="CI9" cm="1">
        <f t="array" ref="CI9:CS9">VLOOKUP(A9,verticalmove_pitchers_2019!A:N,{3,4,5,6,7,8,9,10,11,12,13},FALSE)</f>
        <v>176.2</v>
      </c>
      <c r="CJ9">
        <v>10.199999999999999</v>
      </c>
      <c r="CK9">
        <v>0</v>
      </c>
      <c r="CL9">
        <v>0</v>
      </c>
      <c r="CM9">
        <v>9.4</v>
      </c>
      <c r="CN9">
        <v>6.5</v>
      </c>
      <c r="CO9">
        <v>2.8</v>
      </c>
      <c r="CP9">
        <v>-9.4</v>
      </c>
      <c r="CQ9">
        <v>0</v>
      </c>
      <c r="CR9">
        <v>0</v>
      </c>
      <c r="CS9">
        <v>0</v>
      </c>
      <c r="CT9" cm="1">
        <f t="array" ref="CT9:DD9">VLOOKUP(A9,velocity_pitchers_2019!A:N,{3,4,5,6,7,8,9,10,11,12,13},FALSE)</f>
        <v>176.2</v>
      </c>
      <c r="CU9">
        <v>94.5</v>
      </c>
      <c r="CV9">
        <v>0</v>
      </c>
      <c r="CW9">
        <v>0</v>
      </c>
      <c r="CX9">
        <v>96.1</v>
      </c>
      <c r="CY9">
        <v>81.900000000000006</v>
      </c>
      <c r="CZ9">
        <v>84.8</v>
      </c>
      <c r="DA9">
        <v>80</v>
      </c>
      <c r="DB9">
        <v>0</v>
      </c>
      <c r="DC9">
        <v>0</v>
      </c>
      <c r="DD9">
        <v>0</v>
      </c>
    </row>
    <row r="10" spans="1:108" x14ac:dyDescent="0.3">
      <c r="A10" t="s">
        <v>152</v>
      </c>
      <c r="B10" t="str" cm="1">
        <f t="array" ref="B10:Y10">VLOOKUP(A10,standard_pitchers_2019!A:Y,{2,3,4,5,6,7,8,9,10,11,12,13,14,15,16,17,18,19,20,21,22,23,24,25},FALSE)</f>
        <v>Rangers</v>
      </c>
      <c r="C10">
        <v>16</v>
      </c>
      <c r="D10">
        <v>11</v>
      </c>
      <c r="E10">
        <v>3.67</v>
      </c>
      <c r="F10">
        <v>33</v>
      </c>
      <c r="G10">
        <v>33</v>
      </c>
      <c r="H10">
        <v>0</v>
      </c>
      <c r="I10">
        <v>0</v>
      </c>
      <c r="J10">
        <v>0</v>
      </c>
      <c r="K10">
        <v>0</v>
      </c>
      <c r="L10">
        <v>0</v>
      </c>
      <c r="M10">
        <v>208.1</v>
      </c>
      <c r="N10">
        <v>875</v>
      </c>
      <c r="O10">
        <v>195</v>
      </c>
      <c r="P10">
        <v>89</v>
      </c>
      <c r="Q10">
        <v>85</v>
      </c>
      <c r="R10">
        <v>21</v>
      </c>
      <c r="S10">
        <v>59</v>
      </c>
      <c r="T10">
        <v>0</v>
      </c>
      <c r="U10">
        <v>8</v>
      </c>
      <c r="V10">
        <v>18</v>
      </c>
      <c r="W10">
        <v>0</v>
      </c>
      <c r="X10">
        <v>246</v>
      </c>
      <c r="Y10">
        <v>2520</v>
      </c>
      <c r="Z10" cm="1">
        <f t="array" ref="Z10:AR10">VLOOKUP(A10,advanced_pitchers_2019!A:Y,{3,4,5,6,7,8,9,10,11,12,13,14,15,16,17,18,19,20,21},FALSE)</f>
        <v>10.63</v>
      </c>
      <c r="AA10">
        <v>2.5499999999999998</v>
      </c>
      <c r="AB10">
        <v>4.17</v>
      </c>
      <c r="AC10">
        <v>0.91</v>
      </c>
      <c r="AD10">
        <v>0.28100000000000003</v>
      </c>
      <c r="AE10">
        <v>6.7000000000000004E-2</v>
      </c>
      <c r="AF10">
        <v>0.214</v>
      </c>
      <c r="AG10">
        <v>0.24099999999999999</v>
      </c>
      <c r="AH10">
        <v>1.22</v>
      </c>
      <c r="AI10">
        <v>0.32200000000000001</v>
      </c>
      <c r="AJ10">
        <v>0.74399999999999999</v>
      </c>
      <c r="AK10">
        <v>73</v>
      </c>
      <c r="AL10">
        <v>66</v>
      </c>
      <c r="AM10">
        <v>84</v>
      </c>
      <c r="AN10">
        <v>3.67</v>
      </c>
      <c r="AO10">
        <v>3.13</v>
      </c>
      <c r="AP10">
        <v>0.54</v>
      </c>
      <c r="AQ10">
        <v>3.85</v>
      </c>
      <c r="AR10">
        <v>3.83</v>
      </c>
      <c r="AS10" cm="1">
        <f t="array" ref="AS10:BA10">VLOOKUP(A10,plate_discipline_pitchers_2019!A:L,{3,4,5,6,7,8,9,10,11},FALSE)</f>
        <v>0.29899999999999999</v>
      </c>
      <c r="AT10">
        <v>0.72399999999999998</v>
      </c>
      <c r="AU10">
        <v>0.48699999999999999</v>
      </c>
      <c r="AV10">
        <v>0.61699999999999999</v>
      </c>
      <c r="AW10">
        <v>0.81</v>
      </c>
      <c r="AX10">
        <v>0.74399999999999999</v>
      </c>
      <c r="AY10">
        <v>0.442</v>
      </c>
      <c r="AZ10">
        <v>0.627</v>
      </c>
      <c r="BA10">
        <v>0.125</v>
      </c>
      <c r="BB10" cm="1">
        <f t="array" ref="BB10:BP10">VLOOKUP(A10,pitchvalue_pitchers_2019!A:Q,{3,4,5,6,7,8,9,10,11,12,13,14,15,16,17},FALSE)</f>
        <v>20.399999999999999</v>
      </c>
      <c r="BC10">
        <v>4.4000000000000004</v>
      </c>
      <c r="BD10">
        <v>0</v>
      </c>
      <c r="BE10">
        <v>-1.4</v>
      </c>
      <c r="BF10">
        <v>-2</v>
      </c>
      <c r="BG10">
        <v>-1.2</v>
      </c>
      <c r="BH10">
        <v>0</v>
      </c>
      <c r="BI10">
        <v>0.81</v>
      </c>
      <c r="BJ10">
        <v>0.77</v>
      </c>
      <c r="BK10">
        <v>0</v>
      </c>
      <c r="BL10">
        <v>-0.41</v>
      </c>
      <c r="BM10">
        <v>-4.4800000000000004</v>
      </c>
      <c r="BN10">
        <v>-1.86</v>
      </c>
      <c r="BO10">
        <v>0</v>
      </c>
      <c r="BP10">
        <v>2520</v>
      </c>
      <c r="BQ10" cm="1">
        <f t="array" ref="BQ10:CH10">VLOOKUP(A10,battedball_pitchers_2019!A:U,{3,4,5,6,7,8,9,10,11,12,13,14,15,16,17,18,19,20},FALSE)</f>
        <v>0.32200000000000001</v>
      </c>
      <c r="BR10">
        <v>1.05</v>
      </c>
      <c r="BS10">
        <v>0.214</v>
      </c>
      <c r="BT10">
        <v>0.40300000000000002</v>
      </c>
      <c r="BU10">
        <v>0.38300000000000001</v>
      </c>
      <c r="BV10">
        <v>0.10299999999999999</v>
      </c>
      <c r="BW10">
        <v>9.9000000000000005E-2</v>
      </c>
      <c r="BX10">
        <v>134</v>
      </c>
      <c r="BY10">
        <v>5.79</v>
      </c>
      <c r="BZ10">
        <v>1275</v>
      </c>
      <c r="CA10">
        <v>2278</v>
      </c>
      <c r="CB10">
        <v>3553</v>
      </c>
      <c r="CC10">
        <v>0.38400000000000001</v>
      </c>
      <c r="CD10">
        <v>0.34</v>
      </c>
      <c r="CE10">
        <v>0.27600000000000002</v>
      </c>
      <c r="CF10">
        <v>0.157</v>
      </c>
      <c r="CG10">
        <v>0.45400000000000001</v>
      </c>
      <c r="CH10">
        <v>0.39</v>
      </c>
      <c r="CI10" cm="1">
        <f t="array" ref="CI10:CS10">VLOOKUP(A10,verticalmove_pitchers_2019!A:N,{3,4,5,6,7,8,9,10,11,12,13},FALSE)</f>
        <v>208.1</v>
      </c>
      <c r="CJ10">
        <v>7.8</v>
      </c>
      <c r="CK10">
        <v>2.5</v>
      </c>
      <c r="CL10">
        <v>0</v>
      </c>
      <c r="CM10">
        <v>3.5</v>
      </c>
      <c r="CN10">
        <v>2.9</v>
      </c>
      <c r="CO10">
        <v>-0.7</v>
      </c>
      <c r="CP10">
        <v>-6.3</v>
      </c>
      <c r="CQ10">
        <v>0</v>
      </c>
      <c r="CR10">
        <v>0</v>
      </c>
      <c r="CS10">
        <v>0</v>
      </c>
      <c r="CT10" cm="1">
        <f t="array" ref="CT10:DD10">VLOOKUP(A10,velocity_pitchers_2019!A:N,{3,4,5,6,7,8,9,10,11,12,13},FALSE)</f>
        <v>208.1</v>
      </c>
      <c r="CU10">
        <v>94.8</v>
      </c>
      <c r="CV10">
        <v>89.4</v>
      </c>
      <c r="CW10">
        <v>0</v>
      </c>
      <c r="CX10">
        <v>93</v>
      </c>
      <c r="CY10">
        <v>87.1</v>
      </c>
      <c r="CZ10">
        <v>85.8</v>
      </c>
      <c r="DA10">
        <v>81.3</v>
      </c>
      <c r="DB10">
        <v>0</v>
      </c>
      <c r="DC10">
        <v>0</v>
      </c>
      <c r="DD10">
        <v>0</v>
      </c>
    </row>
    <row r="11" spans="1:108" x14ac:dyDescent="0.3">
      <c r="A11" t="s">
        <v>80</v>
      </c>
      <c r="B11" t="str" cm="1">
        <f t="array" ref="B11:Y11">VLOOKUP(A11,standard_pitchers_2019!A:Y,{2,3,4,5,6,7,8,9,10,11,12,13,14,15,16,17,18,19,20,21,22,23,24,25},FALSE)</f>
        <v>Indians</v>
      </c>
      <c r="C11">
        <v>13</v>
      </c>
      <c r="D11">
        <v>4</v>
      </c>
      <c r="E11">
        <v>2.71</v>
      </c>
      <c r="F11">
        <v>21</v>
      </c>
      <c r="G11">
        <v>21</v>
      </c>
      <c r="H11">
        <v>0</v>
      </c>
      <c r="I11">
        <v>0</v>
      </c>
      <c r="J11">
        <v>0</v>
      </c>
      <c r="K11">
        <v>0</v>
      </c>
      <c r="L11">
        <v>0</v>
      </c>
      <c r="M11">
        <v>126</v>
      </c>
      <c r="N11">
        <v>499</v>
      </c>
      <c r="O11">
        <v>96</v>
      </c>
      <c r="P11">
        <v>38</v>
      </c>
      <c r="Q11">
        <v>38</v>
      </c>
      <c r="R11">
        <v>10</v>
      </c>
      <c r="S11">
        <v>37</v>
      </c>
      <c r="T11">
        <v>0</v>
      </c>
      <c r="U11">
        <v>2</v>
      </c>
      <c r="V11">
        <v>0</v>
      </c>
      <c r="W11">
        <v>0</v>
      </c>
      <c r="X11">
        <v>169</v>
      </c>
      <c r="Y11">
        <v>12808</v>
      </c>
      <c r="Z11" cm="1">
        <f t="array" ref="Z11:AR11">VLOOKUP(A11,advanced_pitchers_2019!A:Y,{3,4,5,6,7,8,9,10,11,12,13,14,15,16,17,18,19,20,21},FALSE)</f>
        <v>12.07</v>
      </c>
      <c r="AA11">
        <v>2.64</v>
      </c>
      <c r="AB11">
        <v>4.57</v>
      </c>
      <c r="AC11">
        <v>0.71</v>
      </c>
      <c r="AD11">
        <v>0.33900000000000002</v>
      </c>
      <c r="AE11">
        <v>7.3999999999999996E-2</v>
      </c>
      <c r="AF11">
        <v>0.26500000000000001</v>
      </c>
      <c r="AG11">
        <v>0.20899999999999999</v>
      </c>
      <c r="AH11">
        <v>1.06</v>
      </c>
      <c r="AI11">
        <v>0.30599999999999999</v>
      </c>
      <c r="AJ11">
        <v>0.80200000000000005</v>
      </c>
      <c r="AK11">
        <v>56</v>
      </c>
      <c r="AL11">
        <v>55</v>
      </c>
      <c r="AM11">
        <v>68</v>
      </c>
      <c r="AN11">
        <v>2.71</v>
      </c>
      <c r="AO11">
        <v>2.4900000000000002</v>
      </c>
      <c r="AP11">
        <v>0.22</v>
      </c>
      <c r="AQ11">
        <v>3.09</v>
      </c>
      <c r="AR11">
        <v>3.31</v>
      </c>
      <c r="AS11" cm="1">
        <f t="array" ref="AS11:BA11">VLOOKUP(A11,plate_discipline_pitchers_2019!A:L,{3,4,5,6,7,8,9,10,11},FALSE)</f>
        <v>0.315</v>
      </c>
      <c r="AT11">
        <v>0.66</v>
      </c>
      <c r="AU11">
        <v>0.45600000000000002</v>
      </c>
      <c r="AV11">
        <v>0.53</v>
      </c>
      <c r="AW11">
        <v>0.76100000000000001</v>
      </c>
      <c r="AX11">
        <v>0.66700000000000004</v>
      </c>
      <c r="AY11">
        <v>0.41</v>
      </c>
      <c r="AZ11">
        <v>0.65900000000000003</v>
      </c>
      <c r="BA11">
        <v>0.152</v>
      </c>
      <c r="BB11" cm="1">
        <f t="array" ref="BB11:BP11">VLOOKUP(A11,pitchvalue_pitchers_2019!A:Q,{3,4,5,6,7,8,9,10,11,12,13,14,15,16,17},FALSE)</f>
        <v>19.5</v>
      </c>
      <c r="BC11">
        <v>9.3000000000000007</v>
      </c>
      <c r="BD11">
        <v>0</v>
      </c>
      <c r="BE11">
        <v>-1.7</v>
      </c>
      <c r="BF11">
        <v>-1.7</v>
      </c>
      <c r="BG11">
        <v>0</v>
      </c>
      <c r="BH11">
        <v>0</v>
      </c>
      <c r="BI11">
        <v>1.82</v>
      </c>
      <c r="BJ11">
        <v>1.74</v>
      </c>
      <c r="BK11">
        <v>0</v>
      </c>
      <c r="BL11">
        <v>-0.67</v>
      </c>
      <c r="BM11">
        <v>-0.73</v>
      </c>
      <c r="BN11">
        <v>0</v>
      </c>
      <c r="BO11">
        <v>0</v>
      </c>
      <c r="BP11">
        <v>12808</v>
      </c>
      <c r="BQ11" cm="1">
        <f t="array" ref="BQ11:CH11">VLOOKUP(A11,battedball_pitchers_2019!A:U,{3,4,5,6,7,8,9,10,11,12,13,14,15,16,17,18,19,20},FALSE)</f>
        <v>0.30599999999999999</v>
      </c>
      <c r="BR11">
        <v>1.1499999999999999</v>
      </c>
      <c r="BS11">
        <v>0.23499999999999999</v>
      </c>
      <c r="BT11">
        <v>0.40799999999999997</v>
      </c>
      <c r="BU11">
        <v>0.35599999999999998</v>
      </c>
      <c r="BV11">
        <v>9.7000000000000003E-2</v>
      </c>
      <c r="BW11">
        <v>9.7000000000000003E-2</v>
      </c>
      <c r="BX11">
        <v>83</v>
      </c>
      <c r="BY11">
        <v>5.93</v>
      </c>
      <c r="BZ11">
        <v>764</v>
      </c>
      <c r="CA11">
        <v>1326</v>
      </c>
      <c r="CB11">
        <v>2090</v>
      </c>
      <c r="CC11">
        <v>0.42299999999999999</v>
      </c>
      <c r="CD11">
        <v>0.33</v>
      </c>
      <c r="CE11">
        <v>0.247</v>
      </c>
      <c r="CF11">
        <v>0.19900000000000001</v>
      </c>
      <c r="CG11">
        <v>0.47099999999999997</v>
      </c>
      <c r="CH11">
        <v>0.33</v>
      </c>
      <c r="CI11" cm="1">
        <f t="array" ref="CI11:CS11">VLOOKUP(A11,verticalmove_pitchers_2019!A:N,{3,4,5,6,7,8,9,10,11,12,13},FALSE)</f>
        <v>126</v>
      </c>
      <c r="CJ11">
        <v>9.6999999999999993</v>
      </c>
      <c r="CK11">
        <v>0</v>
      </c>
      <c r="CL11">
        <v>0</v>
      </c>
      <c r="CM11">
        <v>0</v>
      </c>
      <c r="CN11">
        <v>5.9</v>
      </c>
      <c r="CO11">
        <v>-1.7</v>
      </c>
      <c r="CP11">
        <v>-8.3000000000000007</v>
      </c>
      <c r="CQ11">
        <v>0</v>
      </c>
      <c r="CR11">
        <v>0</v>
      </c>
      <c r="CS11">
        <v>0</v>
      </c>
      <c r="CT11" cm="1">
        <f t="array" ref="CT11:DD11">VLOOKUP(A11,velocity_pitchers_2019!A:N,{3,4,5,6,7,8,9,10,11,12,13},FALSE)</f>
        <v>126</v>
      </c>
      <c r="CU11">
        <v>95.6</v>
      </c>
      <c r="CV11">
        <v>0</v>
      </c>
      <c r="CW11">
        <v>0</v>
      </c>
      <c r="CX11">
        <v>0</v>
      </c>
      <c r="CY11">
        <v>87.4</v>
      </c>
      <c r="CZ11">
        <v>80.900000000000006</v>
      </c>
      <c r="DA11">
        <v>77.7</v>
      </c>
      <c r="DB11">
        <v>0</v>
      </c>
      <c r="DC11">
        <v>0</v>
      </c>
      <c r="DD11">
        <v>0</v>
      </c>
    </row>
    <row r="12" spans="1:108" x14ac:dyDescent="0.3">
      <c r="A12" t="s">
        <v>74</v>
      </c>
      <c r="B12" t="str" cm="1">
        <f t="array" ref="B12:Y12">VLOOKUP(A12,standard_pitchers_2019!A:Y,{2,3,4,5,6,7,8,9,10,11,12,13,14,15,16,17,18,19,20,21,22,23,24,25},FALSE)</f>
        <v>Braves</v>
      </c>
      <c r="C12">
        <v>13</v>
      </c>
      <c r="D12">
        <v>4</v>
      </c>
      <c r="E12">
        <v>2.68</v>
      </c>
      <c r="F12">
        <v>29</v>
      </c>
      <c r="G12">
        <v>29</v>
      </c>
      <c r="H12">
        <v>0</v>
      </c>
      <c r="I12">
        <v>0</v>
      </c>
      <c r="J12">
        <v>0</v>
      </c>
      <c r="K12">
        <v>0</v>
      </c>
      <c r="L12">
        <v>0</v>
      </c>
      <c r="M12">
        <v>174.2</v>
      </c>
      <c r="N12">
        <v>701</v>
      </c>
      <c r="O12">
        <v>153</v>
      </c>
      <c r="P12">
        <v>56</v>
      </c>
      <c r="Q12">
        <v>52</v>
      </c>
      <c r="R12">
        <v>14</v>
      </c>
      <c r="S12">
        <v>41</v>
      </c>
      <c r="T12">
        <v>1</v>
      </c>
      <c r="U12">
        <v>7</v>
      </c>
      <c r="V12">
        <v>3</v>
      </c>
      <c r="W12">
        <v>0</v>
      </c>
      <c r="X12">
        <v>142</v>
      </c>
      <c r="Y12">
        <v>18383</v>
      </c>
      <c r="Z12" cm="1">
        <f t="array" ref="Z12:AR12">VLOOKUP(A12,advanced_pitchers_2019!A:Y,{3,4,5,6,7,8,9,10,11,12,13,14,15,16,17,18,19,20,21},FALSE)</f>
        <v>7.32</v>
      </c>
      <c r="AA12">
        <v>2.11</v>
      </c>
      <c r="AB12">
        <v>3.46</v>
      </c>
      <c r="AC12">
        <v>0.72</v>
      </c>
      <c r="AD12">
        <v>0.20300000000000001</v>
      </c>
      <c r="AE12">
        <v>5.8000000000000003E-2</v>
      </c>
      <c r="AF12">
        <v>0.14399999999999999</v>
      </c>
      <c r="AG12">
        <v>0.23400000000000001</v>
      </c>
      <c r="AH12">
        <v>1.1100000000000001</v>
      </c>
      <c r="AI12">
        <v>0.28000000000000003</v>
      </c>
      <c r="AJ12">
        <v>0.79900000000000004</v>
      </c>
      <c r="AK12">
        <v>60</v>
      </c>
      <c r="AL12">
        <v>79</v>
      </c>
      <c r="AM12">
        <v>87</v>
      </c>
      <c r="AN12">
        <v>2.68</v>
      </c>
      <c r="AO12">
        <v>3.45</v>
      </c>
      <c r="AP12">
        <v>-0.78</v>
      </c>
      <c r="AQ12">
        <v>3.85</v>
      </c>
      <c r="AR12">
        <v>4.28</v>
      </c>
      <c r="AS12" cm="1">
        <f t="array" ref="AS12:BA12">VLOOKUP(A12,plate_discipline_pitchers_2019!A:L,{3,4,5,6,7,8,9,10,11},FALSE)</f>
        <v>0.33800000000000002</v>
      </c>
      <c r="AT12">
        <v>0.67600000000000005</v>
      </c>
      <c r="AU12">
        <v>0.48199999999999998</v>
      </c>
      <c r="AV12">
        <v>0.65500000000000003</v>
      </c>
      <c r="AW12">
        <v>0.874</v>
      </c>
      <c r="AX12">
        <v>0.78600000000000003</v>
      </c>
      <c r="AY12">
        <v>0.42599999999999999</v>
      </c>
      <c r="AZ12">
        <v>0.63800000000000001</v>
      </c>
      <c r="BA12">
        <v>0.10299999999999999</v>
      </c>
      <c r="BB12" cm="1">
        <f t="array" ref="BB12:BP12">VLOOKUP(A12,pitchvalue_pitchers_2019!A:Q,{3,4,5,6,7,8,9,10,11,12,13,14,15,16,17},FALSE)</f>
        <v>18.7</v>
      </c>
      <c r="BC12">
        <v>8.6999999999999993</v>
      </c>
      <c r="BD12">
        <v>0</v>
      </c>
      <c r="BE12">
        <v>0</v>
      </c>
      <c r="BF12">
        <v>5.6</v>
      </c>
      <c r="BG12">
        <v>0</v>
      </c>
      <c r="BH12">
        <v>0</v>
      </c>
      <c r="BI12">
        <v>1.1499999999999999</v>
      </c>
      <c r="BJ12">
        <v>1.41</v>
      </c>
      <c r="BK12">
        <v>0</v>
      </c>
      <c r="BL12">
        <v>0</v>
      </c>
      <c r="BM12">
        <v>1.79</v>
      </c>
      <c r="BN12">
        <v>0</v>
      </c>
      <c r="BO12">
        <v>0</v>
      </c>
      <c r="BP12">
        <v>18383</v>
      </c>
      <c r="BQ12" cm="1">
        <f t="array" ref="BQ12:CH12">VLOOKUP(A12,battedball_pitchers_2019!A:U,{3,4,5,6,7,8,9,10,11,12,13,14,15,16,17,18,19,20},FALSE)</f>
        <v>0.28000000000000003</v>
      </c>
      <c r="BR12">
        <v>2.02</v>
      </c>
      <c r="BS12">
        <v>0.23499999999999999</v>
      </c>
      <c r="BT12">
        <v>0.51200000000000001</v>
      </c>
      <c r="BU12">
        <v>0.253</v>
      </c>
      <c r="BV12">
        <v>0.14299999999999999</v>
      </c>
      <c r="BW12">
        <v>0.111</v>
      </c>
      <c r="BX12">
        <v>103</v>
      </c>
      <c r="BY12">
        <v>5.31</v>
      </c>
      <c r="BZ12">
        <v>883</v>
      </c>
      <c r="CA12">
        <v>1674</v>
      </c>
      <c r="CB12">
        <v>2557</v>
      </c>
      <c r="CC12">
        <v>0.443</v>
      </c>
      <c r="CD12">
        <v>0.33900000000000002</v>
      </c>
      <c r="CE12">
        <v>0.218</v>
      </c>
      <c r="CF12">
        <v>0.19</v>
      </c>
      <c r="CG12">
        <v>0.44700000000000001</v>
      </c>
      <c r="CH12">
        <v>0.36299999999999999</v>
      </c>
      <c r="CI12" cm="1">
        <f t="array" ref="CI12:CS12">VLOOKUP(A12,verticalmove_pitchers_2019!A:N,{3,4,5,6,7,8,9,10,11,12,13},FALSE)</f>
        <v>174.2</v>
      </c>
      <c r="CJ12">
        <v>7.1</v>
      </c>
      <c r="CK12">
        <v>0</v>
      </c>
      <c r="CL12">
        <v>0</v>
      </c>
      <c r="CM12">
        <v>3.9</v>
      </c>
      <c r="CN12">
        <v>6.4</v>
      </c>
      <c r="CO12">
        <v>-2.7</v>
      </c>
      <c r="CP12">
        <v>0</v>
      </c>
      <c r="CQ12">
        <v>0</v>
      </c>
      <c r="CR12">
        <v>0</v>
      </c>
      <c r="CS12">
        <v>0</v>
      </c>
      <c r="CT12" cm="1">
        <f t="array" ref="CT12:DD12">VLOOKUP(A12,velocity_pitchers_2019!A:N,{3,4,5,6,7,8,9,10,11,12,13},FALSE)</f>
        <v>174.2</v>
      </c>
      <c r="CU12">
        <v>92.9</v>
      </c>
      <c r="CV12">
        <v>0</v>
      </c>
      <c r="CW12">
        <v>0</v>
      </c>
      <c r="CX12">
        <v>92.2</v>
      </c>
      <c r="CY12">
        <v>81.2</v>
      </c>
      <c r="CZ12">
        <v>83.1</v>
      </c>
      <c r="DA12">
        <v>0</v>
      </c>
      <c r="DB12">
        <v>0</v>
      </c>
      <c r="DC12">
        <v>0</v>
      </c>
      <c r="DD12">
        <v>0</v>
      </c>
    </row>
    <row r="13" spans="1:108" x14ac:dyDescent="0.3">
      <c r="A13" t="s">
        <v>172</v>
      </c>
      <c r="B13" t="str" cm="1">
        <f t="array" ref="B13:Y13">VLOOKUP(A13,standard_pitchers_2019!A:Y,{2,3,4,5,6,7,8,9,10,11,12,13,14,15,16,17,18,19,20,21,22,23,24,25},FALSE)</f>
        <v>Athletics</v>
      </c>
      <c r="C13">
        <v>10</v>
      </c>
      <c r="D13">
        <v>5</v>
      </c>
      <c r="E13">
        <v>3.81</v>
      </c>
      <c r="F13">
        <v>28</v>
      </c>
      <c r="G13">
        <v>25</v>
      </c>
      <c r="H13">
        <v>0</v>
      </c>
      <c r="I13">
        <v>0</v>
      </c>
      <c r="J13">
        <v>0</v>
      </c>
      <c r="K13">
        <v>0</v>
      </c>
      <c r="L13">
        <v>0</v>
      </c>
      <c r="M13">
        <v>144</v>
      </c>
      <c r="N13">
        <v>612</v>
      </c>
      <c r="O13">
        <v>125</v>
      </c>
      <c r="P13">
        <v>66</v>
      </c>
      <c r="Q13">
        <v>61</v>
      </c>
      <c r="R13">
        <v>21</v>
      </c>
      <c r="S13">
        <v>47</v>
      </c>
      <c r="T13">
        <v>0</v>
      </c>
      <c r="U13">
        <v>13</v>
      </c>
      <c r="V13">
        <v>3</v>
      </c>
      <c r="W13">
        <v>0</v>
      </c>
      <c r="X13">
        <v>141</v>
      </c>
      <c r="Y13">
        <v>12304</v>
      </c>
      <c r="Z13" cm="1">
        <f t="array" ref="Z13:AR13">VLOOKUP(A13,advanced_pitchers_2019!A:Y,{3,4,5,6,7,8,9,10,11,12,13,14,15,16,17,18,19,20,21},FALSE)</f>
        <v>8.81</v>
      </c>
      <c r="AA13">
        <v>2.94</v>
      </c>
      <c r="AB13">
        <v>3</v>
      </c>
      <c r="AC13">
        <v>1.31</v>
      </c>
      <c r="AD13">
        <v>0.23</v>
      </c>
      <c r="AE13">
        <v>7.6999999999999999E-2</v>
      </c>
      <c r="AF13">
        <v>0.154</v>
      </c>
      <c r="AG13">
        <v>0.22600000000000001</v>
      </c>
      <c r="AH13">
        <v>1.19</v>
      </c>
      <c r="AI13">
        <v>0.26700000000000002</v>
      </c>
      <c r="AJ13">
        <v>0.76500000000000001</v>
      </c>
      <c r="AK13">
        <v>86</v>
      </c>
      <c r="AL13">
        <v>99</v>
      </c>
      <c r="AM13">
        <v>101</v>
      </c>
      <c r="AN13">
        <v>3.81</v>
      </c>
      <c r="AO13">
        <v>4.4000000000000004</v>
      </c>
      <c r="AP13">
        <v>-0.59</v>
      </c>
      <c r="AQ13">
        <v>4.6100000000000003</v>
      </c>
      <c r="AR13">
        <v>4.47</v>
      </c>
      <c r="AS13" cm="1">
        <f t="array" ref="AS13:BA13">VLOOKUP(A13,plate_discipline_pitchers_2019!A:L,{3,4,5,6,7,8,9,10,11},FALSE)</f>
        <v>0.29299999999999998</v>
      </c>
      <c r="AT13">
        <v>0.65900000000000003</v>
      </c>
      <c r="AU13">
        <v>0.46500000000000002</v>
      </c>
      <c r="AV13">
        <v>0.71799999999999997</v>
      </c>
      <c r="AW13">
        <v>0.85299999999999998</v>
      </c>
      <c r="AX13">
        <v>0.80800000000000005</v>
      </c>
      <c r="AY13">
        <v>0.47099999999999997</v>
      </c>
      <c r="AZ13">
        <v>0.626</v>
      </c>
      <c r="BA13">
        <v>8.8999999999999996E-2</v>
      </c>
      <c r="BB13" cm="1">
        <f t="array" ref="BB13:BP13">VLOOKUP(A13,pitchvalue_pitchers_2019!A:Q,{3,4,5,6,7,8,9,10,11,12,13,14,15,16,17},FALSE)</f>
        <v>18.5</v>
      </c>
      <c r="BC13">
        <v>-7.4</v>
      </c>
      <c r="BD13">
        <v>0</v>
      </c>
      <c r="BE13">
        <v>-6.4</v>
      </c>
      <c r="BF13">
        <v>2.4</v>
      </c>
      <c r="BG13">
        <v>0</v>
      </c>
      <c r="BH13">
        <v>0</v>
      </c>
      <c r="BI13">
        <v>1.18</v>
      </c>
      <c r="BJ13">
        <v>-2.1800000000000002</v>
      </c>
      <c r="BK13">
        <v>0</v>
      </c>
      <c r="BL13">
        <v>-2.02</v>
      </c>
      <c r="BM13">
        <v>1.18</v>
      </c>
      <c r="BN13">
        <v>0</v>
      </c>
      <c r="BO13">
        <v>0</v>
      </c>
      <c r="BP13">
        <v>12304</v>
      </c>
      <c r="BQ13" cm="1">
        <f t="array" ref="BQ13:CH13">VLOOKUP(A13,battedball_pitchers_2019!A:U,{3,4,5,6,7,8,9,10,11,12,13,14,15,16,17,18,19,20},FALSE)</f>
        <v>0.26700000000000002</v>
      </c>
      <c r="BR13">
        <v>1.1000000000000001</v>
      </c>
      <c r="BS13">
        <v>0.21</v>
      </c>
      <c r="BT13">
        <v>0.41299999999999998</v>
      </c>
      <c r="BU13">
        <v>0.376</v>
      </c>
      <c r="BV13">
        <v>0.151</v>
      </c>
      <c r="BW13">
        <v>0.13800000000000001</v>
      </c>
      <c r="BX13">
        <v>107</v>
      </c>
      <c r="BY13">
        <v>6.69</v>
      </c>
      <c r="BZ13">
        <v>860</v>
      </c>
      <c r="CA13">
        <v>1570</v>
      </c>
      <c r="CB13">
        <v>2430</v>
      </c>
      <c r="CC13">
        <v>0.38400000000000001</v>
      </c>
      <c r="CD13">
        <v>0.314</v>
      </c>
      <c r="CE13">
        <v>0.30199999999999999</v>
      </c>
      <c r="CF13">
        <v>0.17</v>
      </c>
      <c r="CG13">
        <v>0.45700000000000002</v>
      </c>
      <c r="CH13">
        <v>0.372</v>
      </c>
      <c r="CI13" cm="1">
        <f t="array" ref="CI13:CS13">VLOOKUP(A13,verticalmove_pitchers_2019!A:N,{3,4,5,6,7,8,9,10,11,12,13},FALSE)</f>
        <v>144</v>
      </c>
      <c r="CJ13">
        <v>7.5</v>
      </c>
      <c r="CK13">
        <v>3.7</v>
      </c>
      <c r="CL13">
        <v>0</v>
      </c>
      <c r="CM13">
        <v>5.6</v>
      </c>
      <c r="CN13">
        <v>4.8</v>
      </c>
      <c r="CO13">
        <v>-1.4</v>
      </c>
      <c r="CP13">
        <v>-9.3000000000000007</v>
      </c>
      <c r="CQ13">
        <v>0</v>
      </c>
      <c r="CR13">
        <v>0</v>
      </c>
      <c r="CS13">
        <v>0</v>
      </c>
      <c r="CT13" cm="1">
        <f t="array" ref="CT13:DD13">VLOOKUP(A13,velocity_pitchers_2019!A:N,{3,4,5,6,7,8,9,10,11,12,13},FALSE)</f>
        <v>144</v>
      </c>
      <c r="CU13">
        <v>94.2</v>
      </c>
      <c r="CV13">
        <v>88.6</v>
      </c>
      <c r="CW13">
        <v>0</v>
      </c>
      <c r="CX13">
        <v>93.4</v>
      </c>
      <c r="CY13">
        <v>85.3</v>
      </c>
      <c r="CZ13">
        <v>80.900000000000006</v>
      </c>
      <c r="DA13">
        <v>70.599999999999994</v>
      </c>
      <c r="DB13">
        <v>0</v>
      </c>
      <c r="DC13">
        <v>0</v>
      </c>
      <c r="DD13">
        <v>0</v>
      </c>
    </row>
    <row r="14" spans="1:108" x14ac:dyDescent="0.3">
      <c r="A14" t="s">
        <v>42</v>
      </c>
      <c r="B14" t="str" cm="1">
        <f t="array" ref="B14:Y14">VLOOKUP(A14,standard_pitchers_2019!A:Y,{2,3,4,5,6,7,8,9,10,11,12,13,14,15,16,17,18,19,20,21,22,23,24,25},FALSE)</f>
        <v>White Sox</v>
      </c>
      <c r="C14">
        <v>0</v>
      </c>
      <c r="D14">
        <v>0</v>
      </c>
      <c r="E14">
        <v>2.13</v>
      </c>
      <c r="F14">
        <v>58</v>
      </c>
      <c r="G14">
        <v>0</v>
      </c>
      <c r="H14">
        <v>0</v>
      </c>
      <c r="I14">
        <v>0</v>
      </c>
      <c r="J14">
        <v>1</v>
      </c>
      <c r="K14">
        <v>27</v>
      </c>
      <c r="L14">
        <v>2</v>
      </c>
      <c r="M14">
        <v>67.2</v>
      </c>
      <c r="N14">
        <v>262</v>
      </c>
      <c r="O14">
        <v>43</v>
      </c>
      <c r="P14">
        <v>17</v>
      </c>
      <c r="Q14">
        <v>16</v>
      </c>
      <c r="R14">
        <v>4</v>
      </c>
      <c r="S14">
        <v>24</v>
      </c>
      <c r="T14">
        <v>2</v>
      </c>
      <c r="U14">
        <v>3</v>
      </c>
      <c r="V14">
        <v>4</v>
      </c>
      <c r="W14">
        <v>0</v>
      </c>
      <c r="X14">
        <v>60</v>
      </c>
      <c r="Y14">
        <v>16258</v>
      </c>
      <c r="Z14" cm="1">
        <f t="array" ref="Z14:AR14">VLOOKUP(A14,advanced_pitchers_2019!A:Y,{3,4,5,6,7,8,9,10,11,12,13,14,15,16,17,18,19,20,21},FALSE)</f>
        <v>7.98</v>
      </c>
      <c r="AA14">
        <v>3.19</v>
      </c>
      <c r="AB14">
        <v>2.5</v>
      </c>
      <c r="AC14">
        <v>0.53</v>
      </c>
      <c r="AD14">
        <v>0.22900000000000001</v>
      </c>
      <c r="AE14">
        <v>9.1999999999999998E-2</v>
      </c>
      <c r="AF14">
        <v>0.13700000000000001</v>
      </c>
      <c r="AG14">
        <v>0.183</v>
      </c>
      <c r="AH14">
        <v>0.99</v>
      </c>
      <c r="AI14">
        <v>0.22800000000000001</v>
      </c>
      <c r="AJ14">
        <v>0.82299999999999995</v>
      </c>
      <c r="AK14">
        <v>47</v>
      </c>
      <c r="AL14">
        <v>74</v>
      </c>
      <c r="AM14">
        <v>76</v>
      </c>
      <c r="AN14">
        <v>2.13</v>
      </c>
      <c r="AO14">
        <v>3.41</v>
      </c>
      <c r="AP14">
        <v>-1.28</v>
      </c>
      <c r="AQ14">
        <v>3.49</v>
      </c>
      <c r="AR14">
        <v>3.43</v>
      </c>
      <c r="AS14" cm="1">
        <f t="array" ref="AS14:BA14">VLOOKUP(A14,plate_discipline_pitchers_2019!A:L,{3,4,5,6,7,8,9,10,11},FALSE)</f>
        <v>0.29399999999999998</v>
      </c>
      <c r="AT14">
        <v>0.67900000000000005</v>
      </c>
      <c r="AU14">
        <v>0.47099999999999997</v>
      </c>
      <c r="AV14">
        <v>0.60599999999999998</v>
      </c>
      <c r="AW14">
        <v>0.85799999999999998</v>
      </c>
      <c r="AX14">
        <v>0.77300000000000002</v>
      </c>
      <c r="AY14">
        <v>0.45900000000000002</v>
      </c>
      <c r="AZ14">
        <v>0.59199999999999997</v>
      </c>
      <c r="BA14">
        <v>0.107</v>
      </c>
      <c r="BB14" cm="1">
        <f t="array" ref="BB14:BP14">VLOOKUP(A14,pitchvalue_pitchers_2019!A:Q,{3,4,5,6,7,8,9,10,11,12,13,14,15,16,17},FALSE)</f>
        <v>17.8</v>
      </c>
      <c r="BC14">
        <v>1.6</v>
      </c>
      <c r="BD14">
        <v>4</v>
      </c>
      <c r="BE14">
        <v>0</v>
      </c>
      <c r="BF14">
        <v>0.1</v>
      </c>
      <c r="BG14">
        <v>0</v>
      </c>
      <c r="BH14">
        <v>0</v>
      </c>
      <c r="BI14">
        <v>2.25</v>
      </c>
      <c r="BJ14">
        <v>2.31</v>
      </c>
      <c r="BK14">
        <v>2.3199999999999998</v>
      </c>
      <c r="BL14">
        <v>0</v>
      </c>
      <c r="BM14">
        <v>2.96</v>
      </c>
      <c r="BN14">
        <v>0</v>
      </c>
      <c r="BO14">
        <v>0</v>
      </c>
      <c r="BP14">
        <v>16258</v>
      </c>
      <c r="BQ14" cm="1">
        <f t="array" ref="BQ14:CH14">VLOOKUP(A14,battedball_pitchers_2019!A:U,{3,4,5,6,7,8,9,10,11,12,13,14,15,16,17,18,19,20},FALSE)</f>
        <v>0.22800000000000001</v>
      </c>
      <c r="BR14">
        <v>4.28</v>
      </c>
      <c r="BS14">
        <v>0.11</v>
      </c>
      <c r="BT14">
        <v>0.72099999999999997</v>
      </c>
      <c r="BU14">
        <v>0.16900000000000001</v>
      </c>
      <c r="BV14">
        <v>0</v>
      </c>
      <c r="BW14">
        <v>0.13800000000000001</v>
      </c>
      <c r="BX14">
        <v>35</v>
      </c>
      <c r="BY14">
        <v>4.66</v>
      </c>
      <c r="BZ14">
        <v>381</v>
      </c>
      <c r="CA14">
        <v>658</v>
      </c>
      <c r="CB14">
        <v>1039</v>
      </c>
      <c r="CC14">
        <v>0.42299999999999999</v>
      </c>
      <c r="CD14">
        <v>0.32</v>
      </c>
      <c r="CE14">
        <v>0.25700000000000001</v>
      </c>
      <c r="CF14">
        <v>0.22900000000000001</v>
      </c>
      <c r="CG14">
        <v>0.52</v>
      </c>
      <c r="CH14">
        <v>0.251</v>
      </c>
      <c r="CI14" cm="1">
        <f t="array" ref="CI14:CS14">VLOOKUP(A14,verticalmove_pitchers_2019!A:N,{3,4,5,6,7,8,9,10,11,12,13},FALSE)</f>
        <v>67.2</v>
      </c>
      <c r="CJ14">
        <v>2.4</v>
      </c>
      <c r="CK14">
        <v>0.5</v>
      </c>
      <c r="CL14">
        <v>0</v>
      </c>
      <c r="CM14">
        <v>1.4</v>
      </c>
      <c r="CN14">
        <v>0.3</v>
      </c>
      <c r="CO14">
        <v>-0.9</v>
      </c>
      <c r="CP14">
        <v>0</v>
      </c>
      <c r="CQ14">
        <v>0</v>
      </c>
      <c r="CR14">
        <v>0</v>
      </c>
      <c r="CS14">
        <v>0</v>
      </c>
      <c r="CT14" cm="1">
        <f t="array" ref="CT14:DD14">VLOOKUP(A14,velocity_pitchers_2019!A:N,{3,4,5,6,7,8,9,10,11,12,13},FALSE)</f>
        <v>67.2</v>
      </c>
      <c r="CU14">
        <v>95.3</v>
      </c>
      <c r="CV14">
        <v>88.9</v>
      </c>
      <c r="CW14">
        <v>0</v>
      </c>
      <c r="CX14">
        <v>95.8</v>
      </c>
      <c r="CY14">
        <v>89.5</v>
      </c>
      <c r="CZ14">
        <v>85.5</v>
      </c>
      <c r="DA14">
        <v>0</v>
      </c>
      <c r="DB14">
        <v>0</v>
      </c>
      <c r="DC14">
        <v>0</v>
      </c>
      <c r="DD14">
        <v>0</v>
      </c>
    </row>
    <row r="15" spans="1:108" x14ac:dyDescent="0.3">
      <c r="A15" t="s">
        <v>99</v>
      </c>
      <c r="B15" t="str" cm="1">
        <f t="array" ref="B15:Y15">VLOOKUP(A15,standard_pitchers_2019!A:Y,{2,3,4,5,6,7,8,9,10,11,12,13,14,15,16,17,18,19,20,21,22,23,24,25},FALSE)</f>
        <v>Twins</v>
      </c>
      <c r="C15">
        <v>5</v>
      </c>
      <c r="D15">
        <v>3</v>
      </c>
      <c r="E15">
        <v>2.94</v>
      </c>
      <c r="F15">
        <v>65</v>
      </c>
      <c r="G15">
        <v>0</v>
      </c>
      <c r="H15">
        <v>0</v>
      </c>
      <c r="I15">
        <v>0</v>
      </c>
      <c r="J15">
        <v>2</v>
      </c>
      <c r="K15">
        <v>17</v>
      </c>
      <c r="L15">
        <v>2</v>
      </c>
      <c r="M15">
        <v>64.099999999999994</v>
      </c>
      <c r="N15">
        <v>266</v>
      </c>
      <c r="O15">
        <v>43</v>
      </c>
      <c r="P15">
        <v>24</v>
      </c>
      <c r="Q15">
        <v>21</v>
      </c>
      <c r="R15">
        <v>8</v>
      </c>
      <c r="S15">
        <v>26</v>
      </c>
      <c r="T15">
        <v>1</v>
      </c>
      <c r="U15">
        <v>3</v>
      </c>
      <c r="V15">
        <v>3</v>
      </c>
      <c r="W15">
        <v>0</v>
      </c>
      <c r="X15">
        <v>79</v>
      </c>
      <c r="Y15">
        <v>6398</v>
      </c>
      <c r="Z15" cm="1">
        <f t="array" ref="Z15:AR15">VLOOKUP(A15,advanced_pitchers_2019!A:Y,{3,4,5,6,7,8,9,10,11,12,13,14,15,16,17,18,19,20,21},FALSE)</f>
        <v>11.05</v>
      </c>
      <c r="AA15">
        <v>3.64</v>
      </c>
      <c r="AB15">
        <v>3.04</v>
      </c>
      <c r="AC15">
        <v>1.1200000000000001</v>
      </c>
      <c r="AD15">
        <v>0.29699999999999999</v>
      </c>
      <c r="AE15">
        <v>9.8000000000000004E-2</v>
      </c>
      <c r="AF15">
        <v>0.19900000000000001</v>
      </c>
      <c r="AG15">
        <v>0.18099999999999999</v>
      </c>
      <c r="AH15">
        <v>1.07</v>
      </c>
      <c r="AI15">
        <v>0.23300000000000001</v>
      </c>
      <c r="AJ15">
        <v>0.78900000000000003</v>
      </c>
      <c r="AK15">
        <v>63</v>
      </c>
      <c r="AL15">
        <v>81</v>
      </c>
      <c r="AM15">
        <v>91</v>
      </c>
      <c r="AN15">
        <v>2.94</v>
      </c>
      <c r="AO15">
        <v>3.73</v>
      </c>
      <c r="AP15">
        <v>-0.79</v>
      </c>
      <c r="AQ15">
        <v>4.1500000000000004</v>
      </c>
      <c r="AR15">
        <v>3.68</v>
      </c>
      <c r="AS15" cm="1">
        <f t="array" ref="AS15:BA15">VLOOKUP(A15,plate_discipline_pitchers_2019!A:L,{3,4,5,6,7,8,9,10,11},FALSE)</f>
        <v>0.28499999999999998</v>
      </c>
      <c r="AT15">
        <v>0.70399999999999996</v>
      </c>
      <c r="AU15">
        <v>0.46200000000000002</v>
      </c>
      <c r="AV15">
        <v>0.54200000000000004</v>
      </c>
      <c r="AW15">
        <v>0.81</v>
      </c>
      <c r="AX15">
        <v>0.71399999999999997</v>
      </c>
      <c r="AY15">
        <v>0.42299999999999999</v>
      </c>
      <c r="AZ15">
        <v>0.58599999999999997</v>
      </c>
      <c r="BA15">
        <v>0.13200000000000001</v>
      </c>
      <c r="BB15" cm="1">
        <f t="array" ref="BB15:BP15">VLOOKUP(A15,pitchvalue_pitchers_2019!A:Q,{3,4,5,6,7,8,9,10,11,12,13,14,15,16,17},FALSE)</f>
        <v>17.399999999999999</v>
      </c>
      <c r="BC15">
        <v>-0.1</v>
      </c>
      <c r="BD15">
        <v>0</v>
      </c>
      <c r="BE15">
        <v>-6.3</v>
      </c>
      <c r="BF15">
        <v>2.2000000000000002</v>
      </c>
      <c r="BG15">
        <v>0</v>
      </c>
      <c r="BH15">
        <v>0</v>
      </c>
      <c r="BI15">
        <v>2.38</v>
      </c>
      <c r="BJ15">
        <v>-7.0000000000000007E-2</v>
      </c>
      <c r="BK15">
        <v>0</v>
      </c>
      <c r="BL15">
        <v>-4.75</v>
      </c>
      <c r="BM15">
        <v>1.86</v>
      </c>
      <c r="BN15">
        <v>0</v>
      </c>
      <c r="BO15">
        <v>0</v>
      </c>
      <c r="BP15">
        <v>6398</v>
      </c>
      <c r="BQ15" cm="1">
        <f t="array" ref="BQ15:CH15">VLOOKUP(A15,battedball_pitchers_2019!A:U,{3,4,5,6,7,8,9,10,11,12,13,14,15,16,17,18,19,20},FALSE)</f>
        <v>0.23300000000000001</v>
      </c>
      <c r="BR15">
        <v>0.8</v>
      </c>
      <c r="BS15">
        <v>0.24199999999999999</v>
      </c>
      <c r="BT15">
        <v>0.33800000000000002</v>
      </c>
      <c r="BU15">
        <v>0.42</v>
      </c>
      <c r="BV15">
        <v>0.121</v>
      </c>
      <c r="BW15">
        <v>0.121</v>
      </c>
      <c r="BX15">
        <v>38</v>
      </c>
      <c r="BY15">
        <v>5.32</v>
      </c>
      <c r="BZ15">
        <v>440</v>
      </c>
      <c r="CA15">
        <v>726</v>
      </c>
      <c r="CB15">
        <v>1166</v>
      </c>
      <c r="CC15">
        <v>0.40500000000000003</v>
      </c>
      <c r="CD15">
        <v>0.32300000000000001</v>
      </c>
      <c r="CE15">
        <v>0.27200000000000002</v>
      </c>
      <c r="CF15">
        <v>0.184</v>
      </c>
      <c r="CG15">
        <v>0.46800000000000003</v>
      </c>
      <c r="CH15">
        <v>0.34799999999999998</v>
      </c>
      <c r="CI15" cm="1">
        <f t="array" ref="CI15:CS15">VLOOKUP(A15,verticalmove_pitchers_2019!A:N,{3,4,5,6,7,8,9,10,11,12,13},FALSE)</f>
        <v>64.099999999999994</v>
      </c>
      <c r="CJ15">
        <v>8.6999999999999993</v>
      </c>
      <c r="CK15">
        <v>0</v>
      </c>
      <c r="CL15">
        <v>0</v>
      </c>
      <c r="CM15">
        <v>0</v>
      </c>
      <c r="CN15">
        <v>7.2</v>
      </c>
      <c r="CO15">
        <v>-3</v>
      </c>
      <c r="CP15">
        <v>-6.9</v>
      </c>
      <c r="CQ15">
        <v>0</v>
      </c>
      <c r="CR15">
        <v>0</v>
      </c>
      <c r="CS15">
        <v>0</v>
      </c>
      <c r="CT15" cm="1">
        <f t="array" ref="CT15:DD15">VLOOKUP(A15,velocity_pitchers_2019!A:N,{3,4,5,6,7,8,9,10,11,12,13},FALSE)</f>
        <v>64.099999999999994</v>
      </c>
      <c r="CU15">
        <v>95.9</v>
      </c>
      <c r="CV15">
        <v>0</v>
      </c>
      <c r="CW15">
        <v>0</v>
      </c>
      <c r="CX15">
        <v>0</v>
      </c>
      <c r="CY15">
        <v>87.9</v>
      </c>
      <c r="CZ15">
        <v>84.2</v>
      </c>
      <c r="DA15">
        <v>80.3</v>
      </c>
      <c r="DB15">
        <v>0</v>
      </c>
      <c r="DC15">
        <v>0</v>
      </c>
      <c r="DD15">
        <v>0</v>
      </c>
    </row>
    <row r="16" spans="1:108" x14ac:dyDescent="0.3">
      <c r="A16" t="s">
        <v>57</v>
      </c>
      <c r="B16" t="str" cm="1">
        <f t="array" ref="B16:Y16">VLOOKUP(A16,standard_pitchers_2019!A:Y,{2,3,4,5,6,7,8,9,10,11,12,13,14,15,16,17,18,19,20,21,22,23,24,25},FALSE)</f>
        <v>Mets</v>
      </c>
      <c r="C16">
        <v>11</v>
      </c>
      <c r="D16">
        <v>8</v>
      </c>
      <c r="E16">
        <v>2.4300000000000002</v>
      </c>
      <c r="F16">
        <v>32</v>
      </c>
      <c r="G16">
        <v>32</v>
      </c>
      <c r="H16">
        <v>0</v>
      </c>
      <c r="I16">
        <v>0</v>
      </c>
      <c r="J16">
        <v>0</v>
      </c>
      <c r="K16">
        <v>0</v>
      </c>
      <c r="L16">
        <v>0</v>
      </c>
      <c r="M16">
        <v>204</v>
      </c>
      <c r="N16">
        <v>804</v>
      </c>
      <c r="O16">
        <v>154</v>
      </c>
      <c r="P16">
        <v>59</v>
      </c>
      <c r="Q16">
        <v>55</v>
      </c>
      <c r="R16">
        <v>19</v>
      </c>
      <c r="S16">
        <v>44</v>
      </c>
      <c r="T16">
        <v>1</v>
      </c>
      <c r="U16">
        <v>7</v>
      </c>
      <c r="V16">
        <v>2</v>
      </c>
      <c r="W16">
        <v>0</v>
      </c>
      <c r="X16">
        <v>255</v>
      </c>
      <c r="Y16">
        <v>10954</v>
      </c>
      <c r="Z16" cm="1">
        <f t="array" ref="Z16:AR16">VLOOKUP(A16,advanced_pitchers_2019!A:Y,{3,4,5,6,7,8,9,10,11,12,13,14,15,16,17,18,19,20,21},FALSE)</f>
        <v>11.25</v>
      </c>
      <c r="AA16">
        <v>1.94</v>
      </c>
      <c r="AB16">
        <v>5.8</v>
      </c>
      <c r="AC16">
        <v>0.84</v>
      </c>
      <c r="AD16">
        <v>0.317</v>
      </c>
      <c r="AE16">
        <v>5.5E-2</v>
      </c>
      <c r="AF16">
        <v>0.26200000000000001</v>
      </c>
      <c r="AG16">
        <v>0.20499999999999999</v>
      </c>
      <c r="AH16">
        <v>0.97</v>
      </c>
      <c r="AI16">
        <v>0.28199999999999997</v>
      </c>
      <c r="AJ16">
        <v>0.81799999999999995</v>
      </c>
      <c r="AK16">
        <v>59</v>
      </c>
      <c r="AL16">
        <v>61</v>
      </c>
      <c r="AM16">
        <v>70</v>
      </c>
      <c r="AN16">
        <v>2.4300000000000002</v>
      </c>
      <c r="AO16">
        <v>2.67</v>
      </c>
      <c r="AP16">
        <v>-0.25</v>
      </c>
      <c r="AQ16">
        <v>3.11</v>
      </c>
      <c r="AR16">
        <v>3.29</v>
      </c>
      <c r="AS16" cm="1">
        <f t="array" ref="AS16:BA16">VLOOKUP(A16,plate_discipline_pitchers_2019!A:L,{3,4,5,6,7,8,9,10,11},FALSE)</f>
        <v>0.379</v>
      </c>
      <c r="AT16">
        <v>0.746</v>
      </c>
      <c r="AU16">
        <v>0.52900000000000003</v>
      </c>
      <c r="AV16">
        <v>0.58499999999999996</v>
      </c>
      <c r="AW16">
        <v>0.8</v>
      </c>
      <c r="AX16">
        <v>0.70899999999999996</v>
      </c>
      <c r="AY16">
        <v>0.40799999999999997</v>
      </c>
      <c r="AZ16">
        <v>0.64100000000000001</v>
      </c>
      <c r="BA16">
        <v>0.154</v>
      </c>
      <c r="BB16" cm="1">
        <f t="array" ref="BB16:BP16">VLOOKUP(A16,pitchvalue_pitchers_2019!A:Q,{3,4,5,6,7,8,9,10,11,12,13,14,15,16,17},FALSE)</f>
        <v>16.8</v>
      </c>
      <c r="BC16">
        <v>20.5</v>
      </c>
      <c r="BD16">
        <v>0</v>
      </c>
      <c r="BE16">
        <v>0.6</v>
      </c>
      <c r="BF16">
        <v>11.3</v>
      </c>
      <c r="BG16">
        <v>0</v>
      </c>
      <c r="BH16">
        <v>0</v>
      </c>
      <c r="BI16">
        <v>1.03</v>
      </c>
      <c r="BJ16">
        <v>1.97</v>
      </c>
      <c r="BK16">
        <v>0</v>
      </c>
      <c r="BL16">
        <v>0.57999999999999996</v>
      </c>
      <c r="BM16">
        <v>2.15</v>
      </c>
      <c r="BN16">
        <v>0</v>
      </c>
      <c r="BO16">
        <v>0</v>
      </c>
      <c r="BP16">
        <v>10954</v>
      </c>
      <c r="BQ16" cm="1">
        <f t="array" ref="BQ16:CH16">VLOOKUP(A16,battedball_pitchers_2019!A:U,{3,4,5,6,7,8,9,10,11,12,13,14,15,16,17,18,19,20},FALSE)</f>
        <v>0.28199999999999997</v>
      </c>
      <c r="BR16">
        <v>1.28</v>
      </c>
      <c r="BS16">
        <v>0.21099999999999999</v>
      </c>
      <c r="BT16">
        <v>0.44400000000000001</v>
      </c>
      <c r="BU16">
        <v>0.34599999999999997</v>
      </c>
      <c r="BV16">
        <v>0.14199999999999999</v>
      </c>
      <c r="BW16">
        <v>0.112</v>
      </c>
      <c r="BX16">
        <v>92</v>
      </c>
      <c r="BY16">
        <v>4.0599999999999996</v>
      </c>
      <c r="BZ16">
        <v>1075</v>
      </c>
      <c r="CA16">
        <v>2222</v>
      </c>
      <c r="CB16">
        <v>3297</v>
      </c>
      <c r="CC16">
        <v>0.38600000000000001</v>
      </c>
      <c r="CD16">
        <v>0.33100000000000002</v>
      </c>
      <c r="CE16">
        <v>0.28299999999999997</v>
      </c>
      <c r="CF16">
        <v>0.219</v>
      </c>
      <c r="CG16">
        <v>0.48399999999999999</v>
      </c>
      <c r="CH16">
        <v>0.29699999999999999</v>
      </c>
      <c r="CI16" cm="1">
        <f t="array" ref="CI16:CS16">VLOOKUP(A16,verticalmove_pitchers_2019!A:N,{3,4,5,6,7,8,9,10,11,12,13},FALSE)</f>
        <v>204</v>
      </c>
      <c r="CJ16">
        <v>9.1</v>
      </c>
      <c r="CK16">
        <v>0</v>
      </c>
      <c r="CL16">
        <v>0</v>
      </c>
      <c r="CM16">
        <v>6.9</v>
      </c>
      <c r="CN16">
        <v>1.9</v>
      </c>
      <c r="CO16">
        <v>3.5</v>
      </c>
      <c r="CP16">
        <v>-2.1</v>
      </c>
      <c r="CQ16">
        <v>0</v>
      </c>
      <c r="CR16">
        <v>0</v>
      </c>
      <c r="CS16">
        <v>0</v>
      </c>
      <c r="CT16" cm="1">
        <f t="array" ref="CT16:DD16">VLOOKUP(A16,velocity_pitchers_2019!A:N,{3,4,5,6,7,8,9,10,11,12,13},FALSE)</f>
        <v>204</v>
      </c>
      <c r="CU16">
        <v>97.2</v>
      </c>
      <c r="CV16">
        <v>0</v>
      </c>
      <c r="CW16">
        <v>0</v>
      </c>
      <c r="CX16">
        <v>97.1</v>
      </c>
      <c r="CY16">
        <v>90.6</v>
      </c>
      <c r="CZ16">
        <v>92.7</v>
      </c>
      <c r="DA16">
        <v>84.7</v>
      </c>
      <c r="DB16">
        <v>0</v>
      </c>
      <c r="DC16">
        <v>0</v>
      </c>
      <c r="DD16">
        <v>0</v>
      </c>
    </row>
    <row r="17" spans="1:108" x14ac:dyDescent="0.3">
      <c r="A17" t="s">
        <v>92</v>
      </c>
      <c r="B17" t="str" cm="1">
        <f t="array" ref="B17:Y17">VLOOKUP(A17,standard_pitchers_2019!A:Y,{2,3,4,5,6,7,8,9,10,11,12,13,14,15,16,17,18,19,20,21,22,23,24,25},FALSE)</f>
        <v>Nationals</v>
      </c>
      <c r="C17">
        <v>11</v>
      </c>
      <c r="D17">
        <v>7</v>
      </c>
      <c r="E17">
        <v>2.92</v>
      </c>
      <c r="F17">
        <v>27</v>
      </c>
      <c r="G17">
        <v>27</v>
      </c>
      <c r="H17">
        <v>0</v>
      </c>
      <c r="I17">
        <v>0</v>
      </c>
      <c r="J17">
        <v>0</v>
      </c>
      <c r="K17">
        <v>0</v>
      </c>
      <c r="L17">
        <v>0</v>
      </c>
      <c r="M17">
        <v>172.1</v>
      </c>
      <c r="N17">
        <v>693</v>
      </c>
      <c r="O17">
        <v>144</v>
      </c>
      <c r="P17">
        <v>59</v>
      </c>
      <c r="Q17">
        <v>56</v>
      </c>
      <c r="R17">
        <v>18</v>
      </c>
      <c r="S17">
        <v>33</v>
      </c>
      <c r="T17">
        <v>2</v>
      </c>
      <c r="U17">
        <v>7</v>
      </c>
      <c r="V17">
        <v>0</v>
      </c>
      <c r="W17">
        <v>0</v>
      </c>
      <c r="X17">
        <v>243</v>
      </c>
      <c r="Y17">
        <v>3137</v>
      </c>
      <c r="Z17" cm="1">
        <f t="array" ref="Z17:AR17">VLOOKUP(A17,advanced_pitchers_2019!A:Y,{3,4,5,6,7,8,9,10,11,12,13,14,15,16,17,18,19,20,21},FALSE)</f>
        <v>12.69</v>
      </c>
      <c r="AA17">
        <v>1.72</v>
      </c>
      <c r="AB17">
        <v>7.36</v>
      </c>
      <c r="AC17">
        <v>0.94</v>
      </c>
      <c r="AD17">
        <v>0.35099999999999998</v>
      </c>
      <c r="AE17">
        <v>4.8000000000000001E-2</v>
      </c>
      <c r="AF17">
        <v>0.30299999999999999</v>
      </c>
      <c r="AG17">
        <v>0.221</v>
      </c>
      <c r="AH17">
        <v>1.03</v>
      </c>
      <c r="AI17">
        <v>0.32100000000000001</v>
      </c>
      <c r="AJ17">
        <v>0.78700000000000003</v>
      </c>
      <c r="AK17">
        <v>65</v>
      </c>
      <c r="AL17">
        <v>54</v>
      </c>
      <c r="AM17">
        <v>65</v>
      </c>
      <c r="AN17">
        <v>2.92</v>
      </c>
      <c r="AO17">
        <v>2.4500000000000002</v>
      </c>
      <c r="AP17">
        <v>0.48</v>
      </c>
      <c r="AQ17">
        <v>2.88</v>
      </c>
      <c r="AR17">
        <v>2.93</v>
      </c>
      <c r="AS17" cm="1">
        <f t="array" ref="AS17:BA17">VLOOKUP(A17,plate_discipline_pitchers_2019!A:L,{3,4,5,6,7,8,9,10,11},FALSE)</f>
        <v>0.35399999999999998</v>
      </c>
      <c r="AT17">
        <v>0.72299999999999998</v>
      </c>
      <c r="AU17">
        <v>0.52200000000000002</v>
      </c>
      <c r="AV17">
        <v>0.52400000000000002</v>
      </c>
      <c r="AW17">
        <v>0.78200000000000003</v>
      </c>
      <c r="AX17">
        <v>0.68700000000000006</v>
      </c>
      <c r="AY17">
        <v>0.45600000000000002</v>
      </c>
      <c r="AZ17">
        <v>0.70299999999999996</v>
      </c>
      <c r="BA17">
        <v>0.16400000000000001</v>
      </c>
      <c r="BB17" cm="1">
        <f t="array" ref="BB17:BP17">VLOOKUP(A17,pitchvalue_pitchers_2019!A:Q,{3,4,5,6,7,8,9,10,11,12,13,14,15,16,17},FALSE)</f>
        <v>16.3</v>
      </c>
      <c r="BC17">
        <v>22.9</v>
      </c>
      <c r="BD17">
        <v>-5.8</v>
      </c>
      <c r="BE17">
        <v>0.6</v>
      </c>
      <c r="BF17">
        <v>-3.7</v>
      </c>
      <c r="BG17">
        <v>0</v>
      </c>
      <c r="BH17">
        <v>0</v>
      </c>
      <c r="BI17">
        <v>1.22</v>
      </c>
      <c r="BJ17">
        <v>4.03</v>
      </c>
      <c r="BK17">
        <v>-2.61</v>
      </c>
      <c r="BL17">
        <v>0.27</v>
      </c>
      <c r="BM17">
        <v>-0.93</v>
      </c>
      <c r="BN17">
        <v>0</v>
      </c>
      <c r="BO17">
        <v>0</v>
      </c>
      <c r="BP17">
        <v>3137</v>
      </c>
      <c r="BQ17" cm="1">
        <f t="array" ref="BQ17:CH17">VLOOKUP(A17,battedball_pitchers_2019!A:U,{3,4,5,6,7,8,9,10,11,12,13,14,15,16,17,18,19,20},FALSE)</f>
        <v>0.32100000000000001</v>
      </c>
      <c r="BR17">
        <v>1.07</v>
      </c>
      <c r="BS17">
        <v>0.21099999999999999</v>
      </c>
      <c r="BT17">
        <v>0.40799999999999997</v>
      </c>
      <c r="BU17">
        <v>0.38100000000000001</v>
      </c>
      <c r="BV17">
        <v>7.6999999999999999E-2</v>
      </c>
      <c r="BW17">
        <v>0.11600000000000001</v>
      </c>
      <c r="BX17">
        <v>91</v>
      </c>
      <c r="BY17">
        <v>4.75</v>
      </c>
      <c r="BZ17">
        <v>858</v>
      </c>
      <c r="CA17">
        <v>1912</v>
      </c>
      <c r="CB17">
        <v>2770</v>
      </c>
      <c r="CC17">
        <v>0.41299999999999998</v>
      </c>
      <c r="CD17">
        <v>0.313</v>
      </c>
      <c r="CE17">
        <v>0.27400000000000002</v>
      </c>
      <c r="CF17">
        <v>0.188</v>
      </c>
      <c r="CG17">
        <v>0.45500000000000002</v>
      </c>
      <c r="CH17">
        <v>0.35699999999999998</v>
      </c>
      <c r="CI17" cm="1">
        <f t="array" ref="CI17:CS17">VLOOKUP(A17,verticalmove_pitchers_2019!A:N,{3,4,5,6,7,8,9,10,11,12,13},FALSE)</f>
        <v>172.1</v>
      </c>
      <c r="CJ17">
        <v>7.6</v>
      </c>
      <c r="CK17">
        <v>3.9</v>
      </c>
      <c r="CL17">
        <v>0</v>
      </c>
      <c r="CM17">
        <v>0</v>
      </c>
      <c r="CN17">
        <v>0.8</v>
      </c>
      <c r="CO17">
        <v>0.3</v>
      </c>
      <c r="CP17">
        <v>-4.0999999999999996</v>
      </c>
      <c r="CQ17">
        <v>0</v>
      </c>
      <c r="CR17">
        <v>0</v>
      </c>
      <c r="CS17">
        <v>0</v>
      </c>
      <c r="CT17" cm="1">
        <f t="array" ref="CT17:DD17">VLOOKUP(A17,velocity_pitchers_2019!A:N,{3,4,5,6,7,8,9,10,11,12,13},FALSE)</f>
        <v>172.1</v>
      </c>
      <c r="CU17">
        <v>95.2</v>
      </c>
      <c r="CV17">
        <v>90</v>
      </c>
      <c r="CW17">
        <v>0</v>
      </c>
      <c r="CX17">
        <v>0</v>
      </c>
      <c r="CY17">
        <v>84.6</v>
      </c>
      <c r="CZ17">
        <v>85.8</v>
      </c>
      <c r="DA17">
        <v>78.8</v>
      </c>
      <c r="DB17">
        <v>0</v>
      </c>
      <c r="DC17">
        <v>0</v>
      </c>
      <c r="DD17">
        <v>0</v>
      </c>
    </row>
    <row r="18" spans="1:108" x14ac:dyDescent="0.3">
      <c r="A18" t="s">
        <v>126</v>
      </c>
      <c r="B18" t="str" cm="1">
        <f t="array" ref="B18:Y18">VLOOKUP(A18,standard_pitchers_2019!A:Y,{2,3,4,5,6,7,8,9,10,11,12,13,14,15,16,17,18,19,20,21,22,23,24,25},FALSE)</f>
        <v>Royals</v>
      </c>
      <c r="C18">
        <v>3</v>
      </c>
      <c r="D18">
        <v>2</v>
      </c>
      <c r="E18">
        <v>3.41</v>
      </c>
      <c r="F18">
        <v>63</v>
      </c>
      <c r="G18">
        <v>0</v>
      </c>
      <c r="H18">
        <v>0</v>
      </c>
      <c r="I18">
        <v>0</v>
      </c>
      <c r="J18">
        <v>30</v>
      </c>
      <c r="K18">
        <v>1</v>
      </c>
      <c r="L18">
        <v>4</v>
      </c>
      <c r="M18">
        <v>63.1</v>
      </c>
      <c r="N18">
        <v>266</v>
      </c>
      <c r="O18">
        <v>64</v>
      </c>
      <c r="P18">
        <v>24</v>
      </c>
      <c r="Q18">
        <v>24</v>
      </c>
      <c r="R18">
        <v>6</v>
      </c>
      <c r="S18">
        <v>17</v>
      </c>
      <c r="T18">
        <v>1</v>
      </c>
      <c r="U18">
        <v>1</v>
      </c>
      <c r="V18">
        <v>3</v>
      </c>
      <c r="W18">
        <v>0</v>
      </c>
      <c r="X18">
        <v>73</v>
      </c>
      <c r="Y18">
        <v>6986</v>
      </c>
      <c r="Z18" cm="1">
        <f t="array" ref="Z18:AR18">VLOOKUP(A18,advanced_pitchers_2019!A:Y,{3,4,5,6,7,8,9,10,11,12,13,14,15,16,17,18,19,20,21},FALSE)</f>
        <v>10.37</v>
      </c>
      <c r="AA18">
        <v>2.42</v>
      </c>
      <c r="AB18">
        <v>4.29</v>
      </c>
      <c r="AC18">
        <v>0.85</v>
      </c>
      <c r="AD18">
        <v>0.27400000000000002</v>
      </c>
      <c r="AE18">
        <v>6.4000000000000001E-2</v>
      </c>
      <c r="AF18">
        <v>0.21099999999999999</v>
      </c>
      <c r="AG18">
        <v>0.25800000000000001</v>
      </c>
      <c r="AH18">
        <v>1.28</v>
      </c>
      <c r="AI18">
        <v>0.34300000000000003</v>
      </c>
      <c r="AJ18">
        <v>0.78800000000000003</v>
      </c>
      <c r="AK18">
        <v>72</v>
      </c>
      <c r="AL18">
        <v>67</v>
      </c>
      <c r="AM18">
        <v>83</v>
      </c>
      <c r="AN18">
        <v>3.41</v>
      </c>
      <c r="AO18">
        <v>2.99</v>
      </c>
      <c r="AP18">
        <v>0.42</v>
      </c>
      <c r="AQ18">
        <v>3.77</v>
      </c>
      <c r="AR18">
        <v>3.46</v>
      </c>
      <c r="AS18" cm="1">
        <f t="array" ref="AS18:BA18">VLOOKUP(A18,plate_discipline_pitchers_2019!A:L,{3,4,5,6,7,8,9,10,11},FALSE)</f>
        <v>0.29599999999999999</v>
      </c>
      <c r="AT18">
        <v>0.70899999999999996</v>
      </c>
      <c r="AU18">
        <v>0.48099999999999998</v>
      </c>
      <c r="AV18">
        <v>0.63700000000000001</v>
      </c>
      <c r="AW18">
        <v>0.874</v>
      </c>
      <c r="AX18">
        <v>0.79300000000000004</v>
      </c>
      <c r="AY18">
        <v>0.44800000000000001</v>
      </c>
      <c r="AZ18">
        <v>0.60899999999999999</v>
      </c>
      <c r="BA18">
        <v>9.9000000000000005E-2</v>
      </c>
      <c r="BB18" cm="1">
        <f t="array" ref="BB18:BP18">VLOOKUP(A18,pitchvalue_pitchers_2019!A:Q,{3,4,5,6,7,8,9,10,11,12,13,14,15,16,17},FALSE)</f>
        <v>16.2</v>
      </c>
      <c r="BC18">
        <v>0</v>
      </c>
      <c r="BD18">
        <v>-3.1</v>
      </c>
      <c r="BE18">
        <v>-3.5</v>
      </c>
      <c r="BF18">
        <v>-0.2</v>
      </c>
      <c r="BG18">
        <v>0</v>
      </c>
      <c r="BH18">
        <v>0</v>
      </c>
      <c r="BI18">
        <v>2.1800000000000002</v>
      </c>
      <c r="BJ18">
        <v>0</v>
      </c>
      <c r="BK18">
        <v>-1.85</v>
      </c>
      <c r="BL18">
        <v>-2.09</v>
      </c>
      <c r="BM18">
        <v>-1.31</v>
      </c>
      <c r="BN18">
        <v>0</v>
      </c>
      <c r="BO18">
        <v>0</v>
      </c>
      <c r="BP18">
        <v>6986</v>
      </c>
      <c r="BQ18" cm="1">
        <f t="array" ref="BQ18:CH18">VLOOKUP(A18,battedball_pitchers_2019!A:U,{3,4,5,6,7,8,9,10,11,12,13,14,15,16,17,18,19,20},FALSE)</f>
        <v>0.34300000000000003</v>
      </c>
      <c r="BR18">
        <v>1.19</v>
      </c>
      <c r="BS18">
        <v>0.18099999999999999</v>
      </c>
      <c r="BT18">
        <v>0.44400000000000001</v>
      </c>
      <c r="BU18">
        <v>0.374</v>
      </c>
      <c r="BV18">
        <v>0.125</v>
      </c>
      <c r="BW18">
        <v>9.4E-2</v>
      </c>
      <c r="BX18">
        <v>11</v>
      </c>
      <c r="BY18">
        <v>1.56</v>
      </c>
      <c r="BZ18">
        <v>377</v>
      </c>
      <c r="CA18">
        <v>719</v>
      </c>
      <c r="CB18">
        <v>1096</v>
      </c>
      <c r="CC18">
        <v>0.36</v>
      </c>
      <c r="CD18">
        <v>0.309</v>
      </c>
      <c r="CE18">
        <v>0.33100000000000002</v>
      </c>
      <c r="CF18">
        <v>0.16</v>
      </c>
      <c r="CG18">
        <v>0.50900000000000001</v>
      </c>
      <c r="CH18">
        <v>0.33100000000000002</v>
      </c>
      <c r="CI18" cm="1">
        <f t="array" ref="CI18:CS18">VLOOKUP(A18,verticalmove_pitchers_2019!A:N,{3,4,5,6,7,8,9,10,11,12,13},FALSE)</f>
        <v>63.1</v>
      </c>
      <c r="CJ18">
        <v>8.8000000000000007</v>
      </c>
      <c r="CK18">
        <v>4.8</v>
      </c>
      <c r="CL18">
        <v>0</v>
      </c>
      <c r="CM18">
        <v>0</v>
      </c>
      <c r="CN18">
        <v>5.4</v>
      </c>
      <c r="CO18">
        <v>0</v>
      </c>
      <c r="CP18">
        <v>-8.6</v>
      </c>
      <c r="CQ18">
        <v>0</v>
      </c>
      <c r="CR18">
        <v>0</v>
      </c>
      <c r="CS18">
        <v>0</v>
      </c>
      <c r="CT18" cm="1">
        <f t="array" ref="CT18:DD18">VLOOKUP(A18,velocity_pitchers_2019!A:N,{3,4,5,6,7,8,9,10,11,12,13},FALSE)</f>
        <v>63.1</v>
      </c>
      <c r="CU18">
        <v>94.8</v>
      </c>
      <c r="CV18">
        <v>91.6</v>
      </c>
      <c r="CW18">
        <v>0</v>
      </c>
      <c r="CX18">
        <v>0</v>
      </c>
      <c r="CY18">
        <v>88.2</v>
      </c>
      <c r="CZ18">
        <v>0</v>
      </c>
      <c r="DA18">
        <v>80.900000000000006</v>
      </c>
      <c r="DB18">
        <v>0</v>
      </c>
      <c r="DC18">
        <v>0</v>
      </c>
      <c r="DD18">
        <v>0</v>
      </c>
    </row>
    <row r="19" spans="1:108" x14ac:dyDescent="0.3">
      <c r="A19" t="s">
        <v>63</v>
      </c>
      <c r="B19" t="str" cm="1">
        <f t="array" ref="B19:Y19">VLOOKUP(A19,standard_pitchers_2019!A:Y,{2,3,4,5,6,7,8,9,10,11,12,13,14,15,16,17,18,19,20,21,22,23,24,25},FALSE)</f>
        <v>Dodgers</v>
      </c>
      <c r="C19">
        <v>4</v>
      </c>
      <c r="D19">
        <v>3</v>
      </c>
      <c r="E19">
        <v>2.4900000000000002</v>
      </c>
      <c r="F19">
        <v>37</v>
      </c>
      <c r="G19">
        <v>8</v>
      </c>
      <c r="H19">
        <v>0</v>
      </c>
      <c r="I19">
        <v>0</v>
      </c>
      <c r="J19">
        <v>4</v>
      </c>
      <c r="K19">
        <v>5</v>
      </c>
      <c r="L19">
        <v>1</v>
      </c>
      <c r="M19">
        <v>79.2</v>
      </c>
      <c r="N19">
        <v>326</v>
      </c>
      <c r="O19">
        <v>59</v>
      </c>
      <c r="P19">
        <v>28</v>
      </c>
      <c r="Q19">
        <v>22</v>
      </c>
      <c r="R19">
        <v>7</v>
      </c>
      <c r="S19">
        <v>27</v>
      </c>
      <c r="T19">
        <v>1</v>
      </c>
      <c r="U19">
        <v>5</v>
      </c>
      <c r="V19">
        <v>2</v>
      </c>
      <c r="W19">
        <v>1</v>
      </c>
      <c r="X19">
        <v>85</v>
      </c>
      <c r="Y19">
        <v>14765</v>
      </c>
      <c r="Z19" cm="1">
        <f t="array" ref="Z19:AR19">VLOOKUP(A19,advanced_pitchers_2019!A:Y,{3,4,5,6,7,8,9,10,11,12,13,14,15,16,17,18,19,20,21},FALSE)</f>
        <v>9.6</v>
      </c>
      <c r="AA19">
        <v>3.05</v>
      </c>
      <c r="AB19">
        <v>3.15</v>
      </c>
      <c r="AC19">
        <v>0.79</v>
      </c>
      <c r="AD19">
        <v>0.26100000000000001</v>
      </c>
      <c r="AE19">
        <v>8.3000000000000004E-2</v>
      </c>
      <c r="AF19">
        <v>0.17799999999999999</v>
      </c>
      <c r="AG19">
        <v>0.20100000000000001</v>
      </c>
      <c r="AH19">
        <v>1.08</v>
      </c>
      <c r="AI19">
        <v>0.25700000000000001</v>
      </c>
      <c r="AJ19">
        <v>0.77600000000000002</v>
      </c>
      <c r="AK19">
        <v>59</v>
      </c>
      <c r="AL19">
        <v>78</v>
      </c>
      <c r="AM19">
        <v>97</v>
      </c>
      <c r="AN19">
        <v>2.4900000000000002</v>
      </c>
      <c r="AO19">
        <v>3.43</v>
      </c>
      <c r="AP19">
        <v>-0.94</v>
      </c>
      <c r="AQ19">
        <v>4.28</v>
      </c>
      <c r="AR19">
        <v>4</v>
      </c>
      <c r="AS19" cm="1">
        <f t="array" ref="AS19:BA19">VLOOKUP(A19,plate_discipline_pitchers_2019!A:L,{3,4,5,6,7,8,9,10,11},FALSE)</f>
        <v>0.36399999999999999</v>
      </c>
      <c r="AT19">
        <v>0.73799999999999999</v>
      </c>
      <c r="AU19">
        <v>0.51100000000000001</v>
      </c>
      <c r="AV19">
        <v>0.61799999999999999</v>
      </c>
      <c r="AW19">
        <v>0.81599999999999995</v>
      </c>
      <c r="AX19">
        <v>0.73099999999999998</v>
      </c>
      <c r="AY19">
        <v>0.39400000000000002</v>
      </c>
      <c r="AZ19">
        <v>0.59799999999999998</v>
      </c>
      <c r="BA19">
        <v>0.13800000000000001</v>
      </c>
      <c r="BB19" cm="1">
        <f t="array" ref="BB19:BP19">VLOOKUP(A19,pitchvalue_pitchers_2019!A:Q,{3,4,5,6,7,8,9,10,11,12,13,14,15,16,17},FALSE)</f>
        <v>15.7</v>
      </c>
      <c r="BC19">
        <v>1.4</v>
      </c>
      <c r="BD19">
        <v>0</v>
      </c>
      <c r="BE19">
        <v>-2.7</v>
      </c>
      <c r="BF19">
        <v>0.5</v>
      </c>
      <c r="BG19">
        <v>0</v>
      </c>
      <c r="BH19">
        <v>0</v>
      </c>
      <c r="BI19">
        <v>1.94</v>
      </c>
      <c r="BJ19">
        <v>0.62</v>
      </c>
      <c r="BK19">
        <v>0</v>
      </c>
      <c r="BL19">
        <v>-3.3</v>
      </c>
      <c r="BM19">
        <v>0.24</v>
      </c>
      <c r="BN19">
        <v>0</v>
      </c>
      <c r="BO19">
        <v>0</v>
      </c>
      <c r="BP19">
        <v>14765</v>
      </c>
      <c r="BQ19" cm="1">
        <f t="array" ref="BQ19:CH19">VLOOKUP(A19,battedball_pitchers_2019!A:U,{3,4,5,6,7,8,9,10,11,12,13,14,15,16,17,18,19,20},FALSE)</f>
        <v>0.25700000000000001</v>
      </c>
      <c r="BR19">
        <v>0.99</v>
      </c>
      <c r="BS19">
        <v>0.221</v>
      </c>
      <c r="BT19">
        <v>0.38700000000000001</v>
      </c>
      <c r="BU19">
        <v>0.39200000000000002</v>
      </c>
      <c r="BV19">
        <v>0.15</v>
      </c>
      <c r="BW19">
        <v>8.7999999999999995E-2</v>
      </c>
      <c r="BX19">
        <v>48</v>
      </c>
      <c r="BY19">
        <v>5.42</v>
      </c>
      <c r="BZ19">
        <v>479</v>
      </c>
      <c r="CA19">
        <v>865</v>
      </c>
      <c r="CB19">
        <v>1344</v>
      </c>
      <c r="CC19">
        <v>0.34899999999999998</v>
      </c>
      <c r="CD19">
        <v>0.36799999999999999</v>
      </c>
      <c r="CE19">
        <v>0.28199999999999997</v>
      </c>
      <c r="CF19">
        <v>0.23400000000000001</v>
      </c>
      <c r="CG19">
        <v>0.41099999999999998</v>
      </c>
      <c r="CH19">
        <v>0.35399999999999998</v>
      </c>
      <c r="CI19" cm="1">
        <f t="array" ref="CI19:CS19">VLOOKUP(A19,verticalmove_pitchers_2019!A:N,{3,4,5,6,7,8,9,10,11,12,13},FALSE)</f>
        <v>79.2</v>
      </c>
      <c r="CJ19">
        <v>9.4</v>
      </c>
      <c r="CK19">
        <v>0</v>
      </c>
      <c r="CL19">
        <v>0</v>
      </c>
      <c r="CM19">
        <v>6.8</v>
      </c>
      <c r="CN19">
        <v>5.7</v>
      </c>
      <c r="CO19">
        <v>0.4</v>
      </c>
      <c r="CP19">
        <v>-5.9</v>
      </c>
      <c r="CQ19">
        <v>0</v>
      </c>
      <c r="CR19">
        <v>0</v>
      </c>
      <c r="CS19">
        <v>0</v>
      </c>
      <c r="CT19" cm="1">
        <f t="array" ref="CT19:DD19">VLOOKUP(A19,velocity_pitchers_2019!A:N,{3,4,5,6,7,8,9,10,11,12,13},FALSE)</f>
        <v>79.2</v>
      </c>
      <c r="CU19">
        <v>95.2</v>
      </c>
      <c r="CV19">
        <v>0</v>
      </c>
      <c r="CW19">
        <v>0</v>
      </c>
      <c r="CX19">
        <v>95</v>
      </c>
      <c r="CY19">
        <v>82.4</v>
      </c>
      <c r="CZ19">
        <v>84.7</v>
      </c>
      <c r="DA19">
        <v>77.400000000000006</v>
      </c>
      <c r="DB19">
        <v>0</v>
      </c>
      <c r="DC19">
        <v>0</v>
      </c>
      <c r="DD19">
        <v>0</v>
      </c>
    </row>
    <row r="20" spans="1:108" x14ac:dyDescent="0.3">
      <c r="A20" t="s">
        <v>243</v>
      </c>
      <c r="B20" t="str" cm="1">
        <f t="array" ref="B20:Y20">VLOOKUP(A20,standard_pitchers_2019!A:Y,{2,3,4,5,6,7,8,9,10,11,12,13,14,15,16,17,18,19,20,21,22,23,24,25},FALSE)</f>
        <v>Giants</v>
      </c>
      <c r="C20">
        <v>7</v>
      </c>
      <c r="D20">
        <v>0</v>
      </c>
      <c r="E20">
        <v>4.4400000000000004</v>
      </c>
      <c r="F20">
        <v>50</v>
      </c>
      <c r="G20">
        <v>0</v>
      </c>
      <c r="H20">
        <v>0</v>
      </c>
      <c r="I20">
        <v>0</v>
      </c>
      <c r="J20">
        <v>1</v>
      </c>
      <c r="K20">
        <v>1</v>
      </c>
      <c r="L20">
        <v>1</v>
      </c>
      <c r="M20">
        <v>52.2</v>
      </c>
      <c r="N20">
        <v>214</v>
      </c>
      <c r="O20">
        <v>41</v>
      </c>
      <c r="P20">
        <v>26</v>
      </c>
      <c r="Q20">
        <v>26</v>
      </c>
      <c r="R20">
        <v>4</v>
      </c>
      <c r="S20">
        <v>17</v>
      </c>
      <c r="T20">
        <v>0</v>
      </c>
      <c r="U20">
        <v>2</v>
      </c>
      <c r="V20">
        <v>1</v>
      </c>
      <c r="W20">
        <v>0</v>
      </c>
      <c r="X20">
        <v>57</v>
      </c>
      <c r="Y20">
        <v>15046</v>
      </c>
      <c r="Z20" cm="1">
        <f t="array" ref="Z20:AR20">VLOOKUP(A20,advanced_pitchers_2019!A:Y,{3,4,5,6,7,8,9,10,11,12,13,14,15,16,17,18,19,20,21},FALSE)</f>
        <v>9.74</v>
      </c>
      <c r="AA20">
        <v>2.91</v>
      </c>
      <c r="AB20">
        <v>3.35</v>
      </c>
      <c r="AC20">
        <v>0.68</v>
      </c>
      <c r="AD20">
        <v>0.26600000000000001</v>
      </c>
      <c r="AE20">
        <v>7.9000000000000001E-2</v>
      </c>
      <c r="AF20">
        <v>0.187</v>
      </c>
      <c r="AG20">
        <v>0.21</v>
      </c>
      <c r="AH20">
        <v>1.1000000000000001</v>
      </c>
      <c r="AI20">
        <v>0.27600000000000002</v>
      </c>
      <c r="AJ20">
        <v>0.625</v>
      </c>
      <c r="AK20">
        <v>106</v>
      </c>
      <c r="AL20">
        <v>74</v>
      </c>
      <c r="AM20">
        <v>91</v>
      </c>
      <c r="AN20">
        <v>4.4400000000000004</v>
      </c>
      <c r="AO20">
        <v>3.12</v>
      </c>
      <c r="AP20">
        <v>1.32</v>
      </c>
      <c r="AQ20">
        <v>4.0599999999999996</v>
      </c>
      <c r="AR20">
        <v>3.73</v>
      </c>
      <c r="AS20" cm="1">
        <f t="array" ref="AS20:BA20">VLOOKUP(A20,plate_discipline_pitchers_2019!A:L,{3,4,5,6,7,8,9,10,11},FALSE)</f>
        <v>0.29399999999999998</v>
      </c>
      <c r="AT20">
        <v>0.73399999999999999</v>
      </c>
      <c r="AU20">
        <v>0.48199999999999998</v>
      </c>
      <c r="AV20">
        <v>0.65600000000000003</v>
      </c>
      <c r="AW20">
        <v>0.84</v>
      </c>
      <c r="AX20">
        <v>0.77600000000000002</v>
      </c>
      <c r="AY20">
        <v>0.42799999999999999</v>
      </c>
      <c r="AZ20">
        <v>0.60299999999999998</v>
      </c>
      <c r="BA20">
        <v>0.108</v>
      </c>
      <c r="BB20" cm="1">
        <f t="array" ref="BB20:BP20">VLOOKUP(A20,pitchvalue_pitchers_2019!A:Q,{3,4,5,6,7,8,9,10,11,12,13,14,15,16,17},FALSE)</f>
        <v>14.3</v>
      </c>
      <c r="BC20">
        <v>-1</v>
      </c>
      <c r="BD20">
        <v>0</v>
      </c>
      <c r="BE20">
        <v>-3</v>
      </c>
      <c r="BF20">
        <v>0.5</v>
      </c>
      <c r="BG20">
        <v>0</v>
      </c>
      <c r="BH20">
        <v>0</v>
      </c>
      <c r="BI20">
        <v>2.0299999999999998</v>
      </c>
      <c r="BJ20">
        <v>-6.9</v>
      </c>
      <c r="BK20">
        <v>0</v>
      </c>
      <c r="BL20">
        <v>-1.88</v>
      </c>
      <c r="BM20">
        <v>1.46</v>
      </c>
      <c r="BN20">
        <v>0</v>
      </c>
      <c r="BO20">
        <v>0</v>
      </c>
      <c r="BP20">
        <v>15046</v>
      </c>
      <c r="BQ20" cm="1">
        <f t="array" ref="BQ20:CH20">VLOOKUP(A20,battedball_pitchers_2019!A:U,{3,4,5,6,7,8,9,10,11,12,13,14,15,16,17,18,19,20},FALSE)</f>
        <v>0.27600000000000002</v>
      </c>
      <c r="BR20">
        <v>1.1599999999999999</v>
      </c>
      <c r="BS20">
        <v>0.19700000000000001</v>
      </c>
      <c r="BT20">
        <v>0.43099999999999999</v>
      </c>
      <c r="BU20">
        <v>0.372</v>
      </c>
      <c r="BV20">
        <v>0.17599999999999999</v>
      </c>
      <c r="BW20">
        <v>7.8E-2</v>
      </c>
      <c r="BX20">
        <v>27</v>
      </c>
      <c r="BY20">
        <v>4.6100000000000003</v>
      </c>
      <c r="BZ20">
        <v>315</v>
      </c>
      <c r="CA20">
        <v>599</v>
      </c>
      <c r="CB20">
        <v>914</v>
      </c>
      <c r="CC20">
        <v>0.34100000000000003</v>
      </c>
      <c r="CD20">
        <v>0.39100000000000001</v>
      </c>
      <c r="CE20">
        <v>0.26800000000000002</v>
      </c>
      <c r="CF20">
        <v>0.254</v>
      </c>
      <c r="CG20">
        <v>0.35499999999999998</v>
      </c>
      <c r="CH20">
        <v>0.39100000000000001</v>
      </c>
      <c r="CI20" cm="1">
        <f t="array" ref="CI20:CS20">VLOOKUP(A20,verticalmove_pitchers_2019!A:N,{3,4,5,6,7,8,9,10,11,12,13},FALSE)</f>
        <v>52.2</v>
      </c>
      <c r="CJ20">
        <v>7.5</v>
      </c>
      <c r="CK20">
        <v>0</v>
      </c>
      <c r="CL20">
        <v>0</v>
      </c>
      <c r="CM20">
        <v>4.5</v>
      </c>
      <c r="CN20">
        <v>1.7</v>
      </c>
      <c r="CO20">
        <v>1.8</v>
      </c>
      <c r="CP20">
        <v>-6.5</v>
      </c>
      <c r="CQ20">
        <v>0</v>
      </c>
      <c r="CR20">
        <v>0</v>
      </c>
      <c r="CS20">
        <v>0</v>
      </c>
      <c r="CT20" cm="1">
        <f t="array" ref="CT20:DD20">VLOOKUP(A20,velocity_pitchers_2019!A:N,{3,4,5,6,7,8,9,10,11,12,13},FALSE)</f>
        <v>52.2</v>
      </c>
      <c r="CU20">
        <v>94.9</v>
      </c>
      <c r="CV20">
        <v>0</v>
      </c>
      <c r="CW20">
        <v>0</v>
      </c>
      <c r="CX20">
        <v>94.7</v>
      </c>
      <c r="CY20">
        <v>89.3</v>
      </c>
      <c r="CZ20">
        <v>86.3</v>
      </c>
      <c r="DA20">
        <v>81.3</v>
      </c>
      <c r="DB20">
        <v>0</v>
      </c>
      <c r="DC20">
        <v>0</v>
      </c>
      <c r="DD20">
        <v>0</v>
      </c>
    </row>
    <row r="21" spans="1:108" x14ac:dyDescent="0.3">
      <c r="A21" t="s">
        <v>31</v>
      </c>
      <c r="B21" t="str" cm="1">
        <f t="array" ref="B21:Y21">VLOOKUP(A21,standard_pitchers_2019!A:Y,{2,3,4,5,6,7,8,9,10,11,12,13,14,15,16,17,18,19,20,21,22,23,24,25},FALSE)</f>
        <v>Rays</v>
      </c>
      <c r="C21">
        <v>6</v>
      </c>
      <c r="D21">
        <v>1</v>
      </c>
      <c r="E21">
        <v>1.78</v>
      </c>
      <c r="F21">
        <v>12</v>
      </c>
      <c r="G21">
        <v>12</v>
      </c>
      <c r="H21">
        <v>0</v>
      </c>
      <c r="I21">
        <v>0</v>
      </c>
      <c r="J21">
        <v>0</v>
      </c>
      <c r="K21">
        <v>0</v>
      </c>
      <c r="L21">
        <v>0</v>
      </c>
      <c r="M21">
        <v>60.2</v>
      </c>
      <c r="N21">
        <v>230</v>
      </c>
      <c r="O21">
        <v>40</v>
      </c>
      <c r="P21">
        <v>13</v>
      </c>
      <c r="Q21">
        <v>12</v>
      </c>
      <c r="R21">
        <v>4</v>
      </c>
      <c r="S21">
        <v>14</v>
      </c>
      <c r="T21">
        <v>0</v>
      </c>
      <c r="U21">
        <v>0</v>
      </c>
      <c r="V21">
        <v>2</v>
      </c>
      <c r="W21">
        <v>0</v>
      </c>
      <c r="X21">
        <v>76</v>
      </c>
      <c r="Y21">
        <v>14374</v>
      </c>
      <c r="Z21" cm="1">
        <f t="array" ref="Z21:AR21">VLOOKUP(A21,advanced_pitchers_2019!A:Y,{3,4,5,6,7,8,9,10,11,12,13,14,15,16,17,18,19,20,21},FALSE)</f>
        <v>11.27</v>
      </c>
      <c r="AA21">
        <v>2.08</v>
      </c>
      <c r="AB21">
        <v>5.43</v>
      </c>
      <c r="AC21">
        <v>0.59</v>
      </c>
      <c r="AD21">
        <v>0.33</v>
      </c>
      <c r="AE21">
        <v>6.0999999999999999E-2</v>
      </c>
      <c r="AF21">
        <v>0.27</v>
      </c>
      <c r="AG21">
        <v>0.185</v>
      </c>
      <c r="AH21">
        <v>0.89</v>
      </c>
      <c r="AI21">
        <v>0.26500000000000001</v>
      </c>
      <c r="AJ21">
        <v>0.84699999999999998</v>
      </c>
      <c r="AK21">
        <v>40</v>
      </c>
      <c r="AL21">
        <v>52</v>
      </c>
      <c r="AM21">
        <v>65</v>
      </c>
      <c r="AN21">
        <v>1.78</v>
      </c>
      <c r="AO21">
        <v>2.2599999999999998</v>
      </c>
      <c r="AP21">
        <v>-0.48</v>
      </c>
      <c r="AQ21">
        <v>2.94</v>
      </c>
      <c r="AR21">
        <v>3.18</v>
      </c>
      <c r="AS21" cm="1">
        <f t="array" ref="AS21:BA21">VLOOKUP(A21,plate_discipline_pitchers_2019!A:L,{3,4,5,6,7,8,9,10,11},FALSE)</f>
        <v>0.29599999999999999</v>
      </c>
      <c r="AT21">
        <v>0.6</v>
      </c>
      <c r="AU21">
        <v>0.436</v>
      </c>
      <c r="AV21">
        <v>0.54200000000000004</v>
      </c>
      <c r="AW21">
        <v>0.83199999999999996</v>
      </c>
      <c r="AX21">
        <v>0.72599999999999998</v>
      </c>
      <c r="AY21">
        <v>0.46200000000000002</v>
      </c>
      <c r="AZ21">
        <v>0.57799999999999996</v>
      </c>
      <c r="BA21">
        <v>0.12</v>
      </c>
      <c r="BB21" cm="1">
        <f t="array" ref="BB21:BP21">VLOOKUP(A21,pitchvalue_pitchers_2019!A:Q,{3,4,5,6,7,8,9,10,11,12,13,14,15,16,17},FALSE)</f>
        <v>14.2</v>
      </c>
      <c r="BC21">
        <v>0</v>
      </c>
      <c r="BD21">
        <v>0</v>
      </c>
      <c r="BE21">
        <v>3.4</v>
      </c>
      <c r="BF21">
        <v>1.7</v>
      </c>
      <c r="BG21">
        <v>0</v>
      </c>
      <c r="BH21">
        <v>0</v>
      </c>
      <c r="BI21">
        <v>2.34</v>
      </c>
      <c r="BJ21">
        <v>0</v>
      </c>
      <c r="BK21">
        <v>0</v>
      </c>
      <c r="BL21">
        <v>1.3</v>
      </c>
      <c r="BM21">
        <v>5.32</v>
      </c>
      <c r="BN21">
        <v>0</v>
      </c>
      <c r="BO21">
        <v>0</v>
      </c>
      <c r="BP21">
        <v>14374</v>
      </c>
      <c r="BQ21" cm="1">
        <f t="array" ref="BQ21:CH21">VLOOKUP(A21,battedball_pitchers_2019!A:U,{3,4,5,6,7,8,9,10,11,12,13,14,15,16,17,18,19,20},FALSE)</f>
        <v>0.26500000000000001</v>
      </c>
      <c r="BR21">
        <v>1.49</v>
      </c>
      <c r="BS21">
        <v>0.158</v>
      </c>
      <c r="BT21">
        <v>0.504</v>
      </c>
      <c r="BU21">
        <v>0.33800000000000002</v>
      </c>
      <c r="BV21">
        <v>8.5000000000000006E-2</v>
      </c>
      <c r="BW21">
        <v>8.5000000000000006E-2</v>
      </c>
      <c r="BX21">
        <v>42</v>
      </c>
      <c r="BY21">
        <v>6.23</v>
      </c>
      <c r="BZ21">
        <v>317</v>
      </c>
      <c r="CA21">
        <v>586</v>
      </c>
      <c r="CB21">
        <v>903</v>
      </c>
      <c r="CC21">
        <v>0.38800000000000001</v>
      </c>
      <c r="CD21">
        <v>0.34499999999999997</v>
      </c>
      <c r="CE21">
        <v>0.26600000000000001</v>
      </c>
      <c r="CF21">
        <v>0.223</v>
      </c>
      <c r="CG21">
        <v>0.48899999999999999</v>
      </c>
      <c r="CH21">
        <v>0.28799999999999998</v>
      </c>
      <c r="CI21" cm="1">
        <f t="array" ref="CI21:CS21">VLOOKUP(A21,verticalmove_pitchers_2019!A:N,{3,4,5,6,7,8,9,10,11,12,13},FALSE)</f>
        <v>60.2</v>
      </c>
      <c r="CJ21">
        <v>8.4</v>
      </c>
      <c r="CK21">
        <v>0</v>
      </c>
      <c r="CL21">
        <v>0</v>
      </c>
      <c r="CM21">
        <v>0</v>
      </c>
      <c r="CN21">
        <v>4.2</v>
      </c>
      <c r="CO21">
        <v>0</v>
      </c>
      <c r="CP21">
        <v>-11.2</v>
      </c>
      <c r="CQ21">
        <v>0</v>
      </c>
      <c r="CR21">
        <v>0</v>
      </c>
      <c r="CS21">
        <v>0</v>
      </c>
      <c r="CT21" cm="1">
        <f t="array" ref="CT21:DD21">VLOOKUP(A21,velocity_pitchers_2019!A:N,{3,4,5,6,7,8,9,10,11,12,13},FALSE)</f>
        <v>60.2</v>
      </c>
      <c r="CU21">
        <v>97.6</v>
      </c>
      <c r="CV21">
        <v>0</v>
      </c>
      <c r="CW21">
        <v>0</v>
      </c>
      <c r="CX21">
        <v>0</v>
      </c>
      <c r="CY21">
        <v>93.4</v>
      </c>
      <c r="CZ21">
        <v>0</v>
      </c>
      <c r="DA21">
        <v>84.2</v>
      </c>
      <c r="DB21">
        <v>0</v>
      </c>
      <c r="DC21">
        <v>0</v>
      </c>
      <c r="DD21">
        <v>0</v>
      </c>
    </row>
    <row r="22" spans="1:108" x14ac:dyDescent="0.3">
      <c r="A22" t="s">
        <v>156</v>
      </c>
      <c r="B22" t="str" cm="1">
        <f t="array" ref="B22:Y22">VLOOKUP(A22,standard_pitchers_2019!A:Y,{2,3,4,5,6,7,8,9,10,11,12,13,14,15,16,17,18,19,20,21,22,23,24,25},FALSE)</f>
        <v>Brewers</v>
      </c>
      <c r="C22">
        <v>6</v>
      </c>
      <c r="D22">
        <v>7</v>
      </c>
      <c r="E22">
        <v>3.72</v>
      </c>
      <c r="F22">
        <v>35</v>
      </c>
      <c r="G22">
        <v>18</v>
      </c>
      <c r="H22">
        <v>0</v>
      </c>
      <c r="I22">
        <v>0</v>
      </c>
      <c r="J22">
        <v>0</v>
      </c>
      <c r="K22">
        <v>1</v>
      </c>
      <c r="L22">
        <v>0</v>
      </c>
      <c r="M22">
        <v>111.1</v>
      </c>
      <c r="N22">
        <v>462</v>
      </c>
      <c r="O22">
        <v>101</v>
      </c>
      <c r="P22">
        <v>49</v>
      </c>
      <c r="Q22">
        <v>46</v>
      </c>
      <c r="R22">
        <v>14</v>
      </c>
      <c r="S22">
        <v>37</v>
      </c>
      <c r="T22">
        <v>2</v>
      </c>
      <c r="U22">
        <v>5</v>
      </c>
      <c r="V22">
        <v>2</v>
      </c>
      <c r="W22">
        <v>0</v>
      </c>
      <c r="X22">
        <v>117</v>
      </c>
      <c r="Y22">
        <v>12718</v>
      </c>
      <c r="Z22" cm="1">
        <f t="array" ref="Z22:AR22">VLOOKUP(A22,advanced_pitchers_2019!A:Y,{3,4,5,6,7,8,9,10,11,12,13,14,15,16,17,18,19,20,21},FALSE)</f>
        <v>9.4600000000000009</v>
      </c>
      <c r="AA22">
        <v>2.99</v>
      </c>
      <c r="AB22">
        <v>3.16</v>
      </c>
      <c r="AC22">
        <v>1.1299999999999999</v>
      </c>
      <c r="AD22">
        <v>0.253</v>
      </c>
      <c r="AE22">
        <v>0.08</v>
      </c>
      <c r="AF22">
        <v>0.17299999999999999</v>
      </c>
      <c r="AG22">
        <v>0.24</v>
      </c>
      <c r="AH22">
        <v>1.24</v>
      </c>
      <c r="AI22">
        <v>0.30099999999999999</v>
      </c>
      <c r="AJ22">
        <v>0.76200000000000001</v>
      </c>
      <c r="AK22">
        <v>84</v>
      </c>
      <c r="AL22">
        <v>87</v>
      </c>
      <c r="AM22">
        <v>81</v>
      </c>
      <c r="AN22">
        <v>3.72</v>
      </c>
      <c r="AO22">
        <v>3.88</v>
      </c>
      <c r="AP22">
        <v>-0.16</v>
      </c>
      <c r="AQ22">
        <v>3.6</v>
      </c>
      <c r="AR22">
        <v>3.91</v>
      </c>
      <c r="AS22" cm="1">
        <f t="array" ref="AS22:BA22">VLOOKUP(A22,plate_discipline_pitchers_2019!A:L,{3,4,5,6,7,8,9,10,11},FALSE)</f>
        <v>0.27400000000000002</v>
      </c>
      <c r="AT22">
        <v>0.66800000000000004</v>
      </c>
      <c r="AU22">
        <v>0.441</v>
      </c>
      <c r="AV22">
        <v>0.66400000000000003</v>
      </c>
      <c r="AW22">
        <v>0.84599999999999997</v>
      </c>
      <c r="AX22">
        <v>0.78100000000000003</v>
      </c>
      <c r="AY22">
        <v>0.42399999999999999</v>
      </c>
      <c r="AZ22">
        <v>0.61</v>
      </c>
      <c r="BA22">
        <v>9.7000000000000003E-2</v>
      </c>
      <c r="BB22" cm="1">
        <f t="array" ref="BB22:BP22">VLOOKUP(A22,pitchvalue_pitchers_2019!A:Q,{3,4,5,6,7,8,9,10,11,12,13,14,15,16,17},FALSE)</f>
        <v>14</v>
      </c>
      <c r="BC22">
        <v>-3.5</v>
      </c>
      <c r="BD22">
        <v>0</v>
      </c>
      <c r="BE22">
        <v>-1.4</v>
      </c>
      <c r="BF22">
        <v>-1.9</v>
      </c>
      <c r="BG22">
        <v>0</v>
      </c>
      <c r="BH22">
        <v>0</v>
      </c>
      <c r="BI22">
        <v>1.1499999999999999</v>
      </c>
      <c r="BJ22">
        <v>-1.64</v>
      </c>
      <c r="BK22">
        <v>0</v>
      </c>
      <c r="BL22">
        <v>-0.54</v>
      </c>
      <c r="BM22">
        <v>-1.53</v>
      </c>
      <c r="BN22">
        <v>0</v>
      </c>
      <c r="BO22">
        <v>0</v>
      </c>
      <c r="BP22">
        <v>12718</v>
      </c>
      <c r="BQ22" cm="1">
        <f t="array" ref="BQ22:CH22">VLOOKUP(A22,battedball_pitchers_2019!A:U,{3,4,5,6,7,8,9,10,11,12,13,14,15,16,17,18,19,20},FALSE)</f>
        <v>0.30099999999999999</v>
      </c>
      <c r="BR22">
        <v>2.09</v>
      </c>
      <c r="BS22">
        <v>0.21099999999999999</v>
      </c>
      <c r="BT22">
        <v>0.53400000000000003</v>
      </c>
      <c r="BU22">
        <v>0.255</v>
      </c>
      <c r="BV22">
        <v>5.2999999999999999E-2</v>
      </c>
      <c r="BW22">
        <v>0.184</v>
      </c>
      <c r="BX22">
        <v>56</v>
      </c>
      <c r="BY22">
        <v>4.53</v>
      </c>
      <c r="BZ22">
        <v>669</v>
      </c>
      <c r="CA22">
        <v>1141</v>
      </c>
      <c r="CB22">
        <v>1810</v>
      </c>
      <c r="CC22">
        <v>0.42899999999999999</v>
      </c>
      <c r="CD22">
        <v>0.33</v>
      </c>
      <c r="CE22">
        <v>0.24099999999999999</v>
      </c>
      <c r="CF22">
        <v>0.17799999999999999</v>
      </c>
      <c r="CG22">
        <v>0.45900000000000002</v>
      </c>
      <c r="CH22">
        <v>0.36299999999999999</v>
      </c>
      <c r="CI22" cm="1">
        <f t="array" ref="CI22:CS22">VLOOKUP(A22,verticalmove_pitchers_2019!A:N,{3,4,5,6,7,8,9,10,11,12,13},FALSE)</f>
        <v>111.1</v>
      </c>
      <c r="CJ22">
        <v>8.1999999999999993</v>
      </c>
      <c r="CK22">
        <v>0</v>
      </c>
      <c r="CL22">
        <v>0</v>
      </c>
      <c r="CM22">
        <v>4.3</v>
      </c>
      <c r="CN22">
        <v>2.2999999999999998</v>
      </c>
      <c r="CO22">
        <v>2.4</v>
      </c>
      <c r="CP22">
        <v>-9.6</v>
      </c>
      <c r="CQ22">
        <v>0</v>
      </c>
      <c r="CR22">
        <v>0</v>
      </c>
      <c r="CS22">
        <v>0</v>
      </c>
      <c r="CT22" cm="1">
        <f t="array" ref="CT22:DD22">VLOOKUP(A22,velocity_pitchers_2019!A:N,{3,4,5,6,7,8,9,10,11,12,13},FALSE)</f>
        <v>111.1</v>
      </c>
      <c r="CU22">
        <v>94.8</v>
      </c>
      <c r="CV22">
        <v>0</v>
      </c>
      <c r="CW22">
        <v>0</v>
      </c>
      <c r="CX22">
        <v>94.5</v>
      </c>
      <c r="CY22">
        <v>85.7</v>
      </c>
      <c r="CZ22">
        <v>88.1</v>
      </c>
      <c r="DA22">
        <v>80.8</v>
      </c>
      <c r="DB22">
        <v>0</v>
      </c>
      <c r="DC22">
        <v>0</v>
      </c>
      <c r="DD22">
        <v>0</v>
      </c>
    </row>
    <row r="23" spans="1:108" x14ac:dyDescent="0.3">
      <c r="A23" t="s">
        <v>120</v>
      </c>
      <c r="B23" t="str" cm="1">
        <f t="array" ref="B23:Y23">VLOOKUP(A23,standard_pitchers_2019!A:Y,{2,3,4,5,6,7,8,9,10,11,12,13,14,15,16,17,18,19,20,21,22,23,24,25},FALSE)</f>
        <v>Padres</v>
      </c>
      <c r="C23">
        <v>9</v>
      </c>
      <c r="D23">
        <v>7</v>
      </c>
      <c r="E23">
        <v>3.33</v>
      </c>
      <c r="F23">
        <v>26</v>
      </c>
      <c r="G23">
        <v>26</v>
      </c>
      <c r="H23">
        <v>0</v>
      </c>
      <c r="I23">
        <v>0</v>
      </c>
      <c r="J23">
        <v>0</v>
      </c>
      <c r="K23">
        <v>0</v>
      </c>
      <c r="L23">
        <v>0</v>
      </c>
      <c r="M23">
        <v>140.19999999999999</v>
      </c>
      <c r="N23">
        <v>568</v>
      </c>
      <c r="O23">
        <v>107</v>
      </c>
      <c r="P23">
        <v>58</v>
      </c>
      <c r="Q23">
        <v>52</v>
      </c>
      <c r="R23">
        <v>23</v>
      </c>
      <c r="S23">
        <v>31</v>
      </c>
      <c r="T23">
        <v>1</v>
      </c>
      <c r="U23">
        <v>6</v>
      </c>
      <c r="V23">
        <v>1</v>
      </c>
      <c r="W23">
        <v>1</v>
      </c>
      <c r="X23">
        <v>153</v>
      </c>
      <c r="Y23">
        <v>20099</v>
      </c>
      <c r="Z23" cm="1">
        <f t="array" ref="Z23:AR23">VLOOKUP(A23,advanced_pitchers_2019!A:Y,{3,4,5,6,7,8,9,10,11,12,13,14,15,16,17,18,19,20,21},FALSE)</f>
        <v>9.7899999999999991</v>
      </c>
      <c r="AA23">
        <v>1.98</v>
      </c>
      <c r="AB23">
        <v>4.9400000000000004</v>
      </c>
      <c r="AC23">
        <v>1.47</v>
      </c>
      <c r="AD23">
        <v>0.26900000000000002</v>
      </c>
      <c r="AE23">
        <v>5.5E-2</v>
      </c>
      <c r="AF23">
        <v>0.215</v>
      </c>
      <c r="AG23">
        <v>0.20200000000000001</v>
      </c>
      <c r="AH23">
        <v>0.98</v>
      </c>
      <c r="AI23">
        <v>0.23699999999999999</v>
      </c>
      <c r="AJ23">
        <v>0.76900000000000002</v>
      </c>
      <c r="AK23">
        <v>78</v>
      </c>
      <c r="AL23">
        <v>90</v>
      </c>
      <c r="AM23">
        <v>91</v>
      </c>
      <c r="AN23">
        <v>3.33</v>
      </c>
      <c r="AO23">
        <v>3.95</v>
      </c>
      <c r="AP23">
        <v>-0.63</v>
      </c>
      <c r="AQ23">
        <v>4.05</v>
      </c>
      <c r="AR23">
        <v>3.83</v>
      </c>
      <c r="AS23" cm="1">
        <f t="array" ref="AS23:BA23">VLOOKUP(A23,plate_discipline_pitchers_2019!A:L,{3,4,5,6,7,8,9,10,11},FALSE)</f>
        <v>0.36</v>
      </c>
      <c r="AT23">
        <v>0.71299999999999997</v>
      </c>
      <c r="AU23">
        <v>0.52100000000000002</v>
      </c>
      <c r="AV23">
        <v>0.68600000000000005</v>
      </c>
      <c r="AW23">
        <v>0.83699999999999997</v>
      </c>
      <c r="AX23">
        <v>0.78</v>
      </c>
      <c r="AY23">
        <v>0.45600000000000002</v>
      </c>
      <c r="AZ23">
        <v>0.71299999999999997</v>
      </c>
      <c r="BA23">
        <v>0.114</v>
      </c>
      <c r="BB23" cm="1">
        <f t="array" ref="BB23:BP23">VLOOKUP(A23,pitchvalue_pitchers_2019!A:Q,{3,4,5,6,7,8,9,10,11,12,13,14,15,16,17},FALSE)</f>
        <v>13.7</v>
      </c>
      <c r="BC23">
        <v>0</v>
      </c>
      <c r="BD23">
        <v>0</v>
      </c>
      <c r="BE23">
        <v>-0.8</v>
      </c>
      <c r="BF23">
        <v>7.9</v>
      </c>
      <c r="BG23">
        <v>0</v>
      </c>
      <c r="BH23">
        <v>0</v>
      </c>
      <c r="BI23">
        <v>0.99</v>
      </c>
      <c r="BJ23">
        <v>0</v>
      </c>
      <c r="BK23">
        <v>0</v>
      </c>
      <c r="BL23">
        <v>-0.33</v>
      </c>
      <c r="BM23">
        <v>1.22</v>
      </c>
      <c r="BN23">
        <v>0</v>
      </c>
      <c r="BO23">
        <v>0</v>
      </c>
      <c r="BP23">
        <v>20099</v>
      </c>
      <c r="BQ23" cm="1">
        <f t="array" ref="BQ23:CH23">VLOOKUP(A23,battedball_pitchers_2019!A:U,{3,4,5,6,7,8,9,10,11,12,13,14,15,16,17,18,19,20},FALSE)</f>
        <v>0.23699999999999999</v>
      </c>
      <c r="BR23">
        <v>0.95</v>
      </c>
      <c r="BS23">
        <v>0.17499999999999999</v>
      </c>
      <c r="BT23">
        <v>0.40200000000000002</v>
      </c>
      <c r="BU23">
        <v>0.42299999999999999</v>
      </c>
      <c r="BV23">
        <v>0.115</v>
      </c>
      <c r="BW23">
        <v>0.14599999999999999</v>
      </c>
      <c r="BX23">
        <v>59</v>
      </c>
      <c r="BY23">
        <v>3.77</v>
      </c>
      <c r="BZ23">
        <v>694</v>
      </c>
      <c r="CA23">
        <v>1586</v>
      </c>
      <c r="CB23">
        <v>2280</v>
      </c>
      <c r="CC23">
        <v>0.41</v>
      </c>
      <c r="CD23">
        <v>0.29599999999999999</v>
      </c>
      <c r="CE23">
        <v>0.29399999999999998</v>
      </c>
      <c r="CF23">
        <v>0.17199999999999999</v>
      </c>
      <c r="CG23">
        <v>0.40699999999999997</v>
      </c>
      <c r="CH23">
        <v>0.42099999999999999</v>
      </c>
      <c r="CI23" cm="1">
        <f t="array" ref="CI23:CS23">VLOOKUP(A23,verticalmove_pitchers_2019!A:N,{3,4,5,6,7,8,9,10,11,12,13},FALSE)</f>
        <v>140.19999999999999</v>
      </c>
      <c r="CJ23">
        <v>10.1</v>
      </c>
      <c r="CK23">
        <v>0</v>
      </c>
      <c r="CL23">
        <v>0</v>
      </c>
      <c r="CM23">
        <v>4.7</v>
      </c>
      <c r="CN23">
        <v>4.5</v>
      </c>
      <c r="CO23">
        <v>9.3000000000000007</v>
      </c>
      <c r="CP23">
        <v>-8.3000000000000007</v>
      </c>
      <c r="CQ23">
        <v>0</v>
      </c>
      <c r="CR23">
        <v>0</v>
      </c>
      <c r="CS23">
        <v>0</v>
      </c>
      <c r="CT23" cm="1">
        <f t="array" ref="CT23:DD23">VLOOKUP(A23,velocity_pitchers_2019!A:N,{3,4,5,6,7,8,9,10,11,12,13},FALSE)</f>
        <v>140.19999999999999</v>
      </c>
      <c r="CU23">
        <v>94.2</v>
      </c>
      <c r="CV23">
        <v>0</v>
      </c>
      <c r="CW23">
        <v>0</v>
      </c>
      <c r="CX23">
        <v>83.9</v>
      </c>
      <c r="CY23">
        <v>84.8</v>
      </c>
      <c r="CZ23">
        <v>94.8</v>
      </c>
      <c r="DA23">
        <v>76.400000000000006</v>
      </c>
      <c r="DB23">
        <v>0</v>
      </c>
      <c r="DC23">
        <v>0</v>
      </c>
      <c r="DD23">
        <v>0</v>
      </c>
    </row>
    <row r="24" spans="1:108" x14ac:dyDescent="0.3">
      <c r="A24" t="s">
        <v>70</v>
      </c>
      <c r="B24" t="str" cm="1">
        <f t="array" ref="B24:Y24">VLOOKUP(A24,standard_pitchers_2019!A:Y,{2,3,4,5,6,7,8,9,10,11,12,13,14,15,16,17,18,19,20,21,22,23,24,25},FALSE)</f>
        <v>Brewers</v>
      </c>
      <c r="C24">
        <v>3</v>
      </c>
      <c r="D24">
        <v>5</v>
      </c>
      <c r="E24">
        <v>2.62</v>
      </c>
      <c r="F24">
        <v>61</v>
      </c>
      <c r="G24">
        <v>0</v>
      </c>
      <c r="H24">
        <v>0</v>
      </c>
      <c r="I24">
        <v>0</v>
      </c>
      <c r="J24">
        <v>37</v>
      </c>
      <c r="K24">
        <v>6</v>
      </c>
      <c r="L24">
        <v>7</v>
      </c>
      <c r="M24">
        <v>75.2</v>
      </c>
      <c r="N24">
        <v>289</v>
      </c>
      <c r="O24">
        <v>41</v>
      </c>
      <c r="P24">
        <v>24</v>
      </c>
      <c r="Q24">
        <v>22</v>
      </c>
      <c r="R24">
        <v>15</v>
      </c>
      <c r="S24">
        <v>20</v>
      </c>
      <c r="T24">
        <v>2</v>
      </c>
      <c r="U24">
        <v>4</v>
      </c>
      <c r="V24">
        <v>0</v>
      </c>
      <c r="W24">
        <v>0</v>
      </c>
      <c r="X24">
        <v>138</v>
      </c>
      <c r="Y24">
        <v>14212</v>
      </c>
      <c r="Z24" cm="1">
        <f t="array" ref="Z24:AR24">VLOOKUP(A24,advanced_pitchers_2019!A:Y,{3,4,5,6,7,8,9,10,11,12,13,14,15,16,17,18,19,20,21},FALSE)</f>
        <v>16.41</v>
      </c>
      <c r="AA24">
        <v>2.38</v>
      </c>
      <c r="AB24">
        <v>6.9</v>
      </c>
      <c r="AC24">
        <v>1.78</v>
      </c>
      <c r="AD24">
        <v>0.47799999999999998</v>
      </c>
      <c r="AE24">
        <v>6.9000000000000006E-2</v>
      </c>
      <c r="AF24">
        <v>0.40799999999999997</v>
      </c>
      <c r="AG24">
        <v>0.155</v>
      </c>
      <c r="AH24">
        <v>0.81</v>
      </c>
      <c r="AI24">
        <v>0.23200000000000001</v>
      </c>
      <c r="AJ24">
        <v>0.93200000000000005</v>
      </c>
      <c r="AK24">
        <v>59</v>
      </c>
      <c r="AL24">
        <v>69</v>
      </c>
      <c r="AM24">
        <v>53</v>
      </c>
      <c r="AN24">
        <v>2.62</v>
      </c>
      <c r="AO24">
        <v>3.1</v>
      </c>
      <c r="AP24">
        <v>-0.48</v>
      </c>
      <c r="AQ24">
        <v>2.36</v>
      </c>
      <c r="AR24">
        <v>1.78</v>
      </c>
      <c r="AS24" cm="1">
        <f t="array" ref="AS24:BA24">VLOOKUP(A24,plate_discipline_pitchers_2019!A:L,{3,4,5,6,7,8,9,10,11},FALSE)</f>
        <v>0.39200000000000002</v>
      </c>
      <c r="AT24">
        <v>0.80800000000000005</v>
      </c>
      <c r="AU24">
        <v>0.58699999999999997</v>
      </c>
      <c r="AV24">
        <v>0.53300000000000003</v>
      </c>
      <c r="AW24">
        <v>0.65300000000000002</v>
      </c>
      <c r="AX24">
        <v>0.61</v>
      </c>
      <c r="AY24">
        <v>0.46800000000000003</v>
      </c>
      <c r="AZ24">
        <v>0.63</v>
      </c>
      <c r="BA24">
        <v>0.22900000000000001</v>
      </c>
      <c r="BB24" cm="1">
        <f t="array" ref="BB24:BP24">VLOOKUP(A24,pitchvalue_pitchers_2019!A:Q,{3,4,5,6,7,8,9,10,11,12,13,14,15,16,17},FALSE)</f>
        <v>13.6</v>
      </c>
      <c r="BC24">
        <v>6.4</v>
      </c>
      <c r="BD24">
        <v>0</v>
      </c>
      <c r="BE24">
        <v>0</v>
      </c>
      <c r="BF24">
        <v>-0.1</v>
      </c>
      <c r="BG24">
        <v>0</v>
      </c>
      <c r="BH24">
        <v>0</v>
      </c>
      <c r="BI24">
        <v>1.37</v>
      </c>
      <c r="BJ24">
        <v>3.54</v>
      </c>
      <c r="BK24">
        <v>0</v>
      </c>
      <c r="BL24">
        <v>0</v>
      </c>
      <c r="BM24">
        <v>-2.2400000000000002</v>
      </c>
      <c r="BN24">
        <v>0</v>
      </c>
      <c r="BO24">
        <v>0</v>
      </c>
      <c r="BP24">
        <v>14212</v>
      </c>
      <c r="BQ24" cm="1">
        <f t="array" ref="BQ24:CH24">VLOOKUP(A24,battedball_pitchers_2019!A:U,{3,4,5,6,7,8,9,10,11,12,13,14,15,16,17,18,19,20},FALSE)</f>
        <v>0.23200000000000001</v>
      </c>
      <c r="BR24">
        <v>0.4</v>
      </c>
      <c r="BS24">
        <v>0.22800000000000001</v>
      </c>
      <c r="BT24">
        <v>0.22</v>
      </c>
      <c r="BU24">
        <v>0.55100000000000005</v>
      </c>
      <c r="BV24">
        <v>0.214</v>
      </c>
      <c r="BW24">
        <v>0.214</v>
      </c>
      <c r="BX24">
        <v>23</v>
      </c>
      <c r="BY24">
        <v>2.74</v>
      </c>
      <c r="BZ24">
        <v>361</v>
      </c>
      <c r="CA24">
        <v>820</v>
      </c>
      <c r="CB24">
        <v>1181</v>
      </c>
      <c r="CC24">
        <v>0.315</v>
      </c>
      <c r="CD24">
        <v>0.33100000000000002</v>
      </c>
      <c r="CE24">
        <v>0.35399999999999998</v>
      </c>
      <c r="CF24">
        <v>0.21299999999999999</v>
      </c>
      <c r="CG24">
        <v>0.42499999999999999</v>
      </c>
      <c r="CH24">
        <v>0.36199999999999999</v>
      </c>
      <c r="CI24" cm="1">
        <f t="array" ref="CI24:CS24">VLOOKUP(A24,verticalmove_pitchers_2019!A:N,{3,4,5,6,7,8,9,10,11,12,13},FALSE)</f>
        <v>75.2</v>
      </c>
      <c r="CJ24">
        <v>9.6</v>
      </c>
      <c r="CK24">
        <v>0</v>
      </c>
      <c r="CL24">
        <v>0</v>
      </c>
      <c r="CM24">
        <v>0</v>
      </c>
      <c r="CN24">
        <v>3.4</v>
      </c>
      <c r="CO24">
        <v>0.5</v>
      </c>
      <c r="CP24">
        <v>0</v>
      </c>
      <c r="CQ24">
        <v>0</v>
      </c>
      <c r="CR24">
        <v>0</v>
      </c>
      <c r="CS24">
        <v>0</v>
      </c>
      <c r="CT24" cm="1">
        <f t="array" ref="CT24:DD24">VLOOKUP(A24,velocity_pitchers_2019!A:N,{3,4,5,6,7,8,9,10,11,12,13},FALSE)</f>
        <v>75.2</v>
      </c>
      <c r="CU24">
        <v>95.9</v>
      </c>
      <c r="CV24">
        <v>0</v>
      </c>
      <c r="CW24">
        <v>0</v>
      </c>
      <c r="CX24">
        <v>0</v>
      </c>
      <c r="CY24">
        <v>89.6</v>
      </c>
      <c r="CZ24">
        <v>82.1</v>
      </c>
      <c r="DA24">
        <v>0</v>
      </c>
      <c r="DB24">
        <v>0</v>
      </c>
      <c r="DC24">
        <v>0</v>
      </c>
      <c r="DD24">
        <v>0</v>
      </c>
    </row>
    <row r="25" spans="1:108" x14ac:dyDescent="0.3">
      <c r="A25" t="s">
        <v>41</v>
      </c>
      <c r="B25" t="str" cm="1">
        <f t="array" ref="B25:Y25">VLOOKUP(A25,standard_pitchers_2019!A:Y,{2,3,4,5,6,7,8,9,10,11,12,13,14,15,16,17,18,19,20,21,22,23,24,25},FALSE)</f>
        <v>Yankees</v>
      </c>
      <c r="C25">
        <v>3</v>
      </c>
      <c r="D25">
        <v>1</v>
      </c>
      <c r="E25">
        <v>1.91</v>
      </c>
      <c r="F25">
        <v>66</v>
      </c>
      <c r="G25">
        <v>0</v>
      </c>
      <c r="H25">
        <v>0</v>
      </c>
      <c r="I25">
        <v>0</v>
      </c>
      <c r="J25">
        <v>3</v>
      </c>
      <c r="K25">
        <v>29</v>
      </c>
      <c r="L25">
        <v>4</v>
      </c>
      <c r="M25">
        <v>61.1</v>
      </c>
      <c r="N25">
        <v>245</v>
      </c>
      <c r="O25">
        <v>38</v>
      </c>
      <c r="P25">
        <v>13</v>
      </c>
      <c r="Q25">
        <v>13</v>
      </c>
      <c r="R25">
        <v>3</v>
      </c>
      <c r="S25">
        <v>32</v>
      </c>
      <c r="T25">
        <v>1</v>
      </c>
      <c r="U25">
        <v>1</v>
      </c>
      <c r="V25">
        <v>3</v>
      </c>
      <c r="W25">
        <v>0</v>
      </c>
      <c r="X25">
        <v>53</v>
      </c>
      <c r="Y25">
        <v>3240</v>
      </c>
      <c r="Z25" cm="1">
        <f t="array" ref="Z25:AR25">VLOOKUP(A25,advanced_pitchers_2019!A:Y,{3,4,5,6,7,8,9,10,11,12,13,14,15,16,17,18,19,20,21},FALSE)</f>
        <v>7.78</v>
      </c>
      <c r="AA25">
        <v>4.7</v>
      </c>
      <c r="AB25">
        <v>1.66</v>
      </c>
      <c r="AC25">
        <v>0.44</v>
      </c>
      <c r="AD25">
        <v>0.216</v>
      </c>
      <c r="AE25">
        <v>0.13100000000000001</v>
      </c>
      <c r="AF25">
        <v>8.5999999999999993E-2</v>
      </c>
      <c r="AG25">
        <v>0.17899999999999999</v>
      </c>
      <c r="AH25">
        <v>1.1399999999999999</v>
      </c>
      <c r="AI25">
        <v>0.224</v>
      </c>
      <c r="AJ25">
        <v>0.86799999999999999</v>
      </c>
      <c r="AK25">
        <v>41</v>
      </c>
      <c r="AL25">
        <v>80</v>
      </c>
      <c r="AM25">
        <v>79</v>
      </c>
      <c r="AN25">
        <v>1.91</v>
      </c>
      <c r="AO25">
        <v>3.74</v>
      </c>
      <c r="AP25">
        <v>-1.83</v>
      </c>
      <c r="AQ25">
        <v>3.59</v>
      </c>
      <c r="AR25">
        <v>3.81</v>
      </c>
      <c r="AS25" cm="1">
        <f t="array" ref="AS25:BA25">VLOOKUP(A25,plate_discipline_pitchers_2019!A:L,{3,4,5,6,7,8,9,10,11},FALSE)</f>
        <v>0.31900000000000001</v>
      </c>
      <c r="AT25">
        <v>0.59399999999999997</v>
      </c>
      <c r="AU25">
        <v>0.41799999999999998</v>
      </c>
      <c r="AV25">
        <v>0.61799999999999999</v>
      </c>
      <c r="AW25">
        <v>0.86399999999999999</v>
      </c>
      <c r="AX25">
        <v>0.74399999999999999</v>
      </c>
      <c r="AY25">
        <v>0.35899999999999999</v>
      </c>
      <c r="AZ25">
        <v>0.55900000000000005</v>
      </c>
      <c r="BA25">
        <v>0.107</v>
      </c>
      <c r="BB25" cm="1">
        <f t="array" ref="BB25:BP25">VLOOKUP(A25,pitchvalue_pitchers_2019!A:Q,{3,4,5,6,7,8,9,10,11,12,13,14,15,16,17},FALSE)</f>
        <v>13.3</v>
      </c>
      <c r="BC25">
        <v>4.0999999999999996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1.65</v>
      </c>
      <c r="BJ25">
        <v>3.22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3240</v>
      </c>
      <c r="BQ25" cm="1">
        <f t="array" ref="BQ25:CH25">VLOOKUP(A25,battedball_pitchers_2019!A:U,{3,4,5,6,7,8,9,10,11,12,13,14,15,16,17,18,19,20},FALSE)</f>
        <v>0.224</v>
      </c>
      <c r="BR25">
        <v>8.1300000000000008</v>
      </c>
      <c r="BS25">
        <v>0.13300000000000001</v>
      </c>
      <c r="BT25">
        <v>0.77200000000000002</v>
      </c>
      <c r="BU25">
        <v>9.5000000000000001E-2</v>
      </c>
      <c r="BV25">
        <v>6.7000000000000004E-2</v>
      </c>
      <c r="BW25">
        <v>0.2</v>
      </c>
      <c r="BX25">
        <v>31</v>
      </c>
      <c r="BY25">
        <v>4.55</v>
      </c>
      <c r="BZ25">
        <v>382</v>
      </c>
      <c r="CA25">
        <v>551</v>
      </c>
      <c r="CB25">
        <v>933</v>
      </c>
      <c r="CC25">
        <v>0.434</v>
      </c>
      <c r="CD25">
        <v>0.41499999999999998</v>
      </c>
      <c r="CE25">
        <v>0.151</v>
      </c>
      <c r="CF25">
        <v>0.22</v>
      </c>
      <c r="CG25">
        <v>0.503</v>
      </c>
      <c r="CH25">
        <v>0.27700000000000002</v>
      </c>
      <c r="CI25" cm="1">
        <f t="array" ref="CI25:CS25">VLOOKUP(A25,verticalmove_pitchers_2019!A:N,{3,4,5,6,7,8,9,10,11,12,13},FALSE)</f>
        <v>61.1</v>
      </c>
      <c r="CJ25">
        <v>5.8</v>
      </c>
      <c r="CK25">
        <v>0</v>
      </c>
      <c r="CL25">
        <v>0</v>
      </c>
      <c r="CM25">
        <v>3.6</v>
      </c>
      <c r="CN25">
        <v>0</v>
      </c>
      <c r="CO25">
        <v>0</v>
      </c>
      <c r="CP25">
        <v>-5</v>
      </c>
      <c r="CQ25">
        <v>0</v>
      </c>
      <c r="CR25">
        <v>0</v>
      </c>
      <c r="CS25">
        <v>0</v>
      </c>
      <c r="CT25" cm="1">
        <f t="array" ref="CT25:DD25">VLOOKUP(A25,velocity_pitchers_2019!A:N,{3,4,5,6,7,8,9,10,11,12,13},FALSE)</f>
        <v>61.1</v>
      </c>
      <c r="CU25">
        <v>95.5</v>
      </c>
      <c r="CV25">
        <v>0</v>
      </c>
      <c r="CW25">
        <v>0</v>
      </c>
      <c r="CX25">
        <v>94.8</v>
      </c>
      <c r="CY25">
        <v>0</v>
      </c>
      <c r="CZ25">
        <v>0</v>
      </c>
      <c r="DA25">
        <v>80.599999999999994</v>
      </c>
      <c r="DB25">
        <v>0</v>
      </c>
      <c r="DC25">
        <v>0</v>
      </c>
      <c r="DD25">
        <v>0</v>
      </c>
    </row>
    <row r="26" spans="1:108" x14ac:dyDescent="0.3">
      <c r="A26" t="s">
        <v>33</v>
      </c>
      <c r="B26" t="str" cm="1">
        <f t="array" ref="B26:Y26">VLOOKUP(A26,standard_pitchers_2019!A:Y,{2,3,4,5,6,7,8,9,10,11,12,13,14,15,16,17,18,19,20,21,22,23,24,25},FALSE)</f>
        <v>Athletics</v>
      </c>
      <c r="C26">
        <v>4</v>
      </c>
      <c r="D26">
        <v>4</v>
      </c>
      <c r="E26">
        <v>1.8</v>
      </c>
      <c r="F26">
        <v>75</v>
      </c>
      <c r="G26">
        <v>2</v>
      </c>
      <c r="H26">
        <v>0</v>
      </c>
      <c r="I26">
        <v>0</v>
      </c>
      <c r="J26">
        <v>25</v>
      </c>
      <c r="K26">
        <v>8</v>
      </c>
      <c r="L26">
        <v>7</v>
      </c>
      <c r="M26">
        <v>85</v>
      </c>
      <c r="N26">
        <v>332</v>
      </c>
      <c r="O26">
        <v>61</v>
      </c>
      <c r="P26">
        <v>18</v>
      </c>
      <c r="Q26">
        <v>17</v>
      </c>
      <c r="R26">
        <v>5</v>
      </c>
      <c r="S26">
        <v>21</v>
      </c>
      <c r="T26">
        <v>5</v>
      </c>
      <c r="U26">
        <v>2</v>
      </c>
      <c r="V26">
        <v>7</v>
      </c>
      <c r="W26">
        <v>0</v>
      </c>
      <c r="X26">
        <v>124</v>
      </c>
      <c r="Y26">
        <v>3548</v>
      </c>
      <c r="Z26" cm="1">
        <f t="array" ref="Z26:AR26">VLOOKUP(A26,advanced_pitchers_2019!A:Y,{3,4,5,6,7,8,9,10,11,12,13,14,15,16,17,18,19,20,21},FALSE)</f>
        <v>13.13</v>
      </c>
      <c r="AA26">
        <v>2.2200000000000002</v>
      </c>
      <c r="AB26">
        <v>5.9</v>
      </c>
      <c r="AC26">
        <v>0.53</v>
      </c>
      <c r="AD26">
        <v>0.373</v>
      </c>
      <c r="AE26">
        <v>6.3E-2</v>
      </c>
      <c r="AF26">
        <v>0.31</v>
      </c>
      <c r="AG26">
        <v>0.19700000000000001</v>
      </c>
      <c r="AH26">
        <v>0.96</v>
      </c>
      <c r="AI26">
        <v>0.311</v>
      </c>
      <c r="AJ26">
        <v>0.85699999999999998</v>
      </c>
      <c r="AK26">
        <v>40</v>
      </c>
      <c r="AL26">
        <v>42</v>
      </c>
      <c r="AM26">
        <v>71</v>
      </c>
      <c r="AN26">
        <v>1.8</v>
      </c>
      <c r="AO26">
        <v>1.87</v>
      </c>
      <c r="AP26">
        <v>-7.0000000000000007E-2</v>
      </c>
      <c r="AQ26">
        <v>3.21</v>
      </c>
      <c r="AR26">
        <v>2.58</v>
      </c>
      <c r="AS26" cm="1">
        <f t="array" ref="AS26:BA26">VLOOKUP(A26,plate_discipline_pitchers_2019!A:L,{3,4,5,6,7,8,9,10,11},FALSE)</f>
        <v>0.34399999999999997</v>
      </c>
      <c r="AT26">
        <v>0.72699999999999998</v>
      </c>
      <c r="AU26">
        <v>0.51300000000000001</v>
      </c>
      <c r="AV26">
        <v>0.48599999999999999</v>
      </c>
      <c r="AW26">
        <v>0.77100000000000002</v>
      </c>
      <c r="AX26">
        <v>0.66500000000000004</v>
      </c>
      <c r="AY26">
        <v>0.443</v>
      </c>
      <c r="AZ26">
        <v>0.65700000000000003</v>
      </c>
      <c r="BA26">
        <v>0.17199999999999999</v>
      </c>
      <c r="BB26" cm="1">
        <f t="array" ref="BB26:BP26">VLOOKUP(A26,pitchvalue_pitchers_2019!A:Q,{3,4,5,6,7,8,9,10,11,12,13,14,15,16,17},FALSE)</f>
        <v>13.2</v>
      </c>
      <c r="BC26">
        <v>9.9</v>
      </c>
      <c r="BD26">
        <v>0</v>
      </c>
      <c r="BE26">
        <v>2.6</v>
      </c>
      <c r="BF26">
        <v>-0.7</v>
      </c>
      <c r="BG26">
        <v>0</v>
      </c>
      <c r="BH26">
        <v>0</v>
      </c>
      <c r="BI26">
        <v>1.38</v>
      </c>
      <c r="BJ26">
        <v>3.37</v>
      </c>
      <c r="BK26">
        <v>0</v>
      </c>
      <c r="BL26">
        <v>2.4300000000000002</v>
      </c>
      <c r="BM26">
        <v>-34.89</v>
      </c>
      <c r="BN26">
        <v>0</v>
      </c>
      <c r="BO26">
        <v>0</v>
      </c>
      <c r="BP26">
        <v>3548</v>
      </c>
      <c r="BQ26" cm="1">
        <f t="array" ref="BQ26:CH26">VLOOKUP(A26,battedball_pitchers_2019!A:U,{3,4,5,6,7,8,9,10,11,12,13,14,15,16,17,18,19,20},FALSE)</f>
        <v>0.311</v>
      </c>
      <c r="BR26">
        <v>0.63</v>
      </c>
      <c r="BS26">
        <v>0.192</v>
      </c>
      <c r="BT26">
        <v>0.313</v>
      </c>
      <c r="BU26">
        <v>0.495</v>
      </c>
      <c r="BV26">
        <v>0.111</v>
      </c>
      <c r="BW26">
        <v>5.6000000000000001E-2</v>
      </c>
      <c r="BX26">
        <v>24</v>
      </c>
      <c r="BY26">
        <v>2.54</v>
      </c>
      <c r="BZ26">
        <v>458</v>
      </c>
      <c r="CA26">
        <v>896</v>
      </c>
      <c r="CB26">
        <v>1354</v>
      </c>
      <c r="CC26">
        <v>0.26500000000000001</v>
      </c>
      <c r="CD26">
        <v>0.4</v>
      </c>
      <c r="CE26">
        <v>0.33500000000000002</v>
      </c>
      <c r="CF26">
        <v>0.184</v>
      </c>
      <c r="CG26">
        <v>0.443</v>
      </c>
      <c r="CH26">
        <v>0.373</v>
      </c>
      <c r="CI26" cm="1">
        <f t="array" ref="CI26:CS26">VLOOKUP(A26,verticalmove_pitchers_2019!A:N,{3,4,5,6,7,8,9,10,11,12,13},FALSE)</f>
        <v>85</v>
      </c>
      <c r="CJ26">
        <v>10.199999999999999</v>
      </c>
      <c r="CK26">
        <v>0</v>
      </c>
      <c r="CL26">
        <v>0</v>
      </c>
      <c r="CM26">
        <v>8.8000000000000007</v>
      </c>
      <c r="CN26">
        <v>7.9</v>
      </c>
      <c r="CO26">
        <v>2.2000000000000002</v>
      </c>
      <c r="CP26">
        <v>-6.6</v>
      </c>
      <c r="CQ26">
        <v>0</v>
      </c>
      <c r="CR26">
        <v>0</v>
      </c>
      <c r="CS26">
        <v>0</v>
      </c>
      <c r="CT26" cm="1">
        <f t="array" ref="CT26:DD26">VLOOKUP(A26,velocity_pitchers_2019!A:N,{3,4,5,6,7,8,9,10,11,12,13},FALSE)</f>
        <v>85</v>
      </c>
      <c r="CU26">
        <v>96.8</v>
      </c>
      <c r="CV26">
        <v>0</v>
      </c>
      <c r="CW26">
        <v>0</v>
      </c>
      <c r="CX26">
        <v>95</v>
      </c>
      <c r="CY26">
        <v>87.8</v>
      </c>
      <c r="CZ26">
        <v>88.9</v>
      </c>
      <c r="DA26">
        <v>84.7</v>
      </c>
      <c r="DB26">
        <v>0</v>
      </c>
      <c r="DC26">
        <v>0</v>
      </c>
      <c r="DD26">
        <v>0</v>
      </c>
    </row>
    <row r="27" spans="1:108" x14ac:dyDescent="0.3">
      <c r="A27" t="s">
        <v>96</v>
      </c>
      <c r="B27" t="str" cm="1">
        <f t="array" ref="B27:Y27">VLOOKUP(A27,standard_pitchers_2019!A:Y,{2,3,4,5,6,7,8,9,10,11,12,13,14,15,16,17,18,19,20,21,22,23,24,25},FALSE)</f>
        <v>- - -</v>
      </c>
      <c r="C27">
        <v>18</v>
      </c>
      <c r="D27">
        <v>5</v>
      </c>
      <c r="E27">
        <v>2.93</v>
      </c>
      <c r="F27">
        <v>33</v>
      </c>
      <c r="G27">
        <v>33</v>
      </c>
      <c r="H27">
        <v>0</v>
      </c>
      <c r="I27">
        <v>0</v>
      </c>
      <c r="J27">
        <v>0</v>
      </c>
      <c r="K27">
        <v>0</v>
      </c>
      <c r="L27">
        <v>0</v>
      </c>
      <c r="M27">
        <v>208.2</v>
      </c>
      <c r="N27">
        <v>810</v>
      </c>
      <c r="O27">
        <v>175</v>
      </c>
      <c r="P27">
        <v>73</v>
      </c>
      <c r="Q27">
        <v>68</v>
      </c>
      <c r="R27">
        <v>21</v>
      </c>
      <c r="S27">
        <v>30</v>
      </c>
      <c r="T27">
        <v>2</v>
      </c>
      <c r="U27">
        <v>4</v>
      </c>
      <c r="V27">
        <v>2</v>
      </c>
      <c r="W27">
        <v>1</v>
      </c>
      <c r="X27">
        <v>187</v>
      </c>
      <c r="Y27">
        <v>1943</v>
      </c>
      <c r="Z27" cm="1">
        <f t="array" ref="Z27:AR27">VLOOKUP(A27,advanced_pitchers_2019!A:Y,{3,4,5,6,7,8,9,10,11,12,13,14,15,16,17,18,19,20,21},FALSE)</f>
        <v>8.07</v>
      </c>
      <c r="AA27">
        <v>1.29</v>
      </c>
      <c r="AB27">
        <v>6.23</v>
      </c>
      <c r="AC27">
        <v>0.91</v>
      </c>
      <c r="AD27">
        <v>0.23100000000000001</v>
      </c>
      <c r="AE27">
        <v>3.6999999999999998E-2</v>
      </c>
      <c r="AF27">
        <v>0.19400000000000001</v>
      </c>
      <c r="AG27">
        <v>0.22600000000000001</v>
      </c>
      <c r="AH27">
        <v>0.98</v>
      </c>
      <c r="AI27">
        <v>0.27100000000000002</v>
      </c>
      <c r="AJ27">
        <v>0.75700000000000001</v>
      </c>
      <c r="AK27">
        <v>66</v>
      </c>
      <c r="AL27">
        <v>73</v>
      </c>
      <c r="AM27">
        <v>84</v>
      </c>
      <c r="AN27">
        <v>2.93</v>
      </c>
      <c r="AO27">
        <v>3.22</v>
      </c>
      <c r="AP27">
        <v>-0.28999999999999998</v>
      </c>
      <c r="AQ27">
        <v>3.74</v>
      </c>
      <c r="AR27">
        <v>3.96</v>
      </c>
      <c r="AS27" cm="1">
        <f t="array" ref="AS27:BA27">VLOOKUP(A27,plate_discipline_pitchers_2019!A:L,{3,4,5,6,7,8,9,10,11},FALSE)</f>
        <v>0.35199999999999998</v>
      </c>
      <c r="AT27">
        <v>0.64100000000000001</v>
      </c>
      <c r="AU27">
        <v>0.46500000000000002</v>
      </c>
      <c r="AV27">
        <v>0.68</v>
      </c>
      <c r="AW27">
        <v>0.85599999999999998</v>
      </c>
      <c r="AX27">
        <v>0.77500000000000002</v>
      </c>
      <c r="AY27">
        <v>0.39100000000000001</v>
      </c>
      <c r="AZ27">
        <v>0.67300000000000004</v>
      </c>
      <c r="BA27">
        <v>0.105</v>
      </c>
      <c r="BB27" cm="1">
        <f t="array" ref="BB27:BP27">VLOOKUP(A27,pitchvalue_pitchers_2019!A:Q,{3,4,5,6,7,8,9,10,11,12,13,14,15,16,17},FALSE)</f>
        <v>13</v>
      </c>
      <c r="BC27">
        <v>-3.5</v>
      </c>
      <c r="BD27">
        <v>0</v>
      </c>
      <c r="BE27">
        <v>16.100000000000001</v>
      </c>
      <c r="BF27">
        <v>16.600000000000001</v>
      </c>
      <c r="BG27">
        <v>0</v>
      </c>
      <c r="BH27">
        <v>0</v>
      </c>
      <c r="BI27">
        <v>0.9</v>
      </c>
      <c r="BJ27">
        <v>-0.7</v>
      </c>
      <c r="BK27">
        <v>0</v>
      </c>
      <c r="BL27">
        <v>3.35</v>
      </c>
      <c r="BM27">
        <v>2.41</v>
      </c>
      <c r="BN27">
        <v>0</v>
      </c>
      <c r="BO27">
        <v>0</v>
      </c>
      <c r="BP27">
        <v>1943</v>
      </c>
      <c r="BQ27" cm="1">
        <f t="array" ref="BQ27:CH27">VLOOKUP(A27,battedball_pitchers_2019!A:U,{3,4,5,6,7,8,9,10,11,12,13,14,15,16,17,18,19,20},FALSE)</f>
        <v>0.27100000000000002</v>
      </c>
      <c r="BR27">
        <v>1.36</v>
      </c>
      <c r="BS27">
        <v>0.217</v>
      </c>
      <c r="BT27">
        <v>0.45200000000000001</v>
      </c>
      <c r="BU27">
        <v>0.33100000000000002</v>
      </c>
      <c r="BV27">
        <v>6.3E-2</v>
      </c>
      <c r="BW27">
        <v>0.109</v>
      </c>
      <c r="BX27">
        <v>133</v>
      </c>
      <c r="BY27">
        <v>5.74</v>
      </c>
      <c r="BZ27">
        <v>1081</v>
      </c>
      <c r="CA27">
        <v>2032</v>
      </c>
      <c r="CB27">
        <v>3113</v>
      </c>
      <c r="CC27">
        <v>0.38200000000000001</v>
      </c>
      <c r="CD27">
        <v>0.36199999999999999</v>
      </c>
      <c r="CE27">
        <v>0.25600000000000001</v>
      </c>
      <c r="CF27">
        <v>0.17499999999999999</v>
      </c>
      <c r="CG27">
        <v>0.46300000000000002</v>
      </c>
      <c r="CH27">
        <v>0.36199999999999999</v>
      </c>
      <c r="CI27" cm="1">
        <f t="array" ref="CI27:CS27">VLOOKUP(A27,verticalmove_pitchers_2019!A:N,{3,4,5,6,7,8,9,10,11,12,13},FALSE)</f>
        <v>208.2</v>
      </c>
      <c r="CJ27">
        <v>8.9</v>
      </c>
      <c r="CK27">
        <v>2.6</v>
      </c>
      <c r="CL27">
        <v>6.7</v>
      </c>
      <c r="CM27">
        <v>6.3</v>
      </c>
      <c r="CN27">
        <v>1.6</v>
      </c>
      <c r="CO27">
        <v>-0.5</v>
      </c>
      <c r="CP27">
        <v>-7.5</v>
      </c>
      <c r="CQ27">
        <v>-8.3000000000000007</v>
      </c>
      <c r="CR27">
        <v>0</v>
      </c>
      <c r="CS27">
        <v>0</v>
      </c>
      <c r="CT27" cm="1">
        <f t="array" ref="CT27:DD27">VLOOKUP(A27,velocity_pitchers_2019!A:N,{3,4,5,6,7,8,9,10,11,12,13},FALSE)</f>
        <v>208.2</v>
      </c>
      <c r="CU27">
        <v>90</v>
      </c>
      <c r="CV27">
        <v>86.3</v>
      </c>
      <c r="CW27">
        <v>77.8</v>
      </c>
      <c r="CX27">
        <v>90.6</v>
      </c>
      <c r="CY27">
        <v>87.5</v>
      </c>
      <c r="CZ27">
        <v>83.7</v>
      </c>
      <c r="DA27">
        <v>70.7</v>
      </c>
      <c r="DB27">
        <v>67.599999999999994</v>
      </c>
      <c r="DC27">
        <v>0</v>
      </c>
      <c r="DD27">
        <v>0</v>
      </c>
    </row>
    <row r="28" spans="1:108" x14ac:dyDescent="0.3">
      <c r="A28" t="s">
        <v>131</v>
      </c>
      <c r="B28" t="str" cm="1">
        <f t="array" ref="B28:Y28">VLOOKUP(A28,standard_pitchers_2019!A:Y,{2,3,4,5,6,7,8,9,10,11,12,13,14,15,16,17,18,19,20,21,22,23,24,25},FALSE)</f>
        <v>Cubs</v>
      </c>
      <c r="C28">
        <v>11</v>
      </c>
      <c r="D28">
        <v>10</v>
      </c>
      <c r="E28">
        <v>3.46</v>
      </c>
      <c r="F28">
        <v>30</v>
      </c>
      <c r="G28">
        <v>30</v>
      </c>
      <c r="H28">
        <v>1</v>
      </c>
      <c r="I28">
        <v>1</v>
      </c>
      <c r="J28">
        <v>0</v>
      </c>
      <c r="K28">
        <v>0</v>
      </c>
      <c r="L28">
        <v>0</v>
      </c>
      <c r="M28">
        <v>177</v>
      </c>
      <c r="N28">
        <v>730</v>
      </c>
      <c r="O28">
        <v>168</v>
      </c>
      <c r="P28">
        <v>78</v>
      </c>
      <c r="Q28">
        <v>68</v>
      </c>
      <c r="R28">
        <v>19</v>
      </c>
      <c r="S28">
        <v>32</v>
      </c>
      <c r="T28">
        <v>1</v>
      </c>
      <c r="U28">
        <v>9</v>
      </c>
      <c r="V28">
        <v>1</v>
      </c>
      <c r="W28">
        <v>0</v>
      </c>
      <c r="X28">
        <v>150</v>
      </c>
      <c r="Y28">
        <v>12049</v>
      </c>
      <c r="Z28" cm="1">
        <f t="array" ref="Z28:AR28">VLOOKUP(A28,advanced_pitchers_2019!A:Y,{3,4,5,6,7,8,9,10,11,12,13,14,15,16,17,18,19,20,21},FALSE)</f>
        <v>7.63</v>
      </c>
      <c r="AA28">
        <v>1.63</v>
      </c>
      <c r="AB28">
        <v>4.6900000000000004</v>
      </c>
      <c r="AC28">
        <v>0.97</v>
      </c>
      <c r="AD28">
        <v>0.20499999999999999</v>
      </c>
      <c r="AE28">
        <v>4.3999999999999997E-2</v>
      </c>
      <c r="AF28">
        <v>0.16200000000000001</v>
      </c>
      <c r="AG28">
        <v>0.24399999999999999</v>
      </c>
      <c r="AH28">
        <v>1.1299999999999999</v>
      </c>
      <c r="AI28">
        <v>0.28699999999999998</v>
      </c>
      <c r="AJ28">
        <v>0.71799999999999997</v>
      </c>
      <c r="AK28">
        <v>79</v>
      </c>
      <c r="AL28">
        <v>81</v>
      </c>
      <c r="AM28">
        <v>96</v>
      </c>
      <c r="AN28">
        <v>3.46</v>
      </c>
      <c r="AO28">
        <v>3.61</v>
      </c>
      <c r="AP28">
        <v>-0.15</v>
      </c>
      <c r="AQ28">
        <v>4.26</v>
      </c>
      <c r="AR28">
        <v>4.38</v>
      </c>
      <c r="AS28" cm="1">
        <f t="array" ref="AS28:BA28">VLOOKUP(A28,plate_discipline_pitchers_2019!A:L,{3,4,5,6,7,8,9,10,11},FALSE)</f>
        <v>0.35099999999999998</v>
      </c>
      <c r="AT28">
        <v>0.66100000000000003</v>
      </c>
      <c r="AU28">
        <v>0.49</v>
      </c>
      <c r="AV28">
        <v>0.68700000000000006</v>
      </c>
      <c r="AW28">
        <v>0.85799999999999998</v>
      </c>
      <c r="AX28">
        <v>0.79</v>
      </c>
      <c r="AY28">
        <v>0.44700000000000001</v>
      </c>
      <c r="AZ28">
        <v>0.66400000000000003</v>
      </c>
      <c r="BA28">
        <v>0.10299999999999999</v>
      </c>
      <c r="BB28" cm="1">
        <f t="array" ref="BB28:BP28">VLOOKUP(A28,pitchvalue_pitchers_2019!A:Q,{3,4,5,6,7,8,9,10,11,12,13,14,15,16,17},FALSE)</f>
        <v>13</v>
      </c>
      <c r="BC28">
        <v>0</v>
      </c>
      <c r="BD28">
        <v>0</v>
      </c>
      <c r="BE28">
        <v>2.6</v>
      </c>
      <c r="BF28">
        <v>-2.5</v>
      </c>
      <c r="BG28">
        <v>0</v>
      </c>
      <c r="BH28">
        <v>0</v>
      </c>
      <c r="BI28">
        <v>0.78</v>
      </c>
      <c r="BJ28">
        <v>0</v>
      </c>
      <c r="BK28">
        <v>0</v>
      </c>
      <c r="BL28">
        <v>0.98</v>
      </c>
      <c r="BM28">
        <v>-0.33</v>
      </c>
      <c r="BN28">
        <v>0</v>
      </c>
      <c r="BO28">
        <v>0</v>
      </c>
      <c r="BP28">
        <v>12049</v>
      </c>
      <c r="BQ28" cm="1">
        <f t="array" ref="BQ28:CH28">VLOOKUP(A28,battedball_pitchers_2019!A:U,{3,4,5,6,7,8,9,10,11,12,13,14,15,16,17,18,19,20},FALSE)</f>
        <v>0.28699999999999998</v>
      </c>
      <c r="BR28">
        <v>1.19</v>
      </c>
      <c r="BS28">
        <v>0.23899999999999999</v>
      </c>
      <c r="BT28">
        <v>0.41299999999999998</v>
      </c>
      <c r="BU28">
        <v>0.34799999999999998</v>
      </c>
      <c r="BV28">
        <v>9.9000000000000005E-2</v>
      </c>
      <c r="BW28">
        <v>0.104</v>
      </c>
      <c r="BX28">
        <v>91</v>
      </c>
      <c r="BY28">
        <v>4.63</v>
      </c>
      <c r="BZ28">
        <v>858</v>
      </c>
      <c r="CA28">
        <v>1840</v>
      </c>
      <c r="CB28">
        <v>2698</v>
      </c>
      <c r="CC28">
        <v>0.38100000000000001</v>
      </c>
      <c r="CD28">
        <v>0.36799999999999999</v>
      </c>
      <c r="CE28">
        <v>0.251</v>
      </c>
      <c r="CF28">
        <v>0.19700000000000001</v>
      </c>
      <c r="CG28">
        <v>0.46500000000000002</v>
      </c>
      <c r="CH28">
        <v>0.33800000000000002</v>
      </c>
      <c r="CI28" cm="1">
        <f t="array" ref="CI28:CS28">VLOOKUP(A28,verticalmove_pitchers_2019!A:N,{3,4,5,6,7,8,9,10,11,12,13},FALSE)</f>
        <v>177</v>
      </c>
      <c r="CJ28">
        <v>7.8</v>
      </c>
      <c r="CK28">
        <v>0</v>
      </c>
      <c r="CL28">
        <v>0</v>
      </c>
      <c r="CM28">
        <v>5.0999999999999996</v>
      </c>
      <c r="CN28">
        <v>5.3</v>
      </c>
      <c r="CO28">
        <v>0</v>
      </c>
      <c r="CP28">
        <v>-7.9</v>
      </c>
      <c r="CQ28">
        <v>0</v>
      </c>
      <c r="CR28">
        <v>0</v>
      </c>
      <c r="CS28">
        <v>0</v>
      </c>
      <c r="CT28" cm="1">
        <f t="array" ref="CT28:DD28">VLOOKUP(A28,velocity_pitchers_2019!A:N,{3,4,5,6,7,8,9,10,11,12,13},FALSE)</f>
        <v>177</v>
      </c>
      <c r="CU28">
        <v>87.3</v>
      </c>
      <c r="CV28">
        <v>0</v>
      </c>
      <c r="CW28">
        <v>0</v>
      </c>
      <c r="CX28">
        <v>86.9</v>
      </c>
      <c r="CY28">
        <v>78.8</v>
      </c>
      <c r="CZ28">
        <v>0</v>
      </c>
      <c r="DA28">
        <v>71.5</v>
      </c>
      <c r="DB28">
        <v>0</v>
      </c>
      <c r="DC28">
        <v>0</v>
      </c>
      <c r="DD28">
        <v>0</v>
      </c>
    </row>
    <row r="29" spans="1:108" x14ac:dyDescent="0.3">
      <c r="A29" t="s">
        <v>114</v>
      </c>
      <c r="B29" t="str" cm="1">
        <f t="array" ref="B29:Y29">VLOOKUP(A29,standard_pitchers_2019!A:Y,{2,3,4,5,6,7,8,9,10,11,12,13,14,15,16,17,18,19,20,21,22,23,24,25},FALSE)</f>
        <v>Indians</v>
      </c>
      <c r="C29">
        <v>15</v>
      </c>
      <c r="D29">
        <v>8</v>
      </c>
      <c r="E29">
        <v>3.28</v>
      </c>
      <c r="F29">
        <v>34</v>
      </c>
      <c r="G29">
        <v>33</v>
      </c>
      <c r="H29">
        <v>3</v>
      </c>
      <c r="I29">
        <v>2</v>
      </c>
      <c r="J29">
        <v>0</v>
      </c>
      <c r="K29">
        <v>0</v>
      </c>
      <c r="L29">
        <v>0</v>
      </c>
      <c r="M29">
        <v>214.1</v>
      </c>
      <c r="N29">
        <v>859</v>
      </c>
      <c r="O29">
        <v>186</v>
      </c>
      <c r="P29">
        <v>86</v>
      </c>
      <c r="Q29">
        <v>78</v>
      </c>
      <c r="R29">
        <v>31</v>
      </c>
      <c r="S29">
        <v>40</v>
      </c>
      <c r="T29">
        <v>1</v>
      </c>
      <c r="U29">
        <v>6</v>
      </c>
      <c r="V29">
        <v>6</v>
      </c>
      <c r="W29">
        <v>1</v>
      </c>
      <c r="X29">
        <v>259</v>
      </c>
      <c r="Y29">
        <v>19427</v>
      </c>
      <c r="Z29" cm="1">
        <f t="array" ref="Z29:AR29">VLOOKUP(A29,advanced_pitchers_2019!A:Y,{3,4,5,6,7,8,9,10,11,12,13,14,15,16,17,18,19,20,21},FALSE)</f>
        <v>10.88</v>
      </c>
      <c r="AA29">
        <v>1.68</v>
      </c>
      <c r="AB29">
        <v>6.48</v>
      </c>
      <c r="AC29">
        <v>1.3</v>
      </c>
      <c r="AD29">
        <v>0.30199999999999999</v>
      </c>
      <c r="AE29">
        <v>4.7E-2</v>
      </c>
      <c r="AF29">
        <v>0.255</v>
      </c>
      <c r="AG29">
        <v>0.22900000000000001</v>
      </c>
      <c r="AH29">
        <v>1.05</v>
      </c>
      <c r="AI29">
        <v>0.29599999999999999</v>
      </c>
      <c r="AJ29">
        <v>0.77400000000000002</v>
      </c>
      <c r="AK29">
        <v>68</v>
      </c>
      <c r="AL29">
        <v>73</v>
      </c>
      <c r="AM29">
        <v>71</v>
      </c>
      <c r="AN29">
        <v>3.28</v>
      </c>
      <c r="AO29">
        <v>3.32</v>
      </c>
      <c r="AP29">
        <v>-0.05</v>
      </c>
      <c r="AQ29">
        <v>3.23</v>
      </c>
      <c r="AR29">
        <v>3.36</v>
      </c>
      <c r="AS29" cm="1">
        <f t="array" ref="AS29:BA29">VLOOKUP(A29,plate_discipline_pitchers_2019!A:L,{3,4,5,6,7,8,9,10,11},FALSE)</f>
        <v>0.35</v>
      </c>
      <c r="AT29">
        <v>0.66600000000000004</v>
      </c>
      <c r="AU29">
        <v>0.47699999999999998</v>
      </c>
      <c r="AV29">
        <v>0.51300000000000001</v>
      </c>
      <c r="AW29">
        <v>0.85799999999999998</v>
      </c>
      <c r="AX29">
        <v>0.70599999999999996</v>
      </c>
      <c r="AY29">
        <v>0.4</v>
      </c>
      <c r="AZ29">
        <v>0.65300000000000002</v>
      </c>
      <c r="BA29">
        <v>0.14000000000000001</v>
      </c>
      <c r="BB29" cm="1">
        <f t="array" ref="BB29:BP29">VLOOKUP(A29,pitchvalue_pitchers_2019!A:Q,{3,4,5,6,7,8,9,10,11,12,13,14,15,16,17},FALSE)</f>
        <v>12.8</v>
      </c>
      <c r="BC29">
        <v>12.8</v>
      </c>
      <c r="BD29">
        <v>0</v>
      </c>
      <c r="BE29">
        <v>2.5</v>
      </c>
      <c r="BF29">
        <v>-1.7</v>
      </c>
      <c r="BG29">
        <v>0</v>
      </c>
      <c r="BH29">
        <v>0</v>
      </c>
      <c r="BI29">
        <v>0.84</v>
      </c>
      <c r="BJ29">
        <v>1.44</v>
      </c>
      <c r="BK29">
        <v>0</v>
      </c>
      <c r="BL29">
        <v>0.37</v>
      </c>
      <c r="BM29">
        <v>-0.69</v>
      </c>
      <c r="BN29">
        <v>0</v>
      </c>
      <c r="BO29">
        <v>0</v>
      </c>
      <c r="BP29">
        <v>19427</v>
      </c>
      <c r="BQ29" cm="1">
        <f t="array" ref="BQ29:CH29">VLOOKUP(A29,battedball_pitchers_2019!A:U,{3,4,5,6,7,8,9,10,11,12,13,14,15,16,17,18,19,20},FALSE)</f>
        <v>0.29599999999999999</v>
      </c>
      <c r="BR29">
        <v>1.25</v>
      </c>
      <c r="BS29">
        <v>0.21099999999999999</v>
      </c>
      <c r="BT29">
        <v>0.439</v>
      </c>
      <c r="BU29">
        <v>0.35</v>
      </c>
      <c r="BV29">
        <v>0.114</v>
      </c>
      <c r="BW29">
        <v>0.161</v>
      </c>
      <c r="BX29">
        <v>120</v>
      </c>
      <c r="BY29">
        <v>5.04</v>
      </c>
      <c r="BZ29">
        <v>1124</v>
      </c>
      <c r="CA29">
        <v>2208</v>
      </c>
      <c r="CB29">
        <v>3332</v>
      </c>
      <c r="CC29">
        <v>0.39400000000000002</v>
      </c>
      <c r="CD29">
        <v>0.34799999999999998</v>
      </c>
      <c r="CE29">
        <v>0.25800000000000001</v>
      </c>
      <c r="CF29">
        <v>0.13400000000000001</v>
      </c>
      <c r="CG29">
        <v>0.44</v>
      </c>
      <c r="CH29">
        <v>0.42599999999999999</v>
      </c>
      <c r="CI29" cm="1">
        <f t="array" ref="CI29:CS29">VLOOKUP(A29,verticalmove_pitchers_2019!A:N,{3,4,5,6,7,8,9,10,11,12,13},FALSE)</f>
        <v>214.1</v>
      </c>
      <c r="CJ29">
        <v>9.8000000000000007</v>
      </c>
      <c r="CK29">
        <v>0</v>
      </c>
      <c r="CL29">
        <v>0</v>
      </c>
      <c r="CM29">
        <v>8.1999999999999993</v>
      </c>
      <c r="CN29">
        <v>3.5</v>
      </c>
      <c r="CO29">
        <v>1.1000000000000001</v>
      </c>
      <c r="CP29">
        <v>-6.6</v>
      </c>
      <c r="CQ29">
        <v>0</v>
      </c>
      <c r="CR29">
        <v>0</v>
      </c>
      <c r="CS29">
        <v>0</v>
      </c>
      <c r="CT29" cm="1">
        <f t="array" ref="CT29:DD29">VLOOKUP(A29,velocity_pitchers_2019!A:N,{3,4,5,6,7,8,9,10,11,12,13},FALSE)</f>
        <v>214.1</v>
      </c>
      <c r="CU29">
        <v>93.4</v>
      </c>
      <c r="CV29">
        <v>0</v>
      </c>
      <c r="CW29">
        <v>0</v>
      </c>
      <c r="CX29">
        <v>93.8</v>
      </c>
      <c r="CY29">
        <v>87.9</v>
      </c>
      <c r="CZ29">
        <v>85.2</v>
      </c>
      <c r="DA29">
        <v>82.9</v>
      </c>
      <c r="DB29">
        <v>0</v>
      </c>
      <c r="DC29">
        <v>0</v>
      </c>
      <c r="DD29">
        <v>0</v>
      </c>
    </row>
    <row r="30" spans="1:108" x14ac:dyDescent="0.3">
      <c r="A30" t="s">
        <v>163</v>
      </c>
      <c r="B30" t="str" cm="1">
        <f t="array" ref="B30:Y30">VLOOKUP(A30,standard_pitchers_2019!A:Y,{2,3,4,5,6,7,8,9,10,11,12,13,14,15,16,17,18,19,20,21,22,23,24,25},FALSE)</f>
        <v>Cubs</v>
      </c>
      <c r="C30">
        <v>5</v>
      </c>
      <c r="D30">
        <v>3</v>
      </c>
      <c r="E30">
        <v>3.76</v>
      </c>
      <c r="F30">
        <v>38</v>
      </c>
      <c r="G30">
        <v>5</v>
      </c>
      <c r="H30">
        <v>0</v>
      </c>
      <c r="I30">
        <v>0</v>
      </c>
      <c r="J30">
        <v>2</v>
      </c>
      <c r="K30">
        <v>3</v>
      </c>
      <c r="L30">
        <v>2</v>
      </c>
      <c r="M30">
        <v>76.2</v>
      </c>
      <c r="N30">
        <v>324</v>
      </c>
      <c r="O30">
        <v>65</v>
      </c>
      <c r="P30">
        <v>33</v>
      </c>
      <c r="Q30">
        <v>32</v>
      </c>
      <c r="R30">
        <v>8</v>
      </c>
      <c r="S30">
        <v>37</v>
      </c>
      <c r="T30">
        <v>0</v>
      </c>
      <c r="U30">
        <v>5</v>
      </c>
      <c r="V30">
        <v>8</v>
      </c>
      <c r="W30">
        <v>0</v>
      </c>
      <c r="X30">
        <v>74</v>
      </c>
      <c r="Y30">
        <v>4338</v>
      </c>
      <c r="Z30" cm="1">
        <f t="array" ref="Z30:AR30">VLOOKUP(A30,advanced_pitchers_2019!A:Y,{3,4,5,6,7,8,9,10,11,12,13,14,15,16,17,18,19,20,21},FALSE)</f>
        <v>8.69</v>
      </c>
      <c r="AA30">
        <v>4.34</v>
      </c>
      <c r="AB30">
        <v>2</v>
      </c>
      <c r="AC30">
        <v>0.94</v>
      </c>
      <c r="AD30">
        <v>0.22800000000000001</v>
      </c>
      <c r="AE30">
        <v>0.114</v>
      </c>
      <c r="AF30">
        <v>0.114</v>
      </c>
      <c r="AG30">
        <v>0.23</v>
      </c>
      <c r="AH30">
        <v>1.33</v>
      </c>
      <c r="AI30">
        <v>0.28499999999999998</v>
      </c>
      <c r="AJ30">
        <v>0.77200000000000002</v>
      </c>
      <c r="AK30">
        <v>86</v>
      </c>
      <c r="AL30">
        <v>96</v>
      </c>
      <c r="AM30">
        <v>89</v>
      </c>
      <c r="AN30">
        <v>3.76</v>
      </c>
      <c r="AO30">
        <v>4.28</v>
      </c>
      <c r="AP30">
        <v>-0.53</v>
      </c>
      <c r="AQ30">
        <v>3.96</v>
      </c>
      <c r="AR30">
        <v>4.41</v>
      </c>
      <c r="AS30" cm="1">
        <f t="array" ref="AS30:BA30">VLOOKUP(A30,plate_discipline_pitchers_2019!A:L,{3,4,5,6,7,8,9,10,11},FALSE)</f>
        <v>0.27900000000000003</v>
      </c>
      <c r="AT30">
        <v>0.64200000000000002</v>
      </c>
      <c r="AU30">
        <v>0.42299999999999999</v>
      </c>
      <c r="AV30">
        <v>0.627</v>
      </c>
      <c r="AW30">
        <v>0.88</v>
      </c>
      <c r="AX30">
        <v>0.77900000000000003</v>
      </c>
      <c r="AY30">
        <v>0.39500000000000002</v>
      </c>
      <c r="AZ30">
        <v>0.54</v>
      </c>
      <c r="BA30">
        <v>9.2999999999999999E-2</v>
      </c>
      <c r="BB30" cm="1">
        <f t="array" ref="BB30:BP30">VLOOKUP(A30,pitchvalue_pitchers_2019!A:Q,{3,4,5,6,7,8,9,10,11,12,13,14,15,16,17},FALSE)</f>
        <v>12.8</v>
      </c>
      <c r="BC30">
        <v>0</v>
      </c>
      <c r="BD30">
        <v>0.7</v>
      </c>
      <c r="BE30">
        <v>-4.3</v>
      </c>
      <c r="BF30">
        <v>1.5</v>
      </c>
      <c r="BG30">
        <v>0</v>
      </c>
      <c r="BH30">
        <v>0</v>
      </c>
      <c r="BI30">
        <v>1.4</v>
      </c>
      <c r="BJ30">
        <v>0</v>
      </c>
      <c r="BK30">
        <v>0.54</v>
      </c>
      <c r="BL30">
        <v>-2.96</v>
      </c>
      <c r="BM30">
        <v>1.59</v>
      </c>
      <c r="BN30">
        <v>0</v>
      </c>
      <c r="BO30">
        <v>0</v>
      </c>
      <c r="BP30">
        <v>4338</v>
      </c>
      <c r="BQ30" cm="1">
        <f t="array" ref="BQ30:CH30">VLOOKUP(A30,battedball_pitchers_2019!A:U,{3,4,5,6,7,8,9,10,11,12,13,14,15,16,17,18,19,20},FALSE)</f>
        <v>0.28499999999999998</v>
      </c>
      <c r="BR30">
        <v>2.65</v>
      </c>
      <c r="BS30">
        <v>0.29099999999999998</v>
      </c>
      <c r="BT30">
        <v>0.51500000000000001</v>
      </c>
      <c r="BU30">
        <v>0.19400000000000001</v>
      </c>
      <c r="BV30">
        <v>0.125</v>
      </c>
      <c r="BW30">
        <v>0.2</v>
      </c>
      <c r="BX30">
        <v>51</v>
      </c>
      <c r="BY30">
        <v>5.99</v>
      </c>
      <c r="BZ30">
        <v>516</v>
      </c>
      <c r="CA30">
        <v>769</v>
      </c>
      <c r="CB30">
        <v>1285</v>
      </c>
      <c r="CC30">
        <v>0.35599999999999998</v>
      </c>
      <c r="CD30">
        <v>0.34599999999999997</v>
      </c>
      <c r="CE30">
        <v>0.29799999999999999</v>
      </c>
      <c r="CF30">
        <v>0.20200000000000001</v>
      </c>
      <c r="CG30">
        <v>0.48099999999999998</v>
      </c>
      <c r="CH30">
        <v>0.317</v>
      </c>
      <c r="CI30" cm="1">
        <f t="array" ref="CI30:CS30">VLOOKUP(A30,verticalmove_pitchers_2019!A:N,{3,4,5,6,7,8,9,10,11,12,13},FALSE)</f>
        <v>76.2</v>
      </c>
      <c r="CJ30">
        <v>8.6</v>
      </c>
      <c r="CK30">
        <v>1.9</v>
      </c>
      <c r="CL30">
        <v>0</v>
      </c>
      <c r="CM30">
        <v>7.2</v>
      </c>
      <c r="CN30">
        <v>5.0999999999999996</v>
      </c>
      <c r="CO30">
        <v>0</v>
      </c>
      <c r="CP30">
        <v>-8.5</v>
      </c>
      <c r="CQ30">
        <v>0</v>
      </c>
      <c r="CR30">
        <v>0</v>
      </c>
      <c r="CS30">
        <v>0</v>
      </c>
      <c r="CT30" cm="1">
        <f t="array" ref="CT30:DD30">VLOOKUP(A30,velocity_pitchers_2019!A:N,{3,4,5,6,7,8,9,10,11,12,13},FALSE)</f>
        <v>76.2</v>
      </c>
      <c r="CU30">
        <v>96.3</v>
      </c>
      <c r="CV30">
        <v>90.3</v>
      </c>
      <c r="CW30">
        <v>0</v>
      </c>
      <c r="CX30">
        <v>95.8</v>
      </c>
      <c r="CY30">
        <v>87.8</v>
      </c>
      <c r="CZ30">
        <v>0</v>
      </c>
      <c r="DA30">
        <v>81.400000000000006</v>
      </c>
      <c r="DB30">
        <v>0</v>
      </c>
      <c r="DC30">
        <v>0</v>
      </c>
      <c r="DD30">
        <v>0</v>
      </c>
    </row>
    <row r="31" spans="1:108" x14ac:dyDescent="0.3">
      <c r="A31" t="s">
        <v>51</v>
      </c>
      <c r="B31" t="str" cm="1">
        <f t="array" ref="B31:Y31">VLOOKUP(A31,standard_pitchers_2019!A:Y,{2,3,4,5,6,7,8,9,10,11,12,13,14,15,16,17,18,19,20,21,22,23,24,25},FALSE)</f>
        <v>Rays</v>
      </c>
      <c r="C31">
        <v>4</v>
      </c>
      <c r="D31">
        <v>2</v>
      </c>
      <c r="E31">
        <v>2.31</v>
      </c>
      <c r="F31">
        <v>66</v>
      </c>
      <c r="G31">
        <v>0</v>
      </c>
      <c r="H31">
        <v>0</v>
      </c>
      <c r="I31">
        <v>0</v>
      </c>
      <c r="J31">
        <v>20</v>
      </c>
      <c r="K31">
        <v>7</v>
      </c>
      <c r="L31">
        <v>8</v>
      </c>
      <c r="M31">
        <v>70</v>
      </c>
      <c r="N31">
        <v>267</v>
      </c>
      <c r="O31">
        <v>45</v>
      </c>
      <c r="P31">
        <v>19</v>
      </c>
      <c r="Q31">
        <v>18</v>
      </c>
      <c r="R31">
        <v>12</v>
      </c>
      <c r="S31">
        <v>13</v>
      </c>
      <c r="T31">
        <v>1</v>
      </c>
      <c r="U31">
        <v>1</v>
      </c>
      <c r="V31">
        <v>3</v>
      </c>
      <c r="W31">
        <v>0</v>
      </c>
      <c r="X31">
        <v>96</v>
      </c>
      <c r="Y31">
        <v>14771</v>
      </c>
      <c r="Z31" cm="1">
        <f t="array" ref="Z31:AR31">VLOOKUP(A31,advanced_pitchers_2019!A:Y,{3,4,5,6,7,8,9,10,11,12,13,14,15,16,17,18,19,20,21},FALSE)</f>
        <v>12.34</v>
      </c>
      <c r="AA31">
        <v>1.67</v>
      </c>
      <c r="AB31">
        <v>7.38</v>
      </c>
      <c r="AC31">
        <v>1.54</v>
      </c>
      <c r="AD31">
        <v>0.36</v>
      </c>
      <c r="AE31">
        <v>4.9000000000000002E-2</v>
      </c>
      <c r="AF31">
        <v>0.311</v>
      </c>
      <c r="AG31">
        <v>0.17799999999999999</v>
      </c>
      <c r="AH31">
        <v>0.83</v>
      </c>
      <c r="AI31">
        <v>0.22800000000000001</v>
      </c>
      <c r="AJ31">
        <v>0.94799999999999995</v>
      </c>
      <c r="AK31">
        <v>52</v>
      </c>
      <c r="AL31">
        <v>75</v>
      </c>
      <c r="AM31">
        <v>69</v>
      </c>
      <c r="AN31">
        <v>2.31</v>
      </c>
      <c r="AO31">
        <v>3.3</v>
      </c>
      <c r="AP31">
        <v>-0.99</v>
      </c>
      <c r="AQ31">
        <v>3.15</v>
      </c>
      <c r="AR31">
        <v>2.54</v>
      </c>
      <c r="AS31" cm="1">
        <f t="array" ref="AS31:BA31">VLOOKUP(A31,plate_discipline_pitchers_2019!A:L,{3,4,5,6,7,8,9,10,11},FALSE)</f>
        <v>0.38400000000000001</v>
      </c>
      <c r="AT31">
        <v>0.73399999999999999</v>
      </c>
      <c r="AU31">
        <v>0.54800000000000004</v>
      </c>
      <c r="AV31">
        <v>0.55300000000000005</v>
      </c>
      <c r="AW31">
        <v>0.751</v>
      </c>
      <c r="AX31">
        <v>0.67700000000000005</v>
      </c>
      <c r="AY31">
        <v>0.46899999999999997</v>
      </c>
      <c r="AZ31">
        <v>0.65500000000000003</v>
      </c>
      <c r="BA31">
        <v>0.17699999999999999</v>
      </c>
      <c r="BB31" cm="1">
        <f t="array" ref="BB31:BP31">VLOOKUP(A31,pitchvalue_pitchers_2019!A:Q,{3,4,5,6,7,8,9,10,11,12,13,14,15,16,17},FALSE)</f>
        <v>12.4</v>
      </c>
      <c r="BC31">
        <v>5.9</v>
      </c>
      <c r="BD31">
        <v>0</v>
      </c>
      <c r="BE31">
        <v>-0.7</v>
      </c>
      <c r="BF31">
        <v>0</v>
      </c>
      <c r="BG31">
        <v>0</v>
      </c>
      <c r="BH31">
        <v>0</v>
      </c>
      <c r="BI31">
        <v>1.88</v>
      </c>
      <c r="BJ31">
        <v>1.5</v>
      </c>
      <c r="BK31">
        <v>0</v>
      </c>
      <c r="BL31">
        <v>-3.18</v>
      </c>
      <c r="BM31">
        <v>0</v>
      </c>
      <c r="BN31">
        <v>0</v>
      </c>
      <c r="BO31">
        <v>0</v>
      </c>
      <c r="BP31">
        <v>14771</v>
      </c>
      <c r="BQ31" cm="1">
        <f t="array" ref="BQ31:CH31">VLOOKUP(A31,battedball_pitchers_2019!A:U,{3,4,5,6,7,8,9,10,11,12,13,14,15,16,17,18,19,20},FALSE)</f>
        <v>0.22800000000000001</v>
      </c>
      <c r="BR31">
        <v>0.73</v>
      </c>
      <c r="BS31">
        <v>0.192</v>
      </c>
      <c r="BT31">
        <v>0.34</v>
      </c>
      <c r="BU31">
        <v>0.46800000000000003</v>
      </c>
      <c r="BV31">
        <v>0.151</v>
      </c>
      <c r="BW31">
        <v>0.16400000000000001</v>
      </c>
      <c r="BX31">
        <v>34</v>
      </c>
      <c r="BY31">
        <v>4.37</v>
      </c>
      <c r="BZ31">
        <v>322</v>
      </c>
      <c r="CA31">
        <v>753</v>
      </c>
      <c r="CB31">
        <v>1075</v>
      </c>
      <c r="CC31">
        <v>0.442</v>
      </c>
      <c r="CD31">
        <v>0.27600000000000002</v>
      </c>
      <c r="CE31">
        <v>0.28199999999999997</v>
      </c>
      <c r="CF31">
        <v>0.186</v>
      </c>
      <c r="CG31">
        <v>0.442</v>
      </c>
      <c r="CH31">
        <v>0.372</v>
      </c>
      <c r="CI31" cm="1">
        <f t="array" ref="CI31:CS31">VLOOKUP(A31,verticalmove_pitchers_2019!A:N,{3,4,5,6,7,8,9,10,11,12,13},FALSE)</f>
        <v>70</v>
      </c>
      <c r="CJ31">
        <v>10</v>
      </c>
      <c r="CK31">
        <v>0</v>
      </c>
      <c r="CL31">
        <v>0</v>
      </c>
      <c r="CM31">
        <v>0</v>
      </c>
      <c r="CN31">
        <v>0</v>
      </c>
      <c r="CO31">
        <v>1.4</v>
      </c>
      <c r="CP31">
        <v>-8</v>
      </c>
      <c r="CQ31">
        <v>0</v>
      </c>
      <c r="CR31">
        <v>0</v>
      </c>
      <c r="CS31">
        <v>0</v>
      </c>
      <c r="CT31" cm="1">
        <f t="array" ref="CT31:DD31">VLOOKUP(A31,velocity_pitchers_2019!A:N,{3,4,5,6,7,8,9,10,11,12,13},FALSE)</f>
        <v>70</v>
      </c>
      <c r="CU31">
        <v>95.8</v>
      </c>
      <c r="CV31">
        <v>0</v>
      </c>
      <c r="CW31">
        <v>0</v>
      </c>
      <c r="CX31">
        <v>0</v>
      </c>
      <c r="CY31">
        <v>0</v>
      </c>
      <c r="CZ31">
        <v>87.8</v>
      </c>
      <c r="DA31">
        <v>80.900000000000006</v>
      </c>
      <c r="DB31">
        <v>0</v>
      </c>
      <c r="DC31">
        <v>0</v>
      </c>
      <c r="DD31">
        <v>0</v>
      </c>
    </row>
    <row r="32" spans="1:108" x14ac:dyDescent="0.3">
      <c r="A32" t="s">
        <v>142</v>
      </c>
      <c r="B32" t="str" cm="1">
        <f t="array" ref="B32:Y32">VLOOKUP(A32,standard_pitchers_2019!A:Y,{2,3,4,5,6,7,8,9,10,11,12,13,14,15,16,17,18,19,20,21,22,23,24,25},FALSE)</f>
        <v>Rangers</v>
      </c>
      <c r="C32">
        <v>14</v>
      </c>
      <c r="D32">
        <v>10</v>
      </c>
      <c r="E32">
        <v>3.59</v>
      </c>
      <c r="F32">
        <v>32</v>
      </c>
      <c r="G32">
        <v>32</v>
      </c>
      <c r="H32">
        <v>2</v>
      </c>
      <c r="I32">
        <v>1</v>
      </c>
      <c r="J32">
        <v>0</v>
      </c>
      <c r="K32">
        <v>0</v>
      </c>
      <c r="L32">
        <v>0</v>
      </c>
      <c r="M32">
        <v>208.1</v>
      </c>
      <c r="N32">
        <v>863</v>
      </c>
      <c r="O32">
        <v>190</v>
      </c>
      <c r="P32">
        <v>86</v>
      </c>
      <c r="Q32">
        <v>83</v>
      </c>
      <c r="R32">
        <v>30</v>
      </c>
      <c r="S32">
        <v>68</v>
      </c>
      <c r="T32">
        <v>1</v>
      </c>
      <c r="U32">
        <v>7</v>
      </c>
      <c r="V32">
        <v>2</v>
      </c>
      <c r="W32">
        <v>0</v>
      </c>
      <c r="X32">
        <v>200</v>
      </c>
      <c r="Y32">
        <v>10021</v>
      </c>
      <c r="Z32" cm="1">
        <f t="array" ref="Z32:AR32">VLOOKUP(A32,advanced_pitchers_2019!A:Y,{3,4,5,6,7,8,9,10,11,12,13,14,15,16,17,18,19,20,21},FALSE)</f>
        <v>8.64</v>
      </c>
      <c r="AA32">
        <v>2.94</v>
      </c>
      <c r="AB32">
        <v>2.94</v>
      </c>
      <c r="AC32">
        <v>1.3</v>
      </c>
      <c r="AD32">
        <v>0.23200000000000001</v>
      </c>
      <c r="AE32">
        <v>7.9000000000000001E-2</v>
      </c>
      <c r="AF32">
        <v>0.153</v>
      </c>
      <c r="AG32">
        <v>0.24099999999999999</v>
      </c>
      <c r="AH32">
        <v>1.24</v>
      </c>
      <c r="AI32">
        <v>0.28699999999999998</v>
      </c>
      <c r="AJ32">
        <v>0.80300000000000005</v>
      </c>
      <c r="AK32">
        <v>71</v>
      </c>
      <c r="AL32">
        <v>89</v>
      </c>
      <c r="AM32">
        <v>100</v>
      </c>
      <c r="AN32">
        <v>3.59</v>
      </c>
      <c r="AO32">
        <v>4.25</v>
      </c>
      <c r="AP32">
        <v>-0.66</v>
      </c>
      <c r="AQ32">
        <v>4.5999999999999996</v>
      </c>
      <c r="AR32">
        <v>4.51</v>
      </c>
      <c r="AS32" cm="1">
        <f t="array" ref="AS32:BA32">VLOOKUP(A32,plate_discipline_pitchers_2019!A:L,{3,4,5,6,7,8,9,10,11},FALSE)</f>
        <v>0.31900000000000001</v>
      </c>
      <c r="AT32">
        <v>0.68500000000000005</v>
      </c>
      <c r="AU32">
        <v>0.47599999999999998</v>
      </c>
      <c r="AV32">
        <v>0.66900000000000004</v>
      </c>
      <c r="AW32">
        <v>0.81499999999999995</v>
      </c>
      <c r="AX32">
        <v>0.75900000000000001</v>
      </c>
      <c r="AY32">
        <v>0.42899999999999999</v>
      </c>
      <c r="AZ32">
        <v>0.61099999999999999</v>
      </c>
      <c r="BA32">
        <v>0.115</v>
      </c>
      <c r="BB32" cm="1">
        <f t="array" ref="BB32:BP32">VLOOKUP(A32,pitchvalue_pitchers_2019!A:Q,{3,4,5,6,7,8,9,10,11,12,13,14,15,16,17},FALSE)</f>
        <v>12.3</v>
      </c>
      <c r="BC32">
        <v>-10.3</v>
      </c>
      <c r="BD32">
        <v>0</v>
      </c>
      <c r="BE32">
        <v>-2.4</v>
      </c>
      <c r="BF32">
        <v>22.8</v>
      </c>
      <c r="BG32">
        <v>0</v>
      </c>
      <c r="BH32">
        <v>0</v>
      </c>
      <c r="BI32">
        <v>0.82</v>
      </c>
      <c r="BJ32">
        <v>-1.57</v>
      </c>
      <c r="BK32">
        <v>0</v>
      </c>
      <c r="BL32">
        <v>-0.62</v>
      </c>
      <c r="BM32">
        <v>2.76</v>
      </c>
      <c r="BN32">
        <v>0</v>
      </c>
      <c r="BO32">
        <v>-3.89</v>
      </c>
      <c r="BP32">
        <v>10021</v>
      </c>
      <c r="BQ32" cm="1">
        <f t="array" ref="BQ32:CH32">VLOOKUP(A32,battedball_pitchers_2019!A:U,{3,4,5,6,7,8,9,10,11,12,13,14,15,16,17,18,19,20},FALSE)</f>
        <v>0.28699999999999998</v>
      </c>
      <c r="BR32">
        <v>1</v>
      </c>
      <c r="BS32">
        <v>0.19900000000000001</v>
      </c>
      <c r="BT32">
        <v>0.4</v>
      </c>
      <c r="BU32">
        <v>0.4</v>
      </c>
      <c r="BV32">
        <v>0.129</v>
      </c>
      <c r="BW32">
        <v>0.129</v>
      </c>
      <c r="BX32">
        <v>114</v>
      </c>
      <c r="BY32">
        <v>4.92</v>
      </c>
      <c r="BZ32">
        <v>1186</v>
      </c>
      <c r="CA32">
        <v>2172</v>
      </c>
      <c r="CB32">
        <v>3358</v>
      </c>
      <c r="CC32">
        <v>0.46600000000000003</v>
      </c>
      <c r="CD32">
        <v>0.33</v>
      </c>
      <c r="CE32">
        <v>0.20399999999999999</v>
      </c>
      <c r="CF32">
        <v>0.189</v>
      </c>
      <c r="CG32">
        <v>0.45700000000000002</v>
      </c>
      <c r="CH32">
        <v>0.35399999999999998</v>
      </c>
      <c r="CI32" cm="1">
        <f t="array" ref="CI32:CS32">VLOOKUP(A32,verticalmove_pitchers_2019!A:N,{3,4,5,6,7,8,9,10,11,12,13},FALSE)</f>
        <v>208.1</v>
      </c>
      <c r="CJ32">
        <v>8.1</v>
      </c>
      <c r="CK32">
        <v>0</v>
      </c>
      <c r="CL32">
        <v>0</v>
      </c>
      <c r="CM32">
        <v>0</v>
      </c>
      <c r="CN32">
        <v>5.8</v>
      </c>
      <c r="CO32">
        <v>0.9</v>
      </c>
      <c r="CP32">
        <v>-6.8</v>
      </c>
      <c r="CQ32">
        <v>0</v>
      </c>
      <c r="CR32">
        <v>0</v>
      </c>
      <c r="CS32">
        <v>0</v>
      </c>
      <c r="CT32" cm="1">
        <f t="array" ref="CT32:DD32">VLOOKUP(A32,velocity_pitchers_2019!A:N,{3,4,5,6,7,8,9,10,11,12,13},FALSE)</f>
        <v>208.1</v>
      </c>
      <c r="CU32">
        <v>92.7</v>
      </c>
      <c r="CV32">
        <v>0</v>
      </c>
      <c r="CW32">
        <v>0</v>
      </c>
      <c r="CX32">
        <v>88.1</v>
      </c>
      <c r="CY32">
        <v>86.3</v>
      </c>
      <c r="CZ32">
        <v>86.5</v>
      </c>
      <c r="DA32">
        <v>80.8</v>
      </c>
      <c r="DB32">
        <v>0</v>
      </c>
      <c r="DC32">
        <v>0</v>
      </c>
      <c r="DD32">
        <v>0</v>
      </c>
    </row>
    <row r="33" spans="1:108" x14ac:dyDescent="0.3">
      <c r="A33" t="s">
        <v>68</v>
      </c>
      <c r="B33" t="str" cm="1">
        <f t="array" ref="B33:Y33">VLOOKUP(A33,standard_pitchers_2019!A:Y,{2,3,4,5,6,7,8,9,10,11,12,13,14,15,16,17,18,19,20,21,22,23,24,25},FALSE)</f>
        <v>Astros</v>
      </c>
      <c r="C33">
        <v>21</v>
      </c>
      <c r="D33">
        <v>6</v>
      </c>
      <c r="E33">
        <v>2.58</v>
      </c>
      <c r="F33">
        <v>34</v>
      </c>
      <c r="G33">
        <v>34</v>
      </c>
      <c r="H33">
        <v>2</v>
      </c>
      <c r="I33">
        <v>1</v>
      </c>
      <c r="J33">
        <v>0</v>
      </c>
      <c r="K33">
        <v>0</v>
      </c>
      <c r="L33">
        <v>0</v>
      </c>
      <c r="M33">
        <v>223</v>
      </c>
      <c r="N33">
        <v>847</v>
      </c>
      <c r="O33">
        <v>137</v>
      </c>
      <c r="P33">
        <v>66</v>
      </c>
      <c r="Q33">
        <v>64</v>
      </c>
      <c r="R33">
        <v>36</v>
      </c>
      <c r="S33">
        <v>42</v>
      </c>
      <c r="T33">
        <v>0</v>
      </c>
      <c r="U33">
        <v>6</v>
      </c>
      <c r="V33">
        <v>4</v>
      </c>
      <c r="W33">
        <v>0</v>
      </c>
      <c r="X33">
        <v>300</v>
      </c>
      <c r="Y33">
        <v>8700</v>
      </c>
      <c r="Z33" cm="1">
        <f t="array" ref="Z33:AR33">VLOOKUP(A33,advanced_pitchers_2019!A:Y,{3,4,5,6,7,8,9,10,11,12,13,14,15,16,17,18,19,20,21},FALSE)</f>
        <v>12.11</v>
      </c>
      <c r="AA33">
        <v>1.7</v>
      </c>
      <c r="AB33">
        <v>7.14</v>
      </c>
      <c r="AC33">
        <v>1.45</v>
      </c>
      <c r="AD33">
        <v>0.35399999999999998</v>
      </c>
      <c r="AE33">
        <v>0.05</v>
      </c>
      <c r="AF33">
        <v>0.30499999999999999</v>
      </c>
      <c r="AG33">
        <v>0.17100000000000001</v>
      </c>
      <c r="AH33">
        <v>0.8</v>
      </c>
      <c r="AI33">
        <v>0.218</v>
      </c>
      <c r="AJ33">
        <v>0.88400000000000001</v>
      </c>
      <c r="AK33">
        <v>58</v>
      </c>
      <c r="AL33">
        <v>73</v>
      </c>
      <c r="AM33">
        <v>70</v>
      </c>
      <c r="AN33">
        <v>2.58</v>
      </c>
      <c r="AO33">
        <v>3.27</v>
      </c>
      <c r="AP33">
        <v>-0.68</v>
      </c>
      <c r="AQ33">
        <v>3.18</v>
      </c>
      <c r="AR33">
        <v>2.95</v>
      </c>
      <c r="AS33" cm="1">
        <f t="array" ref="AS33:BA33">VLOOKUP(A33,plate_discipline_pitchers_2019!A:L,{3,4,5,6,7,8,9,10,11},FALSE)</f>
        <v>0.372</v>
      </c>
      <c r="AT33">
        <v>0.69399999999999995</v>
      </c>
      <c r="AU33">
        <v>0.51700000000000002</v>
      </c>
      <c r="AV33">
        <v>0.55100000000000005</v>
      </c>
      <c r="AW33">
        <v>0.77700000000000002</v>
      </c>
      <c r="AX33">
        <v>0.68799999999999994</v>
      </c>
      <c r="AY33">
        <v>0.45200000000000001</v>
      </c>
      <c r="AZ33">
        <v>0.64300000000000002</v>
      </c>
      <c r="BA33">
        <v>0.161</v>
      </c>
      <c r="BB33" cm="1">
        <f t="array" ref="BB33:BP33">VLOOKUP(A33,pitchvalue_pitchers_2019!A:Q,{3,4,5,6,7,8,9,10,11,12,13,14,15,16,17},FALSE)</f>
        <v>12.2</v>
      </c>
      <c r="BC33">
        <v>34.299999999999997</v>
      </c>
      <c r="BD33">
        <v>0</v>
      </c>
      <c r="BE33">
        <v>5.6</v>
      </c>
      <c r="BF33">
        <v>2.2999999999999998</v>
      </c>
      <c r="BG33">
        <v>0</v>
      </c>
      <c r="BH33">
        <v>0</v>
      </c>
      <c r="BI33">
        <v>0.71</v>
      </c>
      <c r="BJ33">
        <v>3.5</v>
      </c>
      <c r="BK33">
        <v>0</v>
      </c>
      <c r="BL33">
        <v>0.94</v>
      </c>
      <c r="BM33">
        <v>1.59</v>
      </c>
      <c r="BN33">
        <v>0</v>
      </c>
      <c r="BO33">
        <v>0</v>
      </c>
      <c r="BP33">
        <v>8700</v>
      </c>
      <c r="BQ33" cm="1">
        <f t="array" ref="BQ33:CH33">VLOOKUP(A33,battedball_pitchers_2019!A:U,{3,4,5,6,7,8,9,10,11,12,13,14,15,16,17,18,19,20},FALSE)</f>
        <v>0.218</v>
      </c>
      <c r="BR33">
        <v>0.8</v>
      </c>
      <c r="BS33">
        <v>0.189</v>
      </c>
      <c r="BT33">
        <v>0.35899999999999999</v>
      </c>
      <c r="BU33">
        <v>0.45200000000000001</v>
      </c>
      <c r="BV33">
        <v>0.124</v>
      </c>
      <c r="BW33">
        <v>0.16</v>
      </c>
      <c r="BX33">
        <v>141</v>
      </c>
      <c r="BY33">
        <v>5.69</v>
      </c>
      <c r="BZ33">
        <v>1087</v>
      </c>
      <c r="CA33">
        <v>2361</v>
      </c>
      <c r="CB33">
        <v>3448</v>
      </c>
      <c r="CC33">
        <v>0.44400000000000001</v>
      </c>
      <c r="CD33">
        <v>0.35299999999999998</v>
      </c>
      <c r="CE33">
        <v>0.20300000000000001</v>
      </c>
      <c r="CF33">
        <v>0.17100000000000001</v>
      </c>
      <c r="CG33">
        <v>0.41199999999999998</v>
      </c>
      <c r="CH33">
        <v>0.41799999999999998</v>
      </c>
      <c r="CI33" cm="1">
        <f t="array" ref="CI33:CS33">VLOOKUP(A33,verticalmove_pitchers_2019!A:N,{3,4,5,6,7,8,9,10,11,12,13},FALSE)</f>
        <v>223</v>
      </c>
      <c r="CJ33">
        <v>10.9</v>
      </c>
      <c r="CK33">
        <v>0</v>
      </c>
      <c r="CL33">
        <v>0</v>
      </c>
      <c r="CM33">
        <v>8.3000000000000007</v>
      </c>
      <c r="CN33">
        <v>4.9000000000000004</v>
      </c>
      <c r="CO33">
        <v>2.6</v>
      </c>
      <c r="CP33">
        <v>-8</v>
      </c>
      <c r="CQ33">
        <v>0</v>
      </c>
      <c r="CR33">
        <v>0</v>
      </c>
      <c r="CS33">
        <v>0</v>
      </c>
      <c r="CT33" cm="1">
        <f t="array" ref="CT33:DD33">VLOOKUP(A33,velocity_pitchers_2019!A:N,{3,4,5,6,7,8,9,10,11,12,13},FALSE)</f>
        <v>223</v>
      </c>
      <c r="CU33">
        <v>94.8</v>
      </c>
      <c r="CV33">
        <v>0</v>
      </c>
      <c r="CW33">
        <v>0</v>
      </c>
      <c r="CX33">
        <v>93.4</v>
      </c>
      <c r="CY33">
        <v>87.2</v>
      </c>
      <c r="CZ33">
        <v>87.7</v>
      </c>
      <c r="DA33">
        <v>79.5</v>
      </c>
      <c r="DB33">
        <v>0</v>
      </c>
      <c r="DC33">
        <v>0</v>
      </c>
      <c r="DD33">
        <v>0</v>
      </c>
    </row>
    <row r="34" spans="1:108" x14ac:dyDescent="0.3">
      <c r="A34" t="s">
        <v>282</v>
      </c>
      <c r="B34" t="str" cm="1">
        <f t="array" ref="B34:Y34">VLOOKUP(A34,standard_pitchers_2019!A:Y,{2,3,4,5,6,7,8,9,10,11,12,13,14,15,16,17,18,19,20,21,22,23,24,25},FALSE)</f>
        <v>Rays</v>
      </c>
      <c r="C34">
        <v>5</v>
      </c>
      <c r="D34">
        <v>5</v>
      </c>
      <c r="E34">
        <v>4.7</v>
      </c>
      <c r="F34">
        <v>51</v>
      </c>
      <c r="G34">
        <v>0</v>
      </c>
      <c r="H34">
        <v>0</v>
      </c>
      <c r="I34">
        <v>0</v>
      </c>
      <c r="J34">
        <v>2</v>
      </c>
      <c r="K34">
        <v>16</v>
      </c>
      <c r="L34">
        <v>4</v>
      </c>
      <c r="M34">
        <v>51.2</v>
      </c>
      <c r="N34">
        <v>207</v>
      </c>
      <c r="O34">
        <v>33</v>
      </c>
      <c r="P34">
        <v>27</v>
      </c>
      <c r="Q34">
        <v>27</v>
      </c>
      <c r="R34">
        <v>9</v>
      </c>
      <c r="S34">
        <v>19</v>
      </c>
      <c r="T34">
        <v>1</v>
      </c>
      <c r="U34">
        <v>5</v>
      </c>
      <c r="V34">
        <v>2</v>
      </c>
      <c r="W34">
        <v>0</v>
      </c>
      <c r="X34">
        <v>72</v>
      </c>
      <c r="Y34">
        <v>19403</v>
      </c>
      <c r="Z34" cm="1">
        <f t="array" ref="Z34:AR34">VLOOKUP(A34,advanced_pitchers_2019!A:Y,{3,4,5,6,7,8,9,10,11,12,13,14,15,16,17,18,19,20,21},FALSE)</f>
        <v>12.54</v>
      </c>
      <c r="AA34">
        <v>3.31</v>
      </c>
      <c r="AB34">
        <v>3.79</v>
      </c>
      <c r="AC34">
        <v>1.57</v>
      </c>
      <c r="AD34">
        <v>0.34799999999999998</v>
      </c>
      <c r="AE34">
        <v>9.1999999999999998E-2</v>
      </c>
      <c r="AF34">
        <v>0.25600000000000001</v>
      </c>
      <c r="AG34">
        <v>0.18</v>
      </c>
      <c r="AH34">
        <v>1.01</v>
      </c>
      <c r="AI34">
        <v>0.23499999999999999</v>
      </c>
      <c r="AJ34">
        <v>0.67600000000000005</v>
      </c>
      <c r="AK34">
        <v>106</v>
      </c>
      <c r="AL34">
        <v>93</v>
      </c>
      <c r="AM34">
        <v>97</v>
      </c>
      <c r="AN34">
        <v>4.7</v>
      </c>
      <c r="AO34">
        <v>4.08</v>
      </c>
      <c r="AP34">
        <v>0.62</v>
      </c>
      <c r="AQ34">
        <v>4.4400000000000004</v>
      </c>
      <c r="AR34">
        <v>3.36</v>
      </c>
      <c r="AS34" cm="1">
        <f t="array" ref="AS34:BA34">VLOOKUP(A34,plate_discipline_pitchers_2019!A:L,{3,4,5,6,7,8,9,10,11},FALSE)</f>
        <v>0.36299999999999999</v>
      </c>
      <c r="AT34">
        <v>0.754</v>
      </c>
      <c r="AU34">
        <v>0.53400000000000003</v>
      </c>
      <c r="AV34">
        <v>0.621</v>
      </c>
      <c r="AW34">
        <v>0.71199999999999997</v>
      </c>
      <c r="AX34">
        <v>0.67700000000000005</v>
      </c>
      <c r="AY34">
        <v>0.439</v>
      </c>
      <c r="AZ34">
        <v>0.65700000000000003</v>
      </c>
      <c r="BA34">
        <v>0.17199999999999999</v>
      </c>
      <c r="BB34" cm="1">
        <f t="array" ref="BB34:BP34">VLOOKUP(A34,pitchvalue_pitchers_2019!A:Q,{3,4,5,6,7,8,9,10,11,12,13,14,15,16,17},FALSE)</f>
        <v>11.8</v>
      </c>
      <c r="BC34">
        <v>1.2</v>
      </c>
      <c r="BD34">
        <v>0</v>
      </c>
      <c r="BE34">
        <v>0</v>
      </c>
      <c r="BF34">
        <v>0</v>
      </c>
      <c r="BG34">
        <v>-2.7</v>
      </c>
      <c r="BH34">
        <v>0</v>
      </c>
      <c r="BI34">
        <v>1.53</v>
      </c>
      <c r="BJ34">
        <v>1.48</v>
      </c>
      <c r="BK34">
        <v>0</v>
      </c>
      <c r="BL34">
        <v>0</v>
      </c>
      <c r="BM34">
        <v>0</v>
      </c>
      <c r="BN34">
        <v>-17.18</v>
      </c>
      <c r="BO34">
        <v>0</v>
      </c>
      <c r="BP34">
        <v>19403</v>
      </c>
      <c r="BQ34" cm="1">
        <f t="array" ref="BQ34:CH34">VLOOKUP(A34,battedball_pitchers_2019!A:U,{3,4,5,6,7,8,9,10,11,12,13,14,15,16,17,18,19,20},FALSE)</f>
        <v>0.23499999999999999</v>
      </c>
      <c r="BR34">
        <v>0.28999999999999998</v>
      </c>
      <c r="BS34">
        <v>0.193</v>
      </c>
      <c r="BT34">
        <v>0.183</v>
      </c>
      <c r="BU34">
        <v>0.624</v>
      </c>
      <c r="BV34">
        <v>0.16200000000000001</v>
      </c>
      <c r="BW34">
        <v>0.13200000000000001</v>
      </c>
      <c r="BX34">
        <v>20</v>
      </c>
      <c r="BY34">
        <v>3.48</v>
      </c>
      <c r="BZ34">
        <v>287</v>
      </c>
      <c r="CA34">
        <v>583</v>
      </c>
      <c r="CB34">
        <v>870</v>
      </c>
      <c r="CC34">
        <v>0.26100000000000001</v>
      </c>
      <c r="CD34">
        <v>0.32400000000000001</v>
      </c>
      <c r="CE34">
        <v>0.41399999999999998</v>
      </c>
      <c r="CF34">
        <v>0.18</v>
      </c>
      <c r="CG34">
        <v>0.41399999999999998</v>
      </c>
      <c r="CH34">
        <v>0.40500000000000003</v>
      </c>
      <c r="CI34" cm="1">
        <f t="array" ref="CI34:CS34">VLOOKUP(A34,verticalmove_pitchers_2019!A:N,{3,4,5,6,7,8,9,10,11,12,13},FALSE)</f>
        <v>51.2</v>
      </c>
      <c r="CJ34">
        <v>11.4</v>
      </c>
      <c r="CK34">
        <v>0</v>
      </c>
      <c r="CL34">
        <v>5.7</v>
      </c>
      <c r="CM34">
        <v>0</v>
      </c>
      <c r="CN34">
        <v>0</v>
      </c>
      <c r="CO34">
        <v>1.1000000000000001</v>
      </c>
      <c r="CP34">
        <v>12.4</v>
      </c>
      <c r="CQ34">
        <v>0</v>
      </c>
      <c r="CR34">
        <v>0</v>
      </c>
      <c r="CS34">
        <v>0</v>
      </c>
      <c r="CT34" cm="1">
        <f t="array" ref="CT34:DD34">VLOOKUP(A34,velocity_pitchers_2019!A:N,{3,4,5,6,7,8,9,10,11,12,13},FALSE)</f>
        <v>51.2</v>
      </c>
      <c r="CU34">
        <v>93.2</v>
      </c>
      <c r="CV34">
        <v>0</v>
      </c>
      <c r="CW34">
        <v>83.4</v>
      </c>
      <c r="CX34">
        <v>0</v>
      </c>
      <c r="CY34">
        <v>0</v>
      </c>
      <c r="CZ34">
        <v>84.2</v>
      </c>
      <c r="DA34">
        <v>91.1</v>
      </c>
      <c r="DB34">
        <v>0</v>
      </c>
      <c r="DC34">
        <v>0</v>
      </c>
      <c r="DD34">
        <v>0</v>
      </c>
    </row>
    <row r="35" spans="1:108" x14ac:dyDescent="0.3">
      <c r="A35" t="s">
        <v>220</v>
      </c>
      <c r="B35" t="str" cm="1">
        <f t="array" ref="B35:Y35">VLOOKUP(A35,standard_pitchers_2019!A:Y,{2,3,4,5,6,7,8,9,10,11,12,13,14,15,16,17,18,19,20,21,22,23,24,25},FALSE)</f>
        <v>Padres</v>
      </c>
      <c r="C35">
        <v>10</v>
      </c>
      <c r="D35">
        <v>10</v>
      </c>
      <c r="E35">
        <v>4.18</v>
      </c>
      <c r="F35">
        <v>30</v>
      </c>
      <c r="G35">
        <v>30</v>
      </c>
      <c r="H35">
        <v>0</v>
      </c>
      <c r="I35">
        <v>0</v>
      </c>
      <c r="J35">
        <v>0</v>
      </c>
      <c r="K35">
        <v>0</v>
      </c>
      <c r="L35">
        <v>0</v>
      </c>
      <c r="M35">
        <v>163.19999999999999</v>
      </c>
      <c r="N35">
        <v>686</v>
      </c>
      <c r="O35">
        <v>144</v>
      </c>
      <c r="P35">
        <v>78</v>
      </c>
      <c r="Q35">
        <v>76</v>
      </c>
      <c r="R35">
        <v>23</v>
      </c>
      <c r="S35">
        <v>56</v>
      </c>
      <c r="T35">
        <v>0</v>
      </c>
      <c r="U35">
        <v>2</v>
      </c>
      <c r="V35">
        <v>8</v>
      </c>
      <c r="W35">
        <v>0</v>
      </c>
      <c r="X35">
        <v>158</v>
      </c>
      <c r="Y35">
        <v>19320</v>
      </c>
      <c r="Z35" cm="1">
        <f t="array" ref="Z35:AR35">VLOOKUP(A35,advanced_pitchers_2019!A:Y,{3,4,5,6,7,8,9,10,11,12,13,14,15,16,17,18,19,20,21},FALSE)</f>
        <v>8.69</v>
      </c>
      <c r="AA35">
        <v>3.08</v>
      </c>
      <c r="AB35">
        <v>2.82</v>
      </c>
      <c r="AC35">
        <v>1.26</v>
      </c>
      <c r="AD35">
        <v>0.23</v>
      </c>
      <c r="AE35">
        <v>8.2000000000000003E-2</v>
      </c>
      <c r="AF35">
        <v>0.14899999999999999</v>
      </c>
      <c r="AG35">
        <v>0.22900000000000001</v>
      </c>
      <c r="AH35">
        <v>1.22</v>
      </c>
      <c r="AI35">
        <v>0.27100000000000002</v>
      </c>
      <c r="AJ35">
        <v>0.73</v>
      </c>
      <c r="AK35">
        <v>98</v>
      </c>
      <c r="AL35">
        <v>95</v>
      </c>
      <c r="AM35">
        <v>98</v>
      </c>
      <c r="AN35">
        <v>4.18</v>
      </c>
      <c r="AO35">
        <v>4.17</v>
      </c>
      <c r="AP35">
        <v>0.01</v>
      </c>
      <c r="AQ35">
        <v>4.3600000000000003</v>
      </c>
      <c r="AR35">
        <v>4.4800000000000004</v>
      </c>
      <c r="AS35" cm="1">
        <f t="array" ref="AS35:BA35">VLOOKUP(A35,plate_discipline_pitchers_2019!A:L,{3,4,5,6,7,8,9,10,11},FALSE)</f>
        <v>0.29399999999999998</v>
      </c>
      <c r="AT35">
        <v>0.68600000000000005</v>
      </c>
      <c r="AU35">
        <v>0.44800000000000001</v>
      </c>
      <c r="AV35">
        <v>0.60399999999999998</v>
      </c>
      <c r="AW35">
        <v>0.879</v>
      </c>
      <c r="AX35">
        <v>0.76900000000000002</v>
      </c>
      <c r="AY35">
        <v>0.39200000000000002</v>
      </c>
      <c r="AZ35">
        <v>0.625</v>
      </c>
      <c r="BA35">
        <v>0.10299999999999999</v>
      </c>
      <c r="BB35" cm="1">
        <f t="array" ref="BB35:BP35">VLOOKUP(A35,pitchvalue_pitchers_2019!A:Q,{3,4,5,6,7,8,9,10,11,12,13,14,15,16,17},FALSE)</f>
        <v>11.6</v>
      </c>
      <c r="BC35">
        <v>-0.1</v>
      </c>
      <c r="BD35">
        <v>-5.4</v>
      </c>
      <c r="BE35">
        <v>-1.1000000000000001</v>
      </c>
      <c r="BF35">
        <v>6.8</v>
      </c>
      <c r="BG35">
        <v>0</v>
      </c>
      <c r="BH35">
        <v>0</v>
      </c>
      <c r="BI35">
        <v>0.86</v>
      </c>
      <c r="BJ35">
        <v>-2.98</v>
      </c>
      <c r="BK35">
        <v>-1.48</v>
      </c>
      <c r="BL35">
        <v>-11.17</v>
      </c>
      <c r="BM35">
        <v>0.74</v>
      </c>
      <c r="BN35">
        <v>0</v>
      </c>
      <c r="BO35">
        <v>0</v>
      </c>
      <c r="BP35">
        <v>19320</v>
      </c>
      <c r="BQ35" cm="1">
        <f t="array" ref="BQ35:CH35">VLOOKUP(A35,battedball_pitchers_2019!A:U,{3,4,5,6,7,8,9,10,11,12,13,14,15,16,17,18,19,20},FALSE)</f>
        <v>0.27100000000000002</v>
      </c>
      <c r="BR35">
        <v>1.3</v>
      </c>
      <c r="BS35">
        <v>0.17</v>
      </c>
      <c r="BT35">
        <v>0.47</v>
      </c>
      <c r="BU35">
        <v>0.36099999999999999</v>
      </c>
      <c r="BV35">
        <v>8.4000000000000005E-2</v>
      </c>
      <c r="BW35">
        <v>0.13900000000000001</v>
      </c>
      <c r="BX35">
        <v>77</v>
      </c>
      <c r="BY35">
        <v>4.2300000000000004</v>
      </c>
      <c r="BZ35">
        <v>982</v>
      </c>
      <c r="CA35">
        <v>1661</v>
      </c>
      <c r="CB35">
        <v>2643</v>
      </c>
      <c r="CC35">
        <v>0.33400000000000002</v>
      </c>
      <c r="CD35">
        <v>0.4</v>
      </c>
      <c r="CE35">
        <v>0.26600000000000001</v>
      </c>
      <c r="CF35">
        <v>0.17399999999999999</v>
      </c>
      <c r="CG35">
        <v>0.45500000000000002</v>
      </c>
      <c r="CH35">
        <v>0.37</v>
      </c>
      <c r="CI35" cm="1">
        <f t="array" ref="CI35:CS35">VLOOKUP(A35,verticalmove_pitchers_2019!A:N,{3,4,5,6,7,8,9,10,11,12,13},FALSE)</f>
        <v>163.19999999999999</v>
      </c>
      <c r="CJ35">
        <v>8.1999999999999993</v>
      </c>
      <c r="CK35">
        <v>6.9</v>
      </c>
      <c r="CL35">
        <v>0</v>
      </c>
      <c r="CM35">
        <v>7</v>
      </c>
      <c r="CN35">
        <v>-0.8</v>
      </c>
      <c r="CO35">
        <v>8.8000000000000007</v>
      </c>
      <c r="CP35">
        <v>-4.2</v>
      </c>
      <c r="CQ35">
        <v>0</v>
      </c>
      <c r="CR35">
        <v>0</v>
      </c>
      <c r="CS35">
        <v>0</v>
      </c>
      <c r="CT35" cm="1">
        <f t="array" ref="CT35:DD35">VLOOKUP(A35,velocity_pitchers_2019!A:N,{3,4,5,6,7,8,9,10,11,12,13},FALSE)</f>
        <v>163.19999999999999</v>
      </c>
      <c r="CU35">
        <v>90.8</v>
      </c>
      <c r="CV35">
        <v>90.2</v>
      </c>
      <c r="CW35">
        <v>0</v>
      </c>
      <c r="CX35">
        <v>90.5</v>
      </c>
      <c r="CY35">
        <v>79.2</v>
      </c>
      <c r="CZ35">
        <v>90.9</v>
      </c>
      <c r="DA35">
        <v>76.2</v>
      </c>
      <c r="DB35">
        <v>0</v>
      </c>
      <c r="DC35">
        <v>0</v>
      </c>
      <c r="DD35">
        <v>0</v>
      </c>
    </row>
    <row r="36" spans="1:108" x14ac:dyDescent="0.3">
      <c r="A36" t="s">
        <v>153</v>
      </c>
      <c r="B36" t="str" cm="1">
        <f t="array" ref="B36:Y36">VLOOKUP(A36,standard_pitchers_2019!A:Y,{2,3,4,5,6,7,8,9,10,11,12,13,14,15,16,17,18,19,20,21,22,23,24,25},FALSE)</f>
        <v>Twins</v>
      </c>
      <c r="C36">
        <v>14</v>
      </c>
      <c r="D36">
        <v>8</v>
      </c>
      <c r="E36">
        <v>3.68</v>
      </c>
      <c r="F36">
        <v>32</v>
      </c>
      <c r="G36">
        <v>32</v>
      </c>
      <c r="H36">
        <v>1</v>
      </c>
      <c r="I36">
        <v>0</v>
      </c>
      <c r="J36">
        <v>0</v>
      </c>
      <c r="K36">
        <v>0</v>
      </c>
      <c r="L36">
        <v>0</v>
      </c>
      <c r="M36">
        <v>200.1</v>
      </c>
      <c r="N36">
        <v>842</v>
      </c>
      <c r="O36">
        <v>194</v>
      </c>
      <c r="P36">
        <v>94</v>
      </c>
      <c r="Q36">
        <v>82</v>
      </c>
      <c r="R36">
        <v>26</v>
      </c>
      <c r="S36">
        <v>51</v>
      </c>
      <c r="T36">
        <v>0</v>
      </c>
      <c r="U36">
        <v>9</v>
      </c>
      <c r="V36">
        <v>8</v>
      </c>
      <c r="W36">
        <v>1</v>
      </c>
      <c r="X36">
        <v>195</v>
      </c>
      <c r="Y36">
        <v>14168</v>
      </c>
      <c r="Z36" cm="1">
        <f t="array" ref="Z36:AR36">VLOOKUP(A36,advanced_pitchers_2019!A:Y,{3,4,5,6,7,8,9,10,11,12,13,14,15,16,17,18,19,20,21},FALSE)</f>
        <v>8.76</v>
      </c>
      <c r="AA36">
        <v>2.29</v>
      </c>
      <c r="AB36">
        <v>3.82</v>
      </c>
      <c r="AC36">
        <v>1.17</v>
      </c>
      <c r="AD36">
        <v>0.23200000000000001</v>
      </c>
      <c r="AE36">
        <v>6.0999999999999999E-2</v>
      </c>
      <c r="AF36">
        <v>0.17100000000000001</v>
      </c>
      <c r="AG36">
        <v>0.248</v>
      </c>
      <c r="AH36">
        <v>1.22</v>
      </c>
      <c r="AI36">
        <v>0.29899999999999999</v>
      </c>
      <c r="AJ36">
        <v>0.73499999999999999</v>
      </c>
      <c r="AK36">
        <v>79</v>
      </c>
      <c r="AL36">
        <v>84</v>
      </c>
      <c r="AM36">
        <v>94</v>
      </c>
      <c r="AN36">
        <v>3.68</v>
      </c>
      <c r="AO36">
        <v>3.85</v>
      </c>
      <c r="AP36">
        <v>-0.17</v>
      </c>
      <c r="AQ36">
        <v>4.32</v>
      </c>
      <c r="AR36">
        <v>4.28</v>
      </c>
      <c r="AS36" cm="1">
        <f t="array" ref="AS36:BA36">VLOOKUP(A36,plate_discipline_pitchers_2019!A:L,{3,4,5,6,7,8,9,10,11},FALSE)</f>
        <v>0.36399999999999999</v>
      </c>
      <c r="AT36">
        <v>0.65100000000000002</v>
      </c>
      <c r="AU36">
        <v>0.48899999999999999</v>
      </c>
      <c r="AV36">
        <v>0.67300000000000004</v>
      </c>
      <c r="AW36">
        <v>0.85499999999999998</v>
      </c>
      <c r="AX36">
        <v>0.77900000000000003</v>
      </c>
      <c r="AY36">
        <v>0.434</v>
      </c>
      <c r="AZ36">
        <v>0.65200000000000002</v>
      </c>
      <c r="BA36">
        <v>0.108</v>
      </c>
      <c r="BB36" cm="1">
        <f t="array" ref="BB36:BP36">VLOOKUP(A36,pitchvalue_pitchers_2019!A:Q,{3,4,5,6,7,8,9,10,11,12,13,14,15,16,17},FALSE)</f>
        <v>11.5</v>
      </c>
      <c r="BC36">
        <v>0</v>
      </c>
      <c r="BD36">
        <v>0</v>
      </c>
      <c r="BE36">
        <v>-1.8</v>
      </c>
      <c r="BF36">
        <v>0</v>
      </c>
      <c r="BG36">
        <v>0</v>
      </c>
      <c r="BH36">
        <v>0</v>
      </c>
      <c r="BI36">
        <v>0.66</v>
      </c>
      <c r="BJ36">
        <v>0</v>
      </c>
      <c r="BK36">
        <v>0</v>
      </c>
      <c r="BL36">
        <v>-0.2</v>
      </c>
      <c r="BM36">
        <v>0.01</v>
      </c>
      <c r="BN36">
        <v>0</v>
      </c>
      <c r="BO36">
        <v>0</v>
      </c>
      <c r="BP36">
        <v>14168</v>
      </c>
      <c r="BQ36" cm="1">
        <f t="array" ref="BQ36:CH36">VLOOKUP(A36,battedball_pitchers_2019!A:U,{3,4,5,6,7,8,9,10,11,12,13,14,15,16,17,18,19,20},FALSE)</f>
        <v>0.29899999999999999</v>
      </c>
      <c r="BR36">
        <v>1.1200000000000001</v>
      </c>
      <c r="BS36">
        <v>0.20499999999999999</v>
      </c>
      <c r="BT36">
        <v>0.42099999999999999</v>
      </c>
      <c r="BU36">
        <v>0.374</v>
      </c>
      <c r="BV36">
        <v>0.129</v>
      </c>
      <c r="BW36">
        <v>0.12</v>
      </c>
      <c r="BX36">
        <v>135</v>
      </c>
      <c r="BY36">
        <v>6.06</v>
      </c>
      <c r="BZ36">
        <v>1019</v>
      </c>
      <c r="CA36">
        <v>2113</v>
      </c>
      <c r="CB36">
        <v>3132</v>
      </c>
      <c r="CC36">
        <v>0.41699999999999998</v>
      </c>
      <c r="CD36">
        <v>0.315</v>
      </c>
      <c r="CE36">
        <v>0.26700000000000002</v>
      </c>
      <c r="CF36">
        <v>0.19400000000000001</v>
      </c>
      <c r="CG36">
        <v>0.443</v>
      </c>
      <c r="CH36">
        <v>0.36299999999999999</v>
      </c>
      <c r="CI36" cm="1">
        <f t="array" ref="CI36:CS36">VLOOKUP(A36,verticalmove_pitchers_2019!A:N,{3,4,5,6,7,8,9,10,11,12,13},FALSE)</f>
        <v>200.1</v>
      </c>
      <c r="CJ36">
        <v>8</v>
      </c>
      <c r="CK36">
        <v>0</v>
      </c>
      <c r="CL36">
        <v>0</v>
      </c>
      <c r="CM36">
        <v>4.9000000000000004</v>
      </c>
      <c r="CN36">
        <v>1.1000000000000001</v>
      </c>
      <c r="CO36">
        <v>3.5</v>
      </c>
      <c r="CP36">
        <v>-2.4</v>
      </c>
      <c r="CQ36">
        <v>0</v>
      </c>
      <c r="CR36">
        <v>0</v>
      </c>
      <c r="CS36">
        <v>0</v>
      </c>
      <c r="CT36" cm="1">
        <f t="array" ref="CT36:DD36">VLOOKUP(A36,velocity_pitchers_2019!A:N,{3,4,5,6,7,8,9,10,11,12,13},FALSE)</f>
        <v>200.1</v>
      </c>
      <c r="CU36">
        <v>93.5</v>
      </c>
      <c r="CV36">
        <v>0</v>
      </c>
      <c r="CW36">
        <v>0</v>
      </c>
      <c r="CX36">
        <v>92.5</v>
      </c>
      <c r="CY36">
        <v>82.8</v>
      </c>
      <c r="CZ36">
        <v>87</v>
      </c>
      <c r="DA36">
        <v>81.5</v>
      </c>
      <c r="DB36">
        <v>0</v>
      </c>
      <c r="DC36">
        <v>0</v>
      </c>
      <c r="DD36">
        <v>0</v>
      </c>
    </row>
    <row r="37" spans="1:108" x14ac:dyDescent="0.3">
      <c r="A37" t="s">
        <v>139</v>
      </c>
      <c r="B37" t="str" cm="1">
        <f t="array" ref="B37:Y37">VLOOKUP(A37,standard_pitchers_2019!A:Y,{2,3,4,5,6,7,8,9,10,11,12,13,14,15,16,17,18,19,20,21,22,23,24,25},FALSE)</f>
        <v>Brewers</v>
      </c>
      <c r="C37">
        <v>9</v>
      </c>
      <c r="D37">
        <v>5</v>
      </c>
      <c r="E37">
        <v>3.55</v>
      </c>
      <c r="F37">
        <v>72</v>
      </c>
      <c r="G37">
        <v>0</v>
      </c>
      <c r="H37">
        <v>0</v>
      </c>
      <c r="I37">
        <v>0</v>
      </c>
      <c r="J37">
        <v>3</v>
      </c>
      <c r="K37">
        <v>20</v>
      </c>
      <c r="L37">
        <v>8</v>
      </c>
      <c r="M37">
        <v>83.2</v>
      </c>
      <c r="N37">
        <v>344</v>
      </c>
      <c r="O37">
        <v>58</v>
      </c>
      <c r="P37">
        <v>35</v>
      </c>
      <c r="Q37">
        <v>33</v>
      </c>
      <c r="R37">
        <v>11</v>
      </c>
      <c r="S37">
        <v>36</v>
      </c>
      <c r="T37">
        <v>2</v>
      </c>
      <c r="U37">
        <v>4</v>
      </c>
      <c r="V37">
        <v>5</v>
      </c>
      <c r="W37">
        <v>0</v>
      </c>
      <c r="X37">
        <v>77</v>
      </c>
      <c r="Y37">
        <v>5702</v>
      </c>
      <c r="Z37" cm="1">
        <f t="array" ref="Z37:AR37">VLOOKUP(A37,advanced_pitchers_2019!A:Y,{3,4,5,6,7,8,9,10,11,12,13,14,15,16,17,18,19,20,21},FALSE)</f>
        <v>8.2799999999999994</v>
      </c>
      <c r="AA37">
        <v>3.87</v>
      </c>
      <c r="AB37">
        <v>2.14</v>
      </c>
      <c r="AC37">
        <v>1.18</v>
      </c>
      <c r="AD37">
        <v>0.224</v>
      </c>
      <c r="AE37">
        <v>0.105</v>
      </c>
      <c r="AF37">
        <v>0.11899999999999999</v>
      </c>
      <c r="AG37">
        <v>0.191</v>
      </c>
      <c r="AH37">
        <v>1.1200000000000001</v>
      </c>
      <c r="AI37">
        <v>0.218</v>
      </c>
      <c r="AJ37">
        <v>0.76300000000000001</v>
      </c>
      <c r="AK37">
        <v>80</v>
      </c>
      <c r="AL37">
        <v>101</v>
      </c>
      <c r="AM37">
        <v>109</v>
      </c>
      <c r="AN37">
        <v>3.55</v>
      </c>
      <c r="AO37">
        <v>4.5199999999999996</v>
      </c>
      <c r="AP37">
        <v>-0.97</v>
      </c>
      <c r="AQ37">
        <v>4.83</v>
      </c>
      <c r="AR37">
        <v>4.53</v>
      </c>
      <c r="AS37" cm="1">
        <f t="array" ref="AS37:BA37">VLOOKUP(A37,plate_discipline_pitchers_2019!A:L,{3,4,5,6,7,8,9,10,11},FALSE)</f>
        <v>0.27500000000000002</v>
      </c>
      <c r="AT37">
        <v>0.73499999999999999</v>
      </c>
      <c r="AU37">
        <v>0.46600000000000003</v>
      </c>
      <c r="AV37">
        <v>0.629</v>
      </c>
      <c r="AW37">
        <v>0.83699999999999997</v>
      </c>
      <c r="AX37">
        <v>0.76500000000000001</v>
      </c>
      <c r="AY37">
        <v>0.41499999999999998</v>
      </c>
      <c r="AZ37">
        <v>0.57799999999999996</v>
      </c>
      <c r="BA37">
        <v>0.109</v>
      </c>
      <c r="BB37" cm="1">
        <f t="array" ref="BB37:BP37">VLOOKUP(A37,pitchvalue_pitchers_2019!A:Q,{3,4,5,6,7,8,9,10,11,12,13,14,15,16,17},FALSE)</f>
        <v>10.9</v>
      </c>
      <c r="BC37">
        <v>0</v>
      </c>
      <c r="BD37">
        <v>0</v>
      </c>
      <c r="BE37">
        <v>0.2</v>
      </c>
      <c r="BF37">
        <v>0</v>
      </c>
      <c r="BG37">
        <v>0.5</v>
      </c>
      <c r="BH37">
        <v>0</v>
      </c>
      <c r="BI37">
        <v>1.29</v>
      </c>
      <c r="BJ37">
        <v>0</v>
      </c>
      <c r="BK37">
        <v>0</v>
      </c>
      <c r="BL37">
        <v>0.06</v>
      </c>
      <c r="BM37">
        <v>0</v>
      </c>
      <c r="BN37">
        <v>0.16</v>
      </c>
      <c r="BO37">
        <v>0</v>
      </c>
      <c r="BP37">
        <v>5702</v>
      </c>
      <c r="BQ37" cm="1">
        <f t="array" ref="BQ37:CH37">VLOOKUP(A37,battedball_pitchers_2019!A:U,{3,4,5,6,7,8,9,10,11,12,13,14,15,16,17,18,19,20},FALSE)</f>
        <v>0.218</v>
      </c>
      <c r="BR37">
        <v>1.1299999999999999</v>
      </c>
      <c r="BS37">
        <v>0.18099999999999999</v>
      </c>
      <c r="BT37">
        <v>0.434</v>
      </c>
      <c r="BU37">
        <v>0.38500000000000001</v>
      </c>
      <c r="BV37">
        <v>0.153</v>
      </c>
      <c r="BW37">
        <v>0.129</v>
      </c>
      <c r="BX37">
        <v>35</v>
      </c>
      <c r="BY37">
        <v>3.76</v>
      </c>
      <c r="BZ37">
        <v>534</v>
      </c>
      <c r="CA37">
        <v>858</v>
      </c>
      <c r="CB37">
        <v>1392</v>
      </c>
      <c r="CC37">
        <v>0.38800000000000001</v>
      </c>
      <c r="CD37">
        <v>0.36599999999999999</v>
      </c>
      <c r="CE37">
        <v>0.247</v>
      </c>
      <c r="CF37">
        <v>0.17599999999999999</v>
      </c>
      <c r="CG37">
        <v>0.441</v>
      </c>
      <c r="CH37">
        <v>0.38300000000000001</v>
      </c>
      <c r="CI37" cm="1">
        <f t="array" ref="CI37:CS37">VLOOKUP(A37,verticalmove_pitchers_2019!A:N,{3,4,5,6,7,8,9,10,11,12,13},FALSE)</f>
        <v>83.2</v>
      </c>
      <c r="CJ37">
        <v>10.199999999999999</v>
      </c>
      <c r="CK37">
        <v>0</v>
      </c>
      <c r="CL37">
        <v>5.3</v>
      </c>
      <c r="CM37">
        <v>7.4</v>
      </c>
      <c r="CN37">
        <v>0</v>
      </c>
      <c r="CO37">
        <v>-2</v>
      </c>
      <c r="CP37">
        <v>-5.3</v>
      </c>
      <c r="CQ37">
        <v>0</v>
      </c>
      <c r="CR37">
        <v>0</v>
      </c>
      <c r="CS37">
        <v>0</v>
      </c>
      <c r="CT37" cm="1">
        <f t="array" ref="CT37:DD37">VLOOKUP(A37,velocity_pitchers_2019!A:N,{3,4,5,6,7,8,9,10,11,12,13},FALSE)</f>
        <v>83.2</v>
      </c>
      <c r="CU37">
        <v>94.9</v>
      </c>
      <c r="CV37">
        <v>0</v>
      </c>
      <c r="CW37">
        <v>86.3</v>
      </c>
      <c r="CX37">
        <v>95.1</v>
      </c>
      <c r="CY37">
        <v>0</v>
      </c>
      <c r="CZ37">
        <v>84.8</v>
      </c>
      <c r="DA37">
        <v>82.4</v>
      </c>
      <c r="DB37">
        <v>0</v>
      </c>
      <c r="DC37">
        <v>0</v>
      </c>
      <c r="DD37">
        <v>0</v>
      </c>
    </row>
    <row r="38" spans="1:108" x14ac:dyDescent="0.3">
      <c r="A38" t="s">
        <v>168</v>
      </c>
      <c r="B38" t="str" cm="1">
        <f t="array" ref="B38:Y38">VLOOKUP(A38,standard_pitchers_2019!A:Y,{2,3,4,5,6,7,8,9,10,11,12,13,14,15,16,17,18,19,20,21,22,23,24,25},FALSE)</f>
        <v>Red Sox</v>
      </c>
      <c r="C38">
        <v>19</v>
      </c>
      <c r="D38">
        <v>6</v>
      </c>
      <c r="E38">
        <v>3.81</v>
      </c>
      <c r="F38">
        <v>34</v>
      </c>
      <c r="G38">
        <v>34</v>
      </c>
      <c r="H38">
        <v>0</v>
      </c>
      <c r="I38">
        <v>0</v>
      </c>
      <c r="J38">
        <v>0</v>
      </c>
      <c r="K38">
        <v>0</v>
      </c>
      <c r="L38">
        <v>0</v>
      </c>
      <c r="M38">
        <v>203.1</v>
      </c>
      <c r="N38">
        <v>859</v>
      </c>
      <c r="O38">
        <v>195</v>
      </c>
      <c r="P38">
        <v>88</v>
      </c>
      <c r="Q38">
        <v>86</v>
      </c>
      <c r="R38">
        <v>24</v>
      </c>
      <c r="S38">
        <v>75</v>
      </c>
      <c r="T38">
        <v>2</v>
      </c>
      <c r="U38">
        <v>7</v>
      </c>
      <c r="V38">
        <v>3</v>
      </c>
      <c r="W38">
        <v>0</v>
      </c>
      <c r="X38">
        <v>213</v>
      </c>
      <c r="Y38">
        <v>13164</v>
      </c>
      <c r="Z38" cm="1">
        <f t="array" ref="Z38:AR38">VLOOKUP(A38,advanced_pitchers_2019!A:Y,{3,4,5,6,7,8,9,10,11,12,13,14,15,16,17,18,19,20,21},FALSE)</f>
        <v>9.43</v>
      </c>
      <c r="AA38">
        <v>3.32</v>
      </c>
      <c r="AB38">
        <v>2.84</v>
      </c>
      <c r="AC38">
        <v>1.06</v>
      </c>
      <c r="AD38">
        <v>0.248</v>
      </c>
      <c r="AE38">
        <v>8.6999999999999994E-2</v>
      </c>
      <c r="AF38">
        <v>0.161</v>
      </c>
      <c r="AG38">
        <v>0.251</v>
      </c>
      <c r="AH38">
        <v>1.33</v>
      </c>
      <c r="AI38">
        <v>0.317</v>
      </c>
      <c r="AJ38">
        <v>0.77600000000000002</v>
      </c>
      <c r="AK38">
        <v>79</v>
      </c>
      <c r="AL38">
        <v>86</v>
      </c>
      <c r="AM38">
        <v>90</v>
      </c>
      <c r="AN38">
        <v>3.81</v>
      </c>
      <c r="AO38">
        <v>3.86</v>
      </c>
      <c r="AP38">
        <v>-0.06</v>
      </c>
      <c r="AQ38">
        <v>4.0999999999999996</v>
      </c>
      <c r="AR38">
        <v>4.3099999999999996</v>
      </c>
      <c r="AS38" cm="1">
        <f t="array" ref="AS38:BA38">VLOOKUP(A38,plate_discipline_pitchers_2019!A:L,{3,4,5,6,7,8,9,10,11},FALSE)</f>
        <v>0.33900000000000002</v>
      </c>
      <c r="AT38">
        <v>0.67800000000000005</v>
      </c>
      <c r="AU38">
        <v>0.46400000000000002</v>
      </c>
      <c r="AV38">
        <v>0.65200000000000002</v>
      </c>
      <c r="AW38">
        <v>0.82899999999999996</v>
      </c>
      <c r="AX38">
        <v>0.747</v>
      </c>
      <c r="AY38">
        <v>0.36799999999999999</v>
      </c>
      <c r="AZ38">
        <v>0.63400000000000001</v>
      </c>
      <c r="BA38">
        <v>0.11700000000000001</v>
      </c>
      <c r="BB38" cm="1">
        <f t="array" ref="BB38:BP38">VLOOKUP(A38,pitchvalue_pitchers_2019!A:Q,{3,4,5,6,7,8,9,10,11,12,13,14,15,16,17},FALSE)</f>
        <v>10.7</v>
      </c>
      <c r="BC38">
        <v>-3.5</v>
      </c>
      <c r="BD38">
        <v>1</v>
      </c>
      <c r="BE38">
        <v>0</v>
      </c>
      <c r="BF38">
        <v>6</v>
      </c>
      <c r="BG38">
        <v>0</v>
      </c>
      <c r="BH38">
        <v>0</v>
      </c>
      <c r="BI38">
        <v>0.56000000000000005</v>
      </c>
      <c r="BJ38">
        <v>-2.31</v>
      </c>
      <c r="BK38">
        <v>0.17</v>
      </c>
      <c r="BL38">
        <v>0</v>
      </c>
      <c r="BM38">
        <v>0.73</v>
      </c>
      <c r="BN38">
        <v>0</v>
      </c>
      <c r="BO38">
        <v>0</v>
      </c>
      <c r="BP38">
        <v>13164</v>
      </c>
      <c r="BQ38" cm="1">
        <f t="array" ref="BQ38:CH38">VLOOKUP(A38,battedball_pitchers_2019!A:U,{3,4,5,6,7,8,9,10,11,12,13,14,15,16,17,18,19,20},FALSE)</f>
        <v>0.317</v>
      </c>
      <c r="BR38">
        <v>1.49</v>
      </c>
      <c r="BS38">
        <v>0.19</v>
      </c>
      <c r="BT38">
        <v>0.48499999999999999</v>
      </c>
      <c r="BU38">
        <v>0.32500000000000001</v>
      </c>
      <c r="BV38">
        <v>7.1999999999999995E-2</v>
      </c>
      <c r="BW38">
        <v>0.13300000000000001</v>
      </c>
      <c r="BX38">
        <v>178</v>
      </c>
      <c r="BY38">
        <v>7.88</v>
      </c>
      <c r="BZ38">
        <v>1307</v>
      </c>
      <c r="CA38">
        <v>2188</v>
      </c>
      <c r="CB38">
        <v>3495</v>
      </c>
      <c r="CC38">
        <v>0.36699999999999999</v>
      </c>
      <c r="CD38">
        <v>0.378</v>
      </c>
      <c r="CE38">
        <v>0.255</v>
      </c>
      <c r="CF38">
        <v>0.22700000000000001</v>
      </c>
      <c r="CG38">
        <v>0.48599999999999999</v>
      </c>
      <c r="CH38">
        <v>0.28699999999999998</v>
      </c>
      <c r="CI38" cm="1">
        <f t="array" ref="CI38:CS38">VLOOKUP(A38,verticalmove_pitchers_2019!A:N,{3,4,5,6,7,8,9,10,11,12,13},FALSE)</f>
        <v>203.1</v>
      </c>
      <c r="CJ38">
        <v>7.3</v>
      </c>
      <c r="CK38">
        <v>3.9</v>
      </c>
      <c r="CL38">
        <v>0</v>
      </c>
      <c r="CM38">
        <v>5.2</v>
      </c>
      <c r="CN38">
        <v>2.6</v>
      </c>
      <c r="CO38">
        <v>-2.2000000000000002</v>
      </c>
      <c r="CP38">
        <v>0</v>
      </c>
      <c r="CQ38">
        <v>0</v>
      </c>
      <c r="CR38">
        <v>0</v>
      </c>
      <c r="CS38">
        <v>0</v>
      </c>
      <c r="CT38" cm="1">
        <f t="array" ref="CT38:DD38">VLOOKUP(A38,velocity_pitchers_2019!A:N,{3,4,5,6,7,8,9,10,11,12,13},FALSE)</f>
        <v>203.1</v>
      </c>
      <c r="CU38">
        <v>93.2</v>
      </c>
      <c r="CV38">
        <v>88.7</v>
      </c>
      <c r="CW38">
        <v>0</v>
      </c>
      <c r="CX38">
        <v>93</v>
      </c>
      <c r="CY38">
        <v>87.8</v>
      </c>
      <c r="CZ38">
        <v>82.7</v>
      </c>
      <c r="DA38">
        <v>0</v>
      </c>
      <c r="DB38">
        <v>0</v>
      </c>
      <c r="DC38">
        <v>0</v>
      </c>
      <c r="DD38">
        <v>0</v>
      </c>
    </row>
    <row r="39" spans="1:108" x14ac:dyDescent="0.3">
      <c r="A39" t="s">
        <v>76</v>
      </c>
      <c r="B39" t="str" cm="1">
        <f t="array" ref="B39:Y39">VLOOKUP(A39,standard_pitchers_2019!A:Y,{2,3,4,5,6,7,8,9,10,11,12,13,14,15,16,17,18,19,20,21,22,23,24,25},FALSE)</f>
        <v>Cubs</v>
      </c>
      <c r="C39">
        <v>3</v>
      </c>
      <c r="D39">
        <v>3</v>
      </c>
      <c r="E39">
        <v>2.68</v>
      </c>
      <c r="F39">
        <v>62</v>
      </c>
      <c r="G39">
        <v>0</v>
      </c>
      <c r="H39">
        <v>0</v>
      </c>
      <c r="I39">
        <v>0</v>
      </c>
      <c r="J39">
        <v>1</v>
      </c>
      <c r="K39">
        <v>17</v>
      </c>
      <c r="L39">
        <v>2</v>
      </c>
      <c r="M39">
        <v>57</v>
      </c>
      <c r="N39">
        <v>227</v>
      </c>
      <c r="O39">
        <v>45</v>
      </c>
      <c r="P39">
        <v>18</v>
      </c>
      <c r="Q39">
        <v>17</v>
      </c>
      <c r="R39">
        <v>5</v>
      </c>
      <c r="S39">
        <v>13</v>
      </c>
      <c r="T39">
        <v>3</v>
      </c>
      <c r="U39">
        <v>4</v>
      </c>
      <c r="V39">
        <v>0</v>
      </c>
      <c r="W39">
        <v>0</v>
      </c>
      <c r="X39">
        <v>48</v>
      </c>
      <c r="Y39">
        <v>9939</v>
      </c>
      <c r="Z39" cm="1">
        <f t="array" ref="Z39:AR39">VLOOKUP(A39,advanced_pitchers_2019!A:Y,{3,4,5,6,7,8,9,10,11,12,13,14,15,16,17,18,19,20,21},FALSE)</f>
        <v>7.58</v>
      </c>
      <c r="AA39">
        <v>2.0499999999999998</v>
      </c>
      <c r="AB39">
        <v>3.69</v>
      </c>
      <c r="AC39">
        <v>0.79</v>
      </c>
      <c r="AD39">
        <v>0.21099999999999999</v>
      </c>
      <c r="AE39">
        <v>5.7000000000000002E-2</v>
      </c>
      <c r="AF39">
        <v>0.154</v>
      </c>
      <c r="AG39">
        <v>0.214</v>
      </c>
      <c r="AH39">
        <v>1.02</v>
      </c>
      <c r="AI39">
        <v>0.255</v>
      </c>
      <c r="AJ39">
        <v>0.8</v>
      </c>
      <c r="AK39">
        <v>61</v>
      </c>
      <c r="AL39">
        <v>80</v>
      </c>
      <c r="AM39">
        <v>92</v>
      </c>
      <c r="AN39">
        <v>2.68</v>
      </c>
      <c r="AO39">
        <v>3.56</v>
      </c>
      <c r="AP39">
        <v>-0.88</v>
      </c>
      <c r="AQ39">
        <v>4.0599999999999996</v>
      </c>
      <c r="AR39">
        <v>3.81</v>
      </c>
      <c r="AS39" cm="1">
        <f t="array" ref="AS39:BA39">VLOOKUP(A39,plate_discipline_pitchers_2019!A:L,{3,4,5,6,7,8,9,10,11},FALSE)</f>
        <v>0.307</v>
      </c>
      <c r="AT39">
        <v>0.629</v>
      </c>
      <c r="AU39">
        <v>0.44600000000000001</v>
      </c>
      <c r="AV39">
        <v>0.71099999999999997</v>
      </c>
      <c r="AW39">
        <v>0.89200000000000002</v>
      </c>
      <c r="AX39">
        <v>0.82199999999999995</v>
      </c>
      <c r="AY39">
        <v>0.432</v>
      </c>
      <c r="AZ39">
        <v>0.60799999999999998</v>
      </c>
      <c r="BA39">
        <v>0.08</v>
      </c>
      <c r="BB39" cm="1">
        <f t="array" ref="BB39:BP39">VLOOKUP(A39,pitchvalue_pitchers_2019!A:Q,{3,4,5,6,7,8,9,10,11,12,13,14,15,16,17},FALSE)</f>
        <v>10.6</v>
      </c>
      <c r="BC39">
        <v>-1.6</v>
      </c>
      <c r="BD39">
        <v>0</v>
      </c>
      <c r="BE39">
        <v>0</v>
      </c>
      <c r="BF39">
        <v>1.4</v>
      </c>
      <c r="BG39">
        <v>0</v>
      </c>
      <c r="BH39">
        <v>0</v>
      </c>
      <c r="BI39">
        <v>1.71</v>
      </c>
      <c r="BJ39">
        <v>-1.84</v>
      </c>
      <c r="BK39">
        <v>0</v>
      </c>
      <c r="BL39">
        <v>0</v>
      </c>
      <c r="BM39">
        <v>0.98</v>
      </c>
      <c r="BN39">
        <v>0</v>
      </c>
      <c r="BO39">
        <v>0</v>
      </c>
      <c r="BP39">
        <v>9939</v>
      </c>
      <c r="BQ39" cm="1">
        <f t="array" ref="BQ39:CH39">VLOOKUP(A39,battedball_pitchers_2019!A:U,{3,4,5,6,7,8,9,10,11,12,13,14,15,16,17,18,19,20},FALSE)</f>
        <v>0.255</v>
      </c>
      <c r="BR39">
        <v>1.87</v>
      </c>
      <c r="BS39">
        <v>0.161</v>
      </c>
      <c r="BT39">
        <v>0.54700000000000004</v>
      </c>
      <c r="BU39">
        <v>0.29199999999999998</v>
      </c>
      <c r="BV39">
        <v>0.106</v>
      </c>
      <c r="BW39">
        <v>0.106</v>
      </c>
      <c r="BX39">
        <v>28</v>
      </c>
      <c r="BY39">
        <v>4.42</v>
      </c>
      <c r="BZ39">
        <v>309</v>
      </c>
      <c r="CA39">
        <v>546</v>
      </c>
      <c r="CB39">
        <v>855</v>
      </c>
      <c r="CC39">
        <v>0.40100000000000002</v>
      </c>
      <c r="CD39">
        <v>0.36399999999999999</v>
      </c>
      <c r="CE39">
        <v>0.23499999999999999</v>
      </c>
      <c r="CF39">
        <v>0.185</v>
      </c>
      <c r="CG39">
        <v>0.438</v>
      </c>
      <c r="CH39">
        <v>0.377</v>
      </c>
      <c r="CI39" cm="1">
        <f t="array" ref="CI39:CS39">VLOOKUP(A39,verticalmove_pitchers_2019!A:N,{3,4,5,6,7,8,9,10,11,12,13},FALSE)</f>
        <v>57</v>
      </c>
      <c r="CJ39">
        <v>7.1</v>
      </c>
      <c r="CK39">
        <v>0</v>
      </c>
      <c r="CL39">
        <v>0</v>
      </c>
      <c r="CM39">
        <v>4.7</v>
      </c>
      <c r="CN39">
        <v>4.4000000000000004</v>
      </c>
      <c r="CO39">
        <v>1.3</v>
      </c>
      <c r="CP39">
        <v>0</v>
      </c>
      <c r="CQ39">
        <v>0</v>
      </c>
      <c r="CR39">
        <v>0</v>
      </c>
      <c r="CS39">
        <v>0</v>
      </c>
      <c r="CT39" cm="1">
        <f t="array" ref="CT39:DD39">VLOOKUP(A39,velocity_pitchers_2019!A:N,{3,4,5,6,7,8,9,10,11,12,13},FALSE)</f>
        <v>57</v>
      </c>
      <c r="CU39">
        <v>93.2</v>
      </c>
      <c r="CV39">
        <v>0</v>
      </c>
      <c r="CW39">
        <v>0</v>
      </c>
      <c r="CX39">
        <v>92.8</v>
      </c>
      <c r="CY39">
        <v>87.6</v>
      </c>
      <c r="CZ39">
        <v>86.9</v>
      </c>
      <c r="DA39">
        <v>0</v>
      </c>
      <c r="DB39">
        <v>0</v>
      </c>
      <c r="DC39">
        <v>0</v>
      </c>
      <c r="DD39">
        <v>0</v>
      </c>
    </row>
    <row r="40" spans="1:108" x14ac:dyDescent="0.3">
      <c r="A40" t="s">
        <v>181</v>
      </c>
      <c r="B40" t="str" cm="1">
        <f t="array" ref="B40:Y40">VLOOKUP(A40,standard_pitchers_2019!A:Y,{2,3,4,5,6,7,8,9,10,11,12,13,14,15,16,17,18,19,20,21,22,23,24,25},FALSE)</f>
        <v>Marlins</v>
      </c>
      <c r="C40">
        <v>6</v>
      </c>
      <c r="D40">
        <v>14</v>
      </c>
      <c r="E40">
        <v>3.88</v>
      </c>
      <c r="F40">
        <v>32</v>
      </c>
      <c r="G40">
        <v>32</v>
      </c>
      <c r="H40">
        <v>2</v>
      </c>
      <c r="I40">
        <v>2</v>
      </c>
      <c r="J40">
        <v>0</v>
      </c>
      <c r="K40">
        <v>0</v>
      </c>
      <c r="L40">
        <v>0</v>
      </c>
      <c r="M40">
        <v>197.1</v>
      </c>
      <c r="N40">
        <v>838</v>
      </c>
      <c r="O40">
        <v>179</v>
      </c>
      <c r="P40">
        <v>94</v>
      </c>
      <c r="Q40">
        <v>85</v>
      </c>
      <c r="R40">
        <v>23</v>
      </c>
      <c r="S40">
        <v>81</v>
      </c>
      <c r="T40">
        <v>5</v>
      </c>
      <c r="U40">
        <v>8</v>
      </c>
      <c r="V40">
        <v>4</v>
      </c>
      <c r="W40">
        <v>1</v>
      </c>
      <c r="X40">
        <v>151</v>
      </c>
      <c r="Y40">
        <v>18684</v>
      </c>
      <c r="Z40" cm="1">
        <f t="array" ref="Z40:AR40">VLOOKUP(A40,advanced_pitchers_2019!A:Y,{3,4,5,6,7,8,9,10,11,12,13,14,15,16,17,18,19,20,21},FALSE)</f>
        <v>6.89</v>
      </c>
      <c r="AA40">
        <v>3.69</v>
      </c>
      <c r="AB40">
        <v>1.86</v>
      </c>
      <c r="AC40">
        <v>1.05</v>
      </c>
      <c r="AD40">
        <v>0.18</v>
      </c>
      <c r="AE40">
        <v>9.7000000000000003E-2</v>
      </c>
      <c r="AF40">
        <v>8.4000000000000005E-2</v>
      </c>
      <c r="AG40">
        <v>0.23899999999999999</v>
      </c>
      <c r="AH40">
        <v>1.32</v>
      </c>
      <c r="AI40">
        <v>0.27100000000000002</v>
      </c>
      <c r="AJ40">
        <v>0.73799999999999999</v>
      </c>
      <c r="AK40">
        <v>93</v>
      </c>
      <c r="AL40">
        <v>106</v>
      </c>
      <c r="AM40">
        <v>117</v>
      </c>
      <c r="AN40">
        <v>3.88</v>
      </c>
      <c r="AO40">
        <v>4.55</v>
      </c>
      <c r="AP40">
        <v>-0.68</v>
      </c>
      <c r="AQ40">
        <v>5.17</v>
      </c>
      <c r="AR40">
        <v>5.28</v>
      </c>
      <c r="AS40" cm="1">
        <f t="array" ref="AS40:BA40">VLOOKUP(A40,plate_discipline_pitchers_2019!A:L,{3,4,5,6,7,8,9,10,11},FALSE)</f>
        <v>0.33600000000000002</v>
      </c>
      <c r="AT40">
        <v>0.70099999999999996</v>
      </c>
      <c r="AU40">
        <v>0.48799999999999999</v>
      </c>
      <c r="AV40">
        <v>0.63800000000000001</v>
      </c>
      <c r="AW40">
        <v>0.871</v>
      </c>
      <c r="AX40">
        <v>0.77700000000000002</v>
      </c>
      <c r="AY40">
        <v>0.41599999999999998</v>
      </c>
      <c r="AZ40">
        <v>0.60399999999999998</v>
      </c>
      <c r="BA40">
        <v>0.109</v>
      </c>
      <c r="BB40" cm="1">
        <f t="array" ref="BB40:BP40">VLOOKUP(A40,pitchvalue_pitchers_2019!A:Q,{3,4,5,6,7,8,9,10,11,12,13,14,15,16,17},FALSE)</f>
        <v>10.1</v>
      </c>
      <c r="BC40">
        <v>-1.5</v>
      </c>
      <c r="BD40">
        <v>0</v>
      </c>
      <c r="BE40">
        <v>-0.3</v>
      </c>
      <c r="BF40">
        <v>-0.7</v>
      </c>
      <c r="BG40">
        <v>0</v>
      </c>
      <c r="BH40">
        <v>0</v>
      </c>
      <c r="BI40">
        <v>0.56999999999999995</v>
      </c>
      <c r="BJ40">
        <v>-0.21</v>
      </c>
      <c r="BK40">
        <v>0</v>
      </c>
      <c r="BL40">
        <v>-0.15</v>
      </c>
      <c r="BM40">
        <v>-0.18</v>
      </c>
      <c r="BN40">
        <v>0</v>
      </c>
      <c r="BO40">
        <v>0</v>
      </c>
      <c r="BP40">
        <v>18684</v>
      </c>
      <c r="BQ40" cm="1">
        <f t="array" ref="BQ40:CH40">VLOOKUP(A40,battedball_pitchers_2019!A:U,{3,4,5,6,7,8,9,10,11,12,13,14,15,16,17,18,19,20},FALSE)</f>
        <v>0.27100000000000002</v>
      </c>
      <c r="BR40">
        <v>1.24</v>
      </c>
      <c r="BS40">
        <v>0.19500000000000001</v>
      </c>
      <c r="BT40">
        <v>0.44600000000000001</v>
      </c>
      <c r="BU40">
        <v>0.35899999999999999</v>
      </c>
      <c r="BV40">
        <v>0.108</v>
      </c>
      <c r="BW40">
        <v>0.108</v>
      </c>
      <c r="BX40">
        <v>67</v>
      </c>
      <c r="BY40">
        <v>3.06</v>
      </c>
      <c r="BZ40">
        <v>1093</v>
      </c>
      <c r="CA40">
        <v>1998</v>
      </c>
      <c r="CB40">
        <v>3091</v>
      </c>
      <c r="CC40">
        <v>0.40600000000000003</v>
      </c>
      <c r="CD40">
        <v>0.35099999999999998</v>
      </c>
      <c r="CE40">
        <v>0.24199999999999999</v>
      </c>
      <c r="CF40">
        <v>0.19700000000000001</v>
      </c>
      <c r="CG40">
        <v>0.45700000000000002</v>
      </c>
      <c r="CH40">
        <v>0.34599999999999997</v>
      </c>
      <c r="CI40" cm="1">
        <f t="array" ref="CI40:CS40">VLOOKUP(A40,verticalmove_pitchers_2019!A:N,{3,4,5,6,7,8,9,10,11,12,13},FALSE)</f>
        <v>197.1</v>
      </c>
      <c r="CJ40">
        <v>7.9</v>
      </c>
      <c r="CK40">
        <v>4.7</v>
      </c>
      <c r="CL40">
        <v>0</v>
      </c>
      <c r="CM40">
        <v>4</v>
      </c>
      <c r="CN40">
        <v>1.9</v>
      </c>
      <c r="CO40">
        <v>-0.3</v>
      </c>
      <c r="CP40">
        <v>-3.9</v>
      </c>
      <c r="CQ40">
        <v>0</v>
      </c>
      <c r="CR40">
        <v>0</v>
      </c>
      <c r="CS40">
        <v>0</v>
      </c>
      <c r="CT40" cm="1">
        <f t="array" ref="CT40:DD40">VLOOKUP(A40,velocity_pitchers_2019!A:N,{3,4,5,6,7,8,9,10,11,12,13},FALSE)</f>
        <v>197.1</v>
      </c>
      <c r="CU40">
        <v>95.9</v>
      </c>
      <c r="CV40">
        <v>93.6</v>
      </c>
      <c r="CW40">
        <v>0</v>
      </c>
      <c r="CX40">
        <v>95.6</v>
      </c>
      <c r="CY40">
        <v>89.5</v>
      </c>
      <c r="CZ40">
        <v>86.1</v>
      </c>
      <c r="DA40">
        <v>81.3</v>
      </c>
      <c r="DB40">
        <v>0</v>
      </c>
      <c r="DC40">
        <v>0</v>
      </c>
      <c r="DD40">
        <v>0</v>
      </c>
    </row>
    <row r="41" spans="1:108" x14ac:dyDescent="0.3">
      <c r="A41" t="s">
        <v>65</v>
      </c>
      <c r="B41" t="str" cm="1">
        <f t="array" ref="B41:Y41">VLOOKUP(A41,standard_pitchers_2019!A:Y,{2,3,4,5,6,7,8,9,10,11,12,13,14,15,16,17,18,19,20,21,22,23,24,25},FALSE)</f>
        <v>Twins</v>
      </c>
      <c r="C41">
        <v>5</v>
      </c>
      <c r="D41">
        <v>1</v>
      </c>
      <c r="E41">
        <v>2.5</v>
      </c>
      <c r="F41">
        <v>58</v>
      </c>
      <c r="G41">
        <v>0</v>
      </c>
      <c r="H41">
        <v>0</v>
      </c>
      <c r="I41">
        <v>0</v>
      </c>
      <c r="J41">
        <v>0</v>
      </c>
      <c r="K41">
        <v>15</v>
      </c>
      <c r="L41">
        <v>2</v>
      </c>
      <c r="M41">
        <v>57.2</v>
      </c>
      <c r="N41">
        <v>238</v>
      </c>
      <c r="O41">
        <v>44</v>
      </c>
      <c r="P41">
        <v>23</v>
      </c>
      <c r="Q41">
        <v>16</v>
      </c>
      <c r="R41">
        <v>8</v>
      </c>
      <c r="S41">
        <v>14</v>
      </c>
      <c r="T41">
        <v>1</v>
      </c>
      <c r="U41">
        <v>3</v>
      </c>
      <c r="V41">
        <v>3</v>
      </c>
      <c r="W41">
        <v>1</v>
      </c>
      <c r="X41">
        <v>82</v>
      </c>
      <c r="Y41">
        <v>13758</v>
      </c>
      <c r="Z41" cm="1">
        <f t="array" ref="Z41:AR41">VLOOKUP(A41,advanced_pitchers_2019!A:Y,{3,4,5,6,7,8,9,10,11,12,13,14,15,16,17,18,19,20,21},FALSE)</f>
        <v>12.8</v>
      </c>
      <c r="AA41">
        <v>2.1800000000000002</v>
      </c>
      <c r="AB41">
        <v>5.86</v>
      </c>
      <c r="AC41">
        <v>1.25</v>
      </c>
      <c r="AD41">
        <v>0.34499999999999997</v>
      </c>
      <c r="AE41">
        <v>5.8999999999999997E-2</v>
      </c>
      <c r="AF41">
        <v>0.28599999999999998</v>
      </c>
      <c r="AG41">
        <v>0.19900000000000001</v>
      </c>
      <c r="AH41">
        <v>1.01</v>
      </c>
      <c r="AI41">
        <v>0.27500000000000002</v>
      </c>
      <c r="AJ41">
        <v>0.76300000000000001</v>
      </c>
      <c r="AK41">
        <v>54</v>
      </c>
      <c r="AL41">
        <v>67</v>
      </c>
      <c r="AM41">
        <v>65</v>
      </c>
      <c r="AN41">
        <v>2.5</v>
      </c>
      <c r="AO41">
        <v>3.06</v>
      </c>
      <c r="AP41">
        <v>-0.56000000000000005</v>
      </c>
      <c r="AQ41">
        <v>2.94</v>
      </c>
      <c r="AR41">
        <v>2.74</v>
      </c>
      <c r="AS41" cm="1">
        <f t="array" ref="AS41:BA41">VLOOKUP(A41,plate_discipline_pitchers_2019!A:L,{3,4,5,6,7,8,9,10,11},FALSE)</f>
        <v>0.34599999999999997</v>
      </c>
      <c r="AT41">
        <v>0.71899999999999997</v>
      </c>
      <c r="AU41">
        <v>0.50600000000000001</v>
      </c>
      <c r="AV41">
        <v>0.505</v>
      </c>
      <c r="AW41">
        <v>0.81799999999999995</v>
      </c>
      <c r="AX41">
        <v>0.69599999999999995</v>
      </c>
      <c r="AY41">
        <v>0.42899999999999999</v>
      </c>
      <c r="AZ41">
        <v>0.67200000000000004</v>
      </c>
      <c r="BA41">
        <v>0.154</v>
      </c>
      <c r="BB41" cm="1">
        <f t="array" ref="BB41:BP41">VLOOKUP(A41,pitchvalue_pitchers_2019!A:Q,{3,4,5,6,7,8,9,10,11,12,13,14,15,16,17},FALSE)</f>
        <v>9.8000000000000007</v>
      </c>
      <c r="BC41">
        <v>0</v>
      </c>
      <c r="BD41">
        <v>0</v>
      </c>
      <c r="BE41">
        <v>-0.8</v>
      </c>
      <c r="BF41">
        <v>-0.3</v>
      </c>
      <c r="BG41">
        <v>0</v>
      </c>
      <c r="BH41">
        <v>0</v>
      </c>
      <c r="BI41">
        <v>1.84</v>
      </c>
      <c r="BJ41">
        <v>0</v>
      </c>
      <c r="BK41">
        <v>0</v>
      </c>
      <c r="BL41">
        <v>-0.18</v>
      </c>
      <c r="BM41">
        <v>-5.31</v>
      </c>
      <c r="BN41">
        <v>0</v>
      </c>
      <c r="BO41">
        <v>0</v>
      </c>
      <c r="BP41">
        <v>13758</v>
      </c>
      <c r="BQ41" cm="1">
        <f t="array" ref="BQ41:CH41">VLOOKUP(A41,battedball_pitchers_2019!A:U,{3,4,5,6,7,8,9,10,11,12,13,14,15,16,17,18,19,20},FALSE)</f>
        <v>0.27500000000000002</v>
      </c>
      <c r="BR41">
        <v>1.04</v>
      </c>
      <c r="BS41">
        <v>0.254</v>
      </c>
      <c r="BT41">
        <v>0.38100000000000001</v>
      </c>
      <c r="BU41">
        <v>0.36599999999999999</v>
      </c>
      <c r="BV41">
        <v>0.122</v>
      </c>
      <c r="BW41">
        <v>0.16300000000000001</v>
      </c>
      <c r="BX41">
        <v>26</v>
      </c>
      <c r="BY41">
        <v>4.0599999999999996</v>
      </c>
      <c r="BZ41">
        <v>335</v>
      </c>
      <c r="CA41">
        <v>645</v>
      </c>
      <c r="CB41">
        <v>980</v>
      </c>
      <c r="CC41">
        <v>0.39100000000000001</v>
      </c>
      <c r="CD41">
        <v>0.39900000000000002</v>
      </c>
      <c r="CE41">
        <v>0.21</v>
      </c>
      <c r="CF41">
        <v>0.159</v>
      </c>
      <c r="CG41">
        <v>0.40600000000000003</v>
      </c>
      <c r="CH41">
        <v>0.435</v>
      </c>
      <c r="CI41" cm="1">
        <f t="array" ref="CI41:CS41">VLOOKUP(A41,verticalmove_pitchers_2019!A:N,{3,4,5,6,7,8,9,10,11,12,13},FALSE)</f>
        <v>57.2</v>
      </c>
      <c r="CJ41">
        <v>8.4</v>
      </c>
      <c r="CK41">
        <v>0</v>
      </c>
      <c r="CL41">
        <v>0</v>
      </c>
      <c r="CM41">
        <v>4.8</v>
      </c>
      <c r="CN41">
        <v>3.1</v>
      </c>
      <c r="CO41">
        <v>0</v>
      </c>
      <c r="CP41">
        <v>-7.2</v>
      </c>
      <c r="CQ41">
        <v>0</v>
      </c>
      <c r="CR41">
        <v>0</v>
      </c>
      <c r="CS41">
        <v>0</v>
      </c>
      <c r="CT41" cm="1">
        <f t="array" ref="CT41:DD41">VLOOKUP(A41,velocity_pitchers_2019!A:N,{3,4,5,6,7,8,9,10,11,12,13},FALSE)</f>
        <v>57.2</v>
      </c>
      <c r="CU41">
        <v>94.2</v>
      </c>
      <c r="CV41">
        <v>0</v>
      </c>
      <c r="CW41">
        <v>0</v>
      </c>
      <c r="CX41">
        <v>94.3</v>
      </c>
      <c r="CY41">
        <v>86.5</v>
      </c>
      <c r="CZ41">
        <v>0</v>
      </c>
      <c r="DA41">
        <v>82.5</v>
      </c>
      <c r="DB41">
        <v>0</v>
      </c>
      <c r="DC41">
        <v>0</v>
      </c>
      <c r="DD41">
        <v>0</v>
      </c>
    </row>
    <row r="42" spans="1:108" x14ac:dyDescent="0.3">
      <c r="A42" t="s">
        <v>61</v>
      </c>
      <c r="B42" t="str" cm="1">
        <f t="array" ref="B42:Y42">VLOOKUP(A42,standard_pitchers_2019!A:Y,{2,3,4,5,6,7,8,9,10,11,12,13,14,15,16,17,18,19,20,21,22,23,24,25},FALSE)</f>
        <v>Angels</v>
      </c>
      <c r="C42">
        <v>5</v>
      </c>
      <c r="D42">
        <v>1</v>
      </c>
      <c r="E42">
        <v>2.48</v>
      </c>
      <c r="F42">
        <v>71</v>
      </c>
      <c r="G42">
        <v>1</v>
      </c>
      <c r="H42">
        <v>0</v>
      </c>
      <c r="I42">
        <v>0</v>
      </c>
      <c r="J42">
        <v>23</v>
      </c>
      <c r="K42">
        <v>2</v>
      </c>
      <c r="L42">
        <v>4</v>
      </c>
      <c r="M42">
        <v>72.2</v>
      </c>
      <c r="N42">
        <v>283</v>
      </c>
      <c r="O42">
        <v>58</v>
      </c>
      <c r="P42">
        <v>20</v>
      </c>
      <c r="Q42">
        <v>20</v>
      </c>
      <c r="R42">
        <v>6</v>
      </c>
      <c r="S42">
        <v>16</v>
      </c>
      <c r="T42">
        <v>1</v>
      </c>
      <c r="U42">
        <v>0</v>
      </c>
      <c r="V42">
        <v>4</v>
      </c>
      <c r="W42">
        <v>1</v>
      </c>
      <c r="X42">
        <v>75</v>
      </c>
      <c r="Y42">
        <v>11801</v>
      </c>
      <c r="Z42" cm="1">
        <f t="array" ref="Z42:AR42">VLOOKUP(A42,advanced_pitchers_2019!A:Y,{3,4,5,6,7,8,9,10,11,12,13,14,15,16,17,18,19,20,21},FALSE)</f>
        <v>9.2899999999999991</v>
      </c>
      <c r="AA42">
        <v>1.98</v>
      </c>
      <c r="AB42">
        <v>4.6900000000000004</v>
      </c>
      <c r="AC42">
        <v>0.74</v>
      </c>
      <c r="AD42">
        <v>0.26500000000000001</v>
      </c>
      <c r="AE42">
        <v>5.7000000000000002E-2</v>
      </c>
      <c r="AF42">
        <v>0.20799999999999999</v>
      </c>
      <c r="AG42">
        <v>0.217</v>
      </c>
      <c r="AH42">
        <v>1.02</v>
      </c>
      <c r="AI42">
        <v>0.28000000000000003</v>
      </c>
      <c r="AJ42">
        <v>0.82299999999999995</v>
      </c>
      <c r="AK42">
        <v>55</v>
      </c>
      <c r="AL42">
        <v>63</v>
      </c>
      <c r="AM42">
        <v>85</v>
      </c>
      <c r="AN42">
        <v>2.48</v>
      </c>
      <c r="AO42">
        <v>2.88</v>
      </c>
      <c r="AP42">
        <v>-0.41</v>
      </c>
      <c r="AQ42">
        <v>3.89</v>
      </c>
      <c r="AR42">
        <v>3.54</v>
      </c>
      <c r="AS42" cm="1">
        <f t="array" ref="AS42:BA42">VLOOKUP(A42,plate_discipline_pitchers_2019!A:L,{3,4,5,6,7,8,9,10,11},FALSE)</f>
        <v>0.28999999999999998</v>
      </c>
      <c r="AT42">
        <v>0.745</v>
      </c>
      <c r="AU42">
        <v>0.503</v>
      </c>
      <c r="AV42">
        <v>0.63700000000000001</v>
      </c>
      <c r="AW42">
        <v>0.80900000000000005</v>
      </c>
      <c r="AX42">
        <v>0.75600000000000001</v>
      </c>
      <c r="AY42">
        <v>0.46800000000000003</v>
      </c>
      <c r="AZ42">
        <v>0.61099999999999999</v>
      </c>
      <c r="BA42">
        <v>0.123</v>
      </c>
      <c r="BB42" cm="1">
        <f t="array" ref="BB42:BP42">VLOOKUP(A42,pitchvalue_pitchers_2019!A:Q,{3,4,5,6,7,8,9,10,11,12,13,14,15,16,17},FALSE)</f>
        <v>9.6999999999999993</v>
      </c>
      <c r="BC42">
        <v>0.7</v>
      </c>
      <c r="BD42">
        <v>0</v>
      </c>
      <c r="BE42">
        <v>0</v>
      </c>
      <c r="BF42">
        <v>6.7</v>
      </c>
      <c r="BG42">
        <v>0</v>
      </c>
      <c r="BH42">
        <v>0</v>
      </c>
      <c r="BI42">
        <v>1.49</v>
      </c>
      <c r="BJ42">
        <v>0.28000000000000003</v>
      </c>
      <c r="BK42">
        <v>0</v>
      </c>
      <c r="BL42">
        <v>0</v>
      </c>
      <c r="BM42">
        <v>2.58</v>
      </c>
      <c r="BN42">
        <v>0</v>
      </c>
      <c r="BO42">
        <v>0</v>
      </c>
      <c r="BP42">
        <v>11801</v>
      </c>
      <c r="BQ42" cm="1">
        <f t="array" ref="BQ42:CH42">VLOOKUP(A42,battedball_pitchers_2019!A:U,{3,4,5,6,7,8,9,10,11,12,13,14,15,16,17,18,19,20},FALSE)</f>
        <v>0.28000000000000003</v>
      </c>
      <c r="BR42">
        <v>0.96</v>
      </c>
      <c r="BS42">
        <v>0.20699999999999999</v>
      </c>
      <c r="BT42">
        <v>0.38800000000000001</v>
      </c>
      <c r="BU42">
        <v>0.40400000000000003</v>
      </c>
      <c r="BV42">
        <v>6.6000000000000003E-2</v>
      </c>
      <c r="BW42">
        <v>7.9000000000000001E-2</v>
      </c>
      <c r="BX42">
        <v>16</v>
      </c>
      <c r="BY42">
        <v>1.98</v>
      </c>
      <c r="BZ42">
        <v>389</v>
      </c>
      <c r="CA42">
        <v>770</v>
      </c>
      <c r="CB42">
        <v>1159</v>
      </c>
      <c r="CC42">
        <v>0.34399999999999997</v>
      </c>
      <c r="CD42">
        <v>0.432</v>
      </c>
      <c r="CE42">
        <v>0.224</v>
      </c>
      <c r="CF42">
        <v>0.13</v>
      </c>
      <c r="CG42">
        <v>0.47399999999999998</v>
      </c>
      <c r="CH42">
        <v>0.39600000000000002</v>
      </c>
      <c r="CI42" cm="1">
        <f t="array" ref="CI42:CS42">VLOOKUP(A42,verticalmove_pitchers_2019!A:N,{3,4,5,6,7,8,9,10,11,12,13},FALSE)</f>
        <v>72.2</v>
      </c>
      <c r="CJ42">
        <v>8.5</v>
      </c>
      <c r="CK42">
        <v>0</v>
      </c>
      <c r="CL42">
        <v>0</v>
      </c>
      <c r="CM42">
        <v>5.9</v>
      </c>
      <c r="CN42">
        <v>2.6</v>
      </c>
      <c r="CO42">
        <v>1.8</v>
      </c>
      <c r="CP42">
        <v>0</v>
      </c>
      <c r="CQ42">
        <v>0</v>
      </c>
      <c r="CR42">
        <v>0</v>
      </c>
      <c r="CS42">
        <v>0</v>
      </c>
      <c r="CT42" cm="1">
        <f t="array" ref="CT42:DD42">VLOOKUP(A42,velocity_pitchers_2019!A:N,{3,4,5,6,7,8,9,10,11,12,13},FALSE)</f>
        <v>72.2</v>
      </c>
      <c r="CU42">
        <v>97.4</v>
      </c>
      <c r="CV42">
        <v>0</v>
      </c>
      <c r="CW42">
        <v>0</v>
      </c>
      <c r="CX42">
        <v>97.4</v>
      </c>
      <c r="CY42">
        <v>89.5</v>
      </c>
      <c r="CZ42">
        <v>89.6</v>
      </c>
      <c r="DA42">
        <v>0</v>
      </c>
      <c r="DB42">
        <v>0</v>
      </c>
      <c r="DC42">
        <v>0</v>
      </c>
      <c r="DD42">
        <v>0</v>
      </c>
    </row>
    <row r="43" spans="1:108" x14ac:dyDescent="0.3">
      <c r="A43" t="s">
        <v>228</v>
      </c>
      <c r="B43" t="str" cm="1">
        <f t="array" ref="B43:Y43">VLOOKUP(A43,standard_pitchers_2019!A:Y,{2,3,4,5,6,7,8,9,10,11,12,13,14,15,16,17,18,19,20,21,22,23,24,25},FALSE)</f>
        <v>Rays</v>
      </c>
      <c r="C43">
        <v>6</v>
      </c>
      <c r="D43">
        <v>8</v>
      </c>
      <c r="E43">
        <v>4.29</v>
      </c>
      <c r="F43">
        <v>23</v>
      </c>
      <c r="G43">
        <v>23</v>
      </c>
      <c r="H43">
        <v>0</v>
      </c>
      <c r="I43">
        <v>0</v>
      </c>
      <c r="J43">
        <v>0</v>
      </c>
      <c r="K43">
        <v>0</v>
      </c>
      <c r="L43">
        <v>0</v>
      </c>
      <c r="M43">
        <v>107</v>
      </c>
      <c r="N43">
        <v>441</v>
      </c>
      <c r="O43">
        <v>96</v>
      </c>
      <c r="P43">
        <v>53</v>
      </c>
      <c r="Q43">
        <v>51</v>
      </c>
      <c r="R43">
        <v>14</v>
      </c>
      <c r="S43">
        <v>40</v>
      </c>
      <c r="T43">
        <v>1</v>
      </c>
      <c r="U43">
        <v>1</v>
      </c>
      <c r="V43">
        <v>11</v>
      </c>
      <c r="W43">
        <v>1</v>
      </c>
      <c r="X43">
        <v>147</v>
      </c>
      <c r="Y43">
        <v>13543</v>
      </c>
      <c r="Z43" cm="1">
        <f t="array" ref="Z43:AR43">VLOOKUP(A43,advanced_pitchers_2019!A:Y,{3,4,5,6,7,8,9,10,11,12,13,14,15,16,17,18,19,20,21},FALSE)</f>
        <v>12.36</v>
      </c>
      <c r="AA43">
        <v>3.36</v>
      </c>
      <c r="AB43">
        <v>3.68</v>
      </c>
      <c r="AC43">
        <v>1.18</v>
      </c>
      <c r="AD43">
        <v>0.33300000000000002</v>
      </c>
      <c r="AE43">
        <v>9.0999999999999998E-2</v>
      </c>
      <c r="AF43">
        <v>0.24299999999999999</v>
      </c>
      <c r="AG43">
        <v>0.24</v>
      </c>
      <c r="AH43">
        <v>1.27</v>
      </c>
      <c r="AI43">
        <v>0.34300000000000003</v>
      </c>
      <c r="AJ43">
        <v>0.71599999999999997</v>
      </c>
      <c r="AK43">
        <v>96</v>
      </c>
      <c r="AL43">
        <v>75</v>
      </c>
      <c r="AM43">
        <v>73</v>
      </c>
      <c r="AN43">
        <v>4.29</v>
      </c>
      <c r="AO43">
        <v>3.32</v>
      </c>
      <c r="AP43">
        <v>0.97</v>
      </c>
      <c r="AQ43">
        <v>3.31</v>
      </c>
      <c r="AR43">
        <v>3.56</v>
      </c>
      <c r="AS43" cm="1">
        <f t="array" ref="AS43:BA43">VLOOKUP(A43,plate_discipline_pitchers_2019!A:L,{3,4,5,6,7,8,9,10,11},FALSE)</f>
        <v>0.36899999999999999</v>
      </c>
      <c r="AT43">
        <v>0.66700000000000004</v>
      </c>
      <c r="AU43">
        <v>0.48899999999999999</v>
      </c>
      <c r="AV43">
        <v>0.44400000000000001</v>
      </c>
      <c r="AW43">
        <v>0.79800000000000004</v>
      </c>
      <c r="AX43">
        <v>0.63700000000000001</v>
      </c>
      <c r="AY43">
        <v>0.4</v>
      </c>
      <c r="AZ43">
        <v>0.67800000000000005</v>
      </c>
      <c r="BA43">
        <v>0.17699999999999999</v>
      </c>
      <c r="BB43" cm="1">
        <f t="array" ref="BB43:BP43">VLOOKUP(A43,pitchvalue_pitchers_2019!A:Q,{3,4,5,6,7,8,9,10,11,12,13,14,15,16,17},FALSE)</f>
        <v>9.6999999999999993</v>
      </c>
      <c r="BC43">
        <v>-3.1</v>
      </c>
      <c r="BD43">
        <v>0</v>
      </c>
      <c r="BE43">
        <v>0.8</v>
      </c>
      <c r="BF43">
        <v>-0.3</v>
      </c>
      <c r="BG43">
        <v>0</v>
      </c>
      <c r="BH43">
        <v>0</v>
      </c>
      <c r="BI43">
        <v>1.05</v>
      </c>
      <c r="BJ43">
        <v>-2.4500000000000002</v>
      </c>
      <c r="BK43">
        <v>0</v>
      </c>
      <c r="BL43">
        <v>0.18</v>
      </c>
      <c r="BM43">
        <v>-0.08</v>
      </c>
      <c r="BN43">
        <v>0</v>
      </c>
      <c r="BO43">
        <v>0</v>
      </c>
      <c r="BP43">
        <v>13543</v>
      </c>
      <c r="BQ43" cm="1">
        <f t="array" ref="BQ43:CH43">VLOOKUP(A43,battedball_pitchers_2019!A:U,{3,4,5,6,7,8,9,10,11,12,13,14,15,16,17,18,19,20},FALSE)</f>
        <v>0.34300000000000003</v>
      </c>
      <c r="BR43">
        <v>1.08</v>
      </c>
      <c r="BS43">
        <v>0.247</v>
      </c>
      <c r="BT43">
        <v>0.39</v>
      </c>
      <c r="BU43">
        <v>0.36299999999999999</v>
      </c>
      <c r="BV43">
        <v>0.14299999999999999</v>
      </c>
      <c r="BW43">
        <v>0.154</v>
      </c>
      <c r="BX43">
        <v>43</v>
      </c>
      <c r="BY43">
        <v>3.62</v>
      </c>
      <c r="BZ43">
        <v>679</v>
      </c>
      <c r="CA43">
        <v>1212</v>
      </c>
      <c r="CB43">
        <v>1891</v>
      </c>
      <c r="CC43">
        <v>0.43099999999999999</v>
      </c>
      <c r="CD43">
        <v>0.27700000000000002</v>
      </c>
      <c r="CE43">
        <v>0.29199999999999998</v>
      </c>
      <c r="CF43">
        <v>0.186</v>
      </c>
      <c r="CG43">
        <v>0.46600000000000003</v>
      </c>
      <c r="CH43">
        <v>0.34799999999999998</v>
      </c>
      <c r="CI43" cm="1">
        <f t="array" ref="CI43:CS43">VLOOKUP(A43,verticalmove_pitchers_2019!A:N,{3,4,5,6,7,8,9,10,11,12,13},FALSE)</f>
        <v>107</v>
      </c>
      <c r="CJ43">
        <v>10.3</v>
      </c>
      <c r="CK43">
        <v>0</v>
      </c>
      <c r="CL43">
        <v>0</v>
      </c>
      <c r="CM43">
        <v>0</v>
      </c>
      <c r="CN43">
        <v>5.4</v>
      </c>
      <c r="CO43">
        <v>1.7</v>
      </c>
      <c r="CP43">
        <v>-5.6</v>
      </c>
      <c r="CQ43">
        <v>0</v>
      </c>
      <c r="CR43">
        <v>0</v>
      </c>
      <c r="CS43">
        <v>0</v>
      </c>
      <c r="CT43" cm="1">
        <f t="array" ref="CT43:DD43">VLOOKUP(A43,velocity_pitchers_2019!A:N,{3,4,5,6,7,8,9,10,11,12,13},FALSE)</f>
        <v>107</v>
      </c>
      <c r="CU43">
        <v>95.9</v>
      </c>
      <c r="CV43">
        <v>0</v>
      </c>
      <c r="CW43">
        <v>0</v>
      </c>
      <c r="CX43">
        <v>0</v>
      </c>
      <c r="CY43">
        <v>86.7</v>
      </c>
      <c r="CZ43">
        <v>87.6</v>
      </c>
      <c r="DA43">
        <v>81.3</v>
      </c>
      <c r="DB43">
        <v>0</v>
      </c>
      <c r="DC43">
        <v>0</v>
      </c>
      <c r="DD43">
        <v>0</v>
      </c>
    </row>
    <row r="44" spans="1:108" x14ac:dyDescent="0.3">
      <c r="A44" t="s">
        <v>103</v>
      </c>
      <c r="B44" t="str" cm="1">
        <f t="array" ref="B44:Y44">VLOOKUP(A44,standard_pitchers_2019!A:Y,{2,3,4,5,6,7,8,9,10,11,12,13,14,15,16,17,18,19,20,21,22,23,24,25},FALSE)</f>
        <v>Dodgers</v>
      </c>
      <c r="C44">
        <v>16</v>
      </c>
      <c r="D44">
        <v>5</v>
      </c>
      <c r="E44">
        <v>3.03</v>
      </c>
      <c r="F44">
        <v>29</v>
      </c>
      <c r="G44">
        <v>28</v>
      </c>
      <c r="H44">
        <v>0</v>
      </c>
      <c r="I44">
        <v>0</v>
      </c>
      <c r="J44">
        <v>0</v>
      </c>
      <c r="K44">
        <v>0</v>
      </c>
      <c r="L44">
        <v>0</v>
      </c>
      <c r="M44">
        <v>178.1</v>
      </c>
      <c r="N44">
        <v>706</v>
      </c>
      <c r="O44">
        <v>145</v>
      </c>
      <c r="P44">
        <v>63</v>
      </c>
      <c r="Q44">
        <v>60</v>
      </c>
      <c r="R44">
        <v>28</v>
      </c>
      <c r="S44">
        <v>41</v>
      </c>
      <c r="T44">
        <v>0</v>
      </c>
      <c r="U44">
        <v>2</v>
      </c>
      <c r="V44">
        <v>7</v>
      </c>
      <c r="W44">
        <v>1</v>
      </c>
      <c r="X44">
        <v>189</v>
      </c>
      <c r="Y44">
        <v>2036</v>
      </c>
      <c r="Z44" cm="1">
        <f t="array" ref="Z44:AR44">VLOOKUP(A44,advanced_pitchers_2019!A:Y,{3,4,5,6,7,8,9,10,11,12,13,14,15,16,17,18,19,20,21},FALSE)</f>
        <v>9.5399999999999991</v>
      </c>
      <c r="AA44">
        <v>2.0699999999999998</v>
      </c>
      <c r="AB44">
        <v>4.6100000000000003</v>
      </c>
      <c r="AC44">
        <v>1.41</v>
      </c>
      <c r="AD44">
        <v>0.26800000000000002</v>
      </c>
      <c r="AE44">
        <v>5.8000000000000003E-2</v>
      </c>
      <c r="AF44">
        <v>0.21</v>
      </c>
      <c r="AG44">
        <v>0.219</v>
      </c>
      <c r="AH44">
        <v>1.04</v>
      </c>
      <c r="AI44">
        <v>0.26200000000000001</v>
      </c>
      <c r="AJ44">
        <v>0.84</v>
      </c>
      <c r="AK44">
        <v>72</v>
      </c>
      <c r="AL44">
        <v>88</v>
      </c>
      <c r="AM44">
        <v>79</v>
      </c>
      <c r="AN44">
        <v>3.03</v>
      </c>
      <c r="AO44">
        <v>3.86</v>
      </c>
      <c r="AP44">
        <v>-0.83</v>
      </c>
      <c r="AQ44">
        <v>3.5</v>
      </c>
      <c r="AR44">
        <v>3.77</v>
      </c>
      <c r="AS44" cm="1">
        <f t="array" ref="AS44:BA44">VLOOKUP(A44,plate_discipline_pitchers_2019!A:L,{3,4,5,6,7,8,9,10,11},FALSE)</f>
        <v>0.35099999999999998</v>
      </c>
      <c r="AT44">
        <v>0.71599999999999997</v>
      </c>
      <c r="AU44">
        <v>0.50600000000000001</v>
      </c>
      <c r="AV44">
        <v>0.55700000000000005</v>
      </c>
      <c r="AW44">
        <v>0.87</v>
      </c>
      <c r="AX44">
        <v>0.746</v>
      </c>
      <c r="AY44">
        <v>0.42699999999999999</v>
      </c>
      <c r="AZ44">
        <v>0.67400000000000004</v>
      </c>
      <c r="BA44">
        <v>0.129</v>
      </c>
      <c r="BB44" cm="1">
        <f t="array" ref="BB44:BP44">VLOOKUP(A44,pitchvalue_pitchers_2019!A:Q,{3,4,5,6,7,8,9,10,11,12,13,14,15,16,17},FALSE)</f>
        <v>9.4</v>
      </c>
      <c r="BC44">
        <v>16.8</v>
      </c>
      <c r="BD44">
        <v>0</v>
      </c>
      <c r="BE44">
        <v>1.7</v>
      </c>
      <c r="BF44">
        <v>-0.4</v>
      </c>
      <c r="BG44">
        <v>0</v>
      </c>
      <c r="BH44">
        <v>0</v>
      </c>
      <c r="BI44">
        <v>0.8</v>
      </c>
      <c r="BJ44">
        <v>1.61</v>
      </c>
      <c r="BK44">
        <v>0</v>
      </c>
      <c r="BL44">
        <v>0.38</v>
      </c>
      <c r="BM44">
        <v>-2.08</v>
      </c>
      <c r="BN44">
        <v>0</v>
      </c>
      <c r="BO44">
        <v>0</v>
      </c>
      <c r="BP44">
        <v>2036</v>
      </c>
      <c r="BQ44" cm="1">
        <f t="array" ref="BQ44:CH44">VLOOKUP(A44,battedball_pitchers_2019!A:U,{3,4,5,6,7,8,9,10,11,12,13,14,15,16,17,18,19,20},FALSE)</f>
        <v>0.26200000000000001</v>
      </c>
      <c r="BR44">
        <v>1.46</v>
      </c>
      <c r="BS44">
        <v>0.19</v>
      </c>
      <c r="BT44">
        <v>0.48</v>
      </c>
      <c r="BU44">
        <v>0.33</v>
      </c>
      <c r="BV44">
        <v>0.16600000000000001</v>
      </c>
      <c r="BW44">
        <v>0.185</v>
      </c>
      <c r="BX44">
        <v>142</v>
      </c>
      <c r="BY44">
        <v>7.17</v>
      </c>
      <c r="BZ44">
        <v>878</v>
      </c>
      <c r="CA44">
        <v>1794</v>
      </c>
      <c r="CB44">
        <v>2672</v>
      </c>
      <c r="CC44">
        <v>0.49199999999999999</v>
      </c>
      <c r="CD44">
        <v>0.309</v>
      </c>
      <c r="CE44">
        <v>0.19900000000000001</v>
      </c>
      <c r="CF44">
        <v>0.20300000000000001</v>
      </c>
      <c r="CG44">
        <v>0.377</v>
      </c>
      <c r="CH44">
        <v>0.41899999999999998</v>
      </c>
      <c r="CI44" cm="1">
        <f t="array" ref="CI44:CS44">VLOOKUP(A44,verticalmove_pitchers_2019!A:N,{3,4,5,6,7,8,9,10,11,12,13},FALSE)</f>
        <v>178.1</v>
      </c>
      <c r="CJ44">
        <v>10.3</v>
      </c>
      <c r="CK44">
        <v>0</v>
      </c>
      <c r="CL44">
        <v>0</v>
      </c>
      <c r="CM44">
        <v>9.4</v>
      </c>
      <c r="CN44">
        <v>9.1999999999999993</v>
      </c>
      <c r="CO44">
        <v>3.9</v>
      </c>
      <c r="CP44">
        <v>-10.4</v>
      </c>
      <c r="CQ44">
        <v>0</v>
      </c>
      <c r="CR44">
        <v>0</v>
      </c>
      <c r="CS44">
        <v>0</v>
      </c>
      <c r="CT44" cm="1">
        <f t="array" ref="CT44:DD44">VLOOKUP(A44,velocity_pitchers_2019!A:N,{3,4,5,6,7,8,9,10,11,12,13},FALSE)</f>
        <v>178.1</v>
      </c>
      <c r="CU44">
        <v>90.5</v>
      </c>
      <c r="CV44">
        <v>0</v>
      </c>
      <c r="CW44">
        <v>0</v>
      </c>
      <c r="CX44">
        <v>87.5</v>
      </c>
      <c r="CY44">
        <v>85.3</v>
      </c>
      <c r="CZ44">
        <v>87</v>
      </c>
      <c r="DA44">
        <v>73.7</v>
      </c>
      <c r="DB44">
        <v>0</v>
      </c>
      <c r="DC44">
        <v>0</v>
      </c>
      <c r="DD44">
        <v>0</v>
      </c>
    </row>
    <row r="45" spans="1:108" x14ac:dyDescent="0.3">
      <c r="A45" t="s">
        <v>117</v>
      </c>
      <c r="B45" t="str" cm="1">
        <f t="array" ref="B45:Y45">VLOOKUP(A45,standard_pitchers_2019!A:Y,{2,3,4,5,6,7,8,9,10,11,12,13,14,15,16,17,18,19,20,21,22,23,24,25},FALSE)</f>
        <v>Nationals</v>
      </c>
      <c r="C45">
        <v>18</v>
      </c>
      <c r="D45">
        <v>6</v>
      </c>
      <c r="E45">
        <v>3.32</v>
      </c>
      <c r="F45">
        <v>33</v>
      </c>
      <c r="G45">
        <v>33</v>
      </c>
      <c r="H45">
        <v>0</v>
      </c>
      <c r="I45">
        <v>0</v>
      </c>
      <c r="J45">
        <v>0</v>
      </c>
      <c r="K45">
        <v>0</v>
      </c>
      <c r="L45">
        <v>0</v>
      </c>
      <c r="M45">
        <v>209</v>
      </c>
      <c r="N45">
        <v>841</v>
      </c>
      <c r="O45">
        <v>161</v>
      </c>
      <c r="P45">
        <v>79</v>
      </c>
      <c r="Q45">
        <v>77</v>
      </c>
      <c r="R45">
        <v>24</v>
      </c>
      <c r="S45">
        <v>56</v>
      </c>
      <c r="T45">
        <v>4</v>
      </c>
      <c r="U45">
        <v>10</v>
      </c>
      <c r="V45">
        <v>8</v>
      </c>
      <c r="W45">
        <v>0</v>
      </c>
      <c r="X45">
        <v>251</v>
      </c>
      <c r="Y45">
        <v>10131</v>
      </c>
      <c r="Z45" cm="1">
        <f t="array" ref="Z45:AR45">VLOOKUP(A45,advanced_pitchers_2019!A:Y,{3,4,5,6,7,8,9,10,11,12,13,14,15,16,17,18,19,20,21},FALSE)</f>
        <v>10.81</v>
      </c>
      <c r="AA45">
        <v>2.41</v>
      </c>
      <c r="AB45">
        <v>4.4800000000000004</v>
      </c>
      <c r="AC45">
        <v>1.03</v>
      </c>
      <c r="AD45">
        <v>0.29799999999999999</v>
      </c>
      <c r="AE45">
        <v>6.7000000000000004E-2</v>
      </c>
      <c r="AF45">
        <v>0.23200000000000001</v>
      </c>
      <c r="AG45">
        <v>0.20799999999999999</v>
      </c>
      <c r="AH45">
        <v>1.04</v>
      </c>
      <c r="AI45">
        <v>0.27400000000000002</v>
      </c>
      <c r="AJ45">
        <v>0.76500000000000001</v>
      </c>
      <c r="AK45">
        <v>74</v>
      </c>
      <c r="AL45">
        <v>72</v>
      </c>
      <c r="AM45">
        <v>71</v>
      </c>
      <c r="AN45">
        <v>3.32</v>
      </c>
      <c r="AO45">
        <v>3.25</v>
      </c>
      <c r="AP45">
        <v>0.06</v>
      </c>
      <c r="AQ45">
        <v>3.17</v>
      </c>
      <c r="AR45">
        <v>3.49</v>
      </c>
      <c r="AS45" cm="1">
        <f t="array" ref="AS45:BA45">VLOOKUP(A45,plate_discipline_pitchers_2019!A:L,{3,4,5,6,7,8,9,10,11},FALSE)</f>
        <v>0.372</v>
      </c>
      <c r="AT45">
        <v>0.628</v>
      </c>
      <c r="AU45">
        <v>0.47299999999999998</v>
      </c>
      <c r="AV45">
        <v>0.57299999999999995</v>
      </c>
      <c r="AW45">
        <v>0.84599999999999997</v>
      </c>
      <c r="AX45">
        <v>0.71499999999999997</v>
      </c>
      <c r="AY45">
        <v>0.39300000000000002</v>
      </c>
      <c r="AZ45">
        <v>0.63600000000000001</v>
      </c>
      <c r="BA45">
        <v>0.13400000000000001</v>
      </c>
      <c r="BB45" cm="1">
        <f t="array" ref="BB45:BP45">VLOOKUP(A45,pitchvalue_pitchers_2019!A:Q,{3,4,5,6,7,8,9,10,11,12,13,14,15,16,17},FALSE)</f>
        <v>9.1999999999999993</v>
      </c>
      <c r="BC45">
        <v>-3.5</v>
      </c>
      <c r="BD45">
        <v>0</v>
      </c>
      <c r="BE45">
        <v>23.6</v>
      </c>
      <c r="BF45">
        <v>10.4</v>
      </c>
      <c r="BG45">
        <v>0</v>
      </c>
      <c r="BH45">
        <v>0</v>
      </c>
      <c r="BI45">
        <v>0.56000000000000005</v>
      </c>
      <c r="BJ45">
        <v>-29.27</v>
      </c>
      <c r="BK45">
        <v>0</v>
      </c>
      <c r="BL45">
        <v>2.2799999999999998</v>
      </c>
      <c r="BM45">
        <v>1.48</v>
      </c>
      <c r="BN45">
        <v>0</v>
      </c>
      <c r="BO45">
        <v>0</v>
      </c>
      <c r="BP45">
        <v>10131</v>
      </c>
      <c r="BQ45" cm="1">
        <f t="array" ref="BQ45:CH45">VLOOKUP(A45,battedball_pitchers_2019!A:U,{3,4,5,6,7,8,9,10,11,12,13,14,15,16,17,18,19,20},FALSE)</f>
        <v>0.27400000000000002</v>
      </c>
      <c r="BR45">
        <v>1.78</v>
      </c>
      <c r="BS45">
        <v>0.20300000000000001</v>
      </c>
      <c r="BT45">
        <v>0.51100000000000001</v>
      </c>
      <c r="BU45">
        <v>0.28599999999999998</v>
      </c>
      <c r="BV45">
        <v>7.3999999999999996E-2</v>
      </c>
      <c r="BW45">
        <v>0.16200000000000001</v>
      </c>
      <c r="BX45">
        <v>133</v>
      </c>
      <c r="BY45">
        <v>5.73</v>
      </c>
      <c r="BZ45">
        <v>1173</v>
      </c>
      <c r="CA45">
        <v>2211</v>
      </c>
      <c r="CB45">
        <v>3384</v>
      </c>
      <c r="CC45">
        <v>0.39500000000000002</v>
      </c>
      <c r="CD45">
        <v>0.35299999999999998</v>
      </c>
      <c r="CE45">
        <v>0.252</v>
      </c>
      <c r="CF45">
        <v>0.21</v>
      </c>
      <c r="CG45">
        <v>0.48499999999999999</v>
      </c>
      <c r="CH45">
        <v>0.30499999999999999</v>
      </c>
      <c r="CI45" cm="1">
        <f t="array" ref="CI45:CS45">VLOOKUP(A45,verticalmove_pitchers_2019!A:N,{3,4,5,6,7,8,9,10,11,12,13},FALSE)</f>
        <v>209</v>
      </c>
      <c r="CJ45">
        <v>8.1</v>
      </c>
      <c r="CK45">
        <v>0</v>
      </c>
      <c r="CL45">
        <v>0</v>
      </c>
      <c r="CM45">
        <v>5.4</v>
      </c>
      <c r="CN45">
        <v>0.9</v>
      </c>
      <c r="CO45">
        <v>2.7</v>
      </c>
      <c r="CP45">
        <v>-5.4</v>
      </c>
      <c r="CQ45">
        <v>0</v>
      </c>
      <c r="CR45">
        <v>0</v>
      </c>
      <c r="CS45">
        <v>0</v>
      </c>
      <c r="CT45" cm="1">
        <f t="array" ref="CT45:DD45">VLOOKUP(A45,velocity_pitchers_2019!A:N,{3,4,5,6,7,8,9,10,11,12,13},FALSE)</f>
        <v>209</v>
      </c>
      <c r="CU45">
        <v>94.3</v>
      </c>
      <c r="CV45">
        <v>0</v>
      </c>
      <c r="CW45">
        <v>0</v>
      </c>
      <c r="CX45">
        <v>94.1</v>
      </c>
      <c r="CY45">
        <v>88.1</v>
      </c>
      <c r="CZ45">
        <v>88.4</v>
      </c>
      <c r="DA45">
        <v>81.5</v>
      </c>
      <c r="DB45">
        <v>0</v>
      </c>
      <c r="DC45">
        <v>0</v>
      </c>
      <c r="DD45">
        <v>0</v>
      </c>
    </row>
    <row r="46" spans="1:108" x14ac:dyDescent="0.3">
      <c r="A46" t="s">
        <v>197</v>
      </c>
      <c r="B46" t="str" cm="1">
        <f t="array" ref="B46:Y46">VLOOKUP(A46,standard_pitchers_2019!A:Y,{2,3,4,5,6,7,8,9,10,11,12,13,14,15,16,17,18,19,20,21,22,23,24,25},FALSE)</f>
        <v>Twins</v>
      </c>
      <c r="C46">
        <v>11</v>
      </c>
      <c r="D46">
        <v>5</v>
      </c>
      <c r="E46">
        <v>4.01</v>
      </c>
      <c r="F46">
        <v>26</v>
      </c>
      <c r="G46">
        <v>26</v>
      </c>
      <c r="H46">
        <v>0</v>
      </c>
      <c r="I46">
        <v>0</v>
      </c>
      <c r="J46">
        <v>0</v>
      </c>
      <c r="K46">
        <v>0</v>
      </c>
      <c r="L46">
        <v>0</v>
      </c>
      <c r="M46">
        <v>146</v>
      </c>
      <c r="N46">
        <v>600</v>
      </c>
      <c r="O46">
        <v>141</v>
      </c>
      <c r="P46">
        <v>68</v>
      </c>
      <c r="Q46">
        <v>65</v>
      </c>
      <c r="R46">
        <v>23</v>
      </c>
      <c r="S46">
        <v>28</v>
      </c>
      <c r="T46">
        <v>1</v>
      </c>
      <c r="U46">
        <v>5</v>
      </c>
      <c r="V46">
        <v>8</v>
      </c>
      <c r="W46">
        <v>0</v>
      </c>
      <c r="X46">
        <v>140</v>
      </c>
      <c r="Y46">
        <v>5372</v>
      </c>
      <c r="Z46" cm="1">
        <f t="array" ref="Z46:AR46">VLOOKUP(A46,advanced_pitchers_2019!A:Y,{3,4,5,6,7,8,9,10,11,12,13,14,15,16,17,18,19,20,21},FALSE)</f>
        <v>8.6300000000000008</v>
      </c>
      <c r="AA46">
        <v>1.73</v>
      </c>
      <c r="AB46">
        <v>5</v>
      </c>
      <c r="AC46">
        <v>1.42</v>
      </c>
      <c r="AD46">
        <v>0.23300000000000001</v>
      </c>
      <c r="AE46">
        <v>4.7E-2</v>
      </c>
      <c r="AF46">
        <v>0.187</v>
      </c>
      <c r="AG46">
        <v>0.249</v>
      </c>
      <c r="AH46">
        <v>1.1599999999999999</v>
      </c>
      <c r="AI46">
        <v>0.29199999999999998</v>
      </c>
      <c r="AJ46">
        <v>0.748</v>
      </c>
      <c r="AK46">
        <v>86</v>
      </c>
      <c r="AL46">
        <v>87</v>
      </c>
      <c r="AM46">
        <v>94</v>
      </c>
      <c r="AN46">
        <v>4.01</v>
      </c>
      <c r="AO46">
        <v>4.0199999999999996</v>
      </c>
      <c r="AP46">
        <v>-0.02</v>
      </c>
      <c r="AQ46">
        <v>4.3</v>
      </c>
      <c r="AR46">
        <v>4.18</v>
      </c>
      <c r="AS46" cm="1">
        <f t="array" ref="AS46:BA46">VLOOKUP(A46,plate_discipline_pitchers_2019!A:L,{3,4,5,6,7,8,9,10,11},FALSE)</f>
        <v>0.35599999999999998</v>
      </c>
      <c r="AT46">
        <v>0.71799999999999997</v>
      </c>
      <c r="AU46">
        <v>0.52</v>
      </c>
      <c r="AV46">
        <v>0.59599999999999997</v>
      </c>
      <c r="AW46">
        <v>0.85699999999999998</v>
      </c>
      <c r="AX46">
        <v>0.75900000000000001</v>
      </c>
      <c r="AY46">
        <v>0.45300000000000001</v>
      </c>
      <c r="AZ46">
        <v>0.64300000000000002</v>
      </c>
      <c r="BA46">
        <v>0.125</v>
      </c>
      <c r="BB46" cm="1">
        <f t="array" ref="BB46:BP46">VLOOKUP(A46,pitchvalue_pitchers_2019!A:Q,{3,4,5,6,7,8,9,10,11,12,13,14,15,16,17},FALSE)</f>
        <v>9.1</v>
      </c>
      <c r="BC46">
        <v>-4.5</v>
      </c>
      <c r="BD46">
        <v>0</v>
      </c>
      <c r="BE46">
        <v>0</v>
      </c>
      <c r="BF46">
        <v>4.9000000000000004</v>
      </c>
      <c r="BG46">
        <v>0</v>
      </c>
      <c r="BH46">
        <v>0</v>
      </c>
      <c r="BI46">
        <v>0.72</v>
      </c>
      <c r="BJ46">
        <v>-0.67</v>
      </c>
      <c r="BK46">
        <v>0</v>
      </c>
      <c r="BL46">
        <v>0</v>
      </c>
      <c r="BM46">
        <v>1.42</v>
      </c>
      <c r="BN46">
        <v>0</v>
      </c>
      <c r="BO46">
        <v>0</v>
      </c>
      <c r="BP46">
        <v>5372</v>
      </c>
      <c r="BQ46" cm="1">
        <f t="array" ref="BQ46:CH46">VLOOKUP(A46,battedball_pitchers_2019!A:U,{3,4,5,6,7,8,9,10,11,12,13,14,15,16,17,18,19,20},FALSE)</f>
        <v>0.29199999999999998</v>
      </c>
      <c r="BR46">
        <v>0.89</v>
      </c>
      <c r="BS46">
        <v>0.23300000000000001</v>
      </c>
      <c r="BT46">
        <v>0.36099999999999999</v>
      </c>
      <c r="BU46">
        <v>0.40600000000000003</v>
      </c>
      <c r="BV46">
        <v>5.2999999999999999E-2</v>
      </c>
      <c r="BW46">
        <v>0.13500000000000001</v>
      </c>
      <c r="BX46">
        <v>103</v>
      </c>
      <c r="BY46">
        <v>6.35</v>
      </c>
      <c r="BZ46">
        <v>736</v>
      </c>
      <c r="CA46">
        <v>1542</v>
      </c>
      <c r="CB46">
        <v>2278</v>
      </c>
      <c r="CC46">
        <v>0.40699999999999997</v>
      </c>
      <c r="CD46">
        <v>0.35599999999999998</v>
      </c>
      <c r="CE46">
        <v>0.23699999999999999</v>
      </c>
      <c r="CF46">
        <v>0.122</v>
      </c>
      <c r="CG46">
        <v>0.48499999999999999</v>
      </c>
      <c r="CH46">
        <v>0.39300000000000002</v>
      </c>
      <c r="CI46" cm="1">
        <f t="array" ref="CI46:CS46">VLOOKUP(A46,verticalmove_pitchers_2019!A:N,{3,4,5,6,7,8,9,10,11,12,13},FALSE)</f>
        <v>146</v>
      </c>
      <c r="CJ46">
        <v>7.3</v>
      </c>
      <c r="CK46">
        <v>0</v>
      </c>
      <c r="CL46">
        <v>0</v>
      </c>
      <c r="CM46">
        <v>0</v>
      </c>
      <c r="CN46">
        <v>4.2</v>
      </c>
      <c r="CO46">
        <v>0.4</v>
      </c>
      <c r="CP46">
        <v>0</v>
      </c>
      <c r="CQ46">
        <v>0</v>
      </c>
      <c r="CR46">
        <v>0</v>
      </c>
      <c r="CS46">
        <v>0</v>
      </c>
      <c r="CT46" cm="1">
        <f t="array" ref="CT46:DD46">VLOOKUP(A46,velocity_pitchers_2019!A:N,{3,4,5,6,7,8,9,10,11,12,13},FALSE)</f>
        <v>146</v>
      </c>
      <c r="CU46">
        <v>92.8</v>
      </c>
      <c r="CV46">
        <v>0</v>
      </c>
      <c r="CW46">
        <v>0</v>
      </c>
      <c r="CX46">
        <v>0</v>
      </c>
      <c r="CY46">
        <v>87.4</v>
      </c>
      <c r="CZ46">
        <v>84.2</v>
      </c>
      <c r="DA46">
        <v>0</v>
      </c>
      <c r="DB46">
        <v>0</v>
      </c>
      <c r="DC46">
        <v>0</v>
      </c>
      <c r="DD46">
        <v>0</v>
      </c>
    </row>
    <row r="47" spans="1:108" x14ac:dyDescent="0.3">
      <c r="A47" t="s">
        <v>115</v>
      </c>
      <c r="B47" t="str" cm="1">
        <f t="array" ref="B47:Y47">VLOOKUP(A47,standard_pitchers_2019!A:Y,{2,3,4,5,6,7,8,9,10,11,12,13,14,15,16,17,18,19,20,21,22,23,24,25},FALSE)</f>
        <v>Padres</v>
      </c>
      <c r="C47">
        <v>8</v>
      </c>
      <c r="D47">
        <v>7</v>
      </c>
      <c r="E47">
        <v>3.29</v>
      </c>
      <c r="F47">
        <v>76</v>
      </c>
      <c r="G47">
        <v>0</v>
      </c>
      <c r="H47">
        <v>0</v>
      </c>
      <c r="I47">
        <v>0</v>
      </c>
      <c r="J47">
        <v>4</v>
      </c>
      <c r="K47">
        <v>31</v>
      </c>
      <c r="L47">
        <v>9</v>
      </c>
      <c r="M47">
        <v>82</v>
      </c>
      <c r="N47">
        <v>339</v>
      </c>
      <c r="O47">
        <v>80</v>
      </c>
      <c r="P47">
        <v>36</v>
      </c>
      <c r="Q47">
        <v>30</v>
      </c>
      <c r="R47">
        <v>13</v>
      </c>
      <c r="S47">
        <v>15</v>
      </c>
      <c r="T47">
        <v>2</v>
      </c>
      <c r="U47">
        <v>2</v>
      </c>
      <c r="V47">
        <v>0</v>
      </c>
      <c r="W47">
        <v>0</v>
      </c>
      <c r="X47">
        <v>73</v>
      </c>
      <c r="Y47">
        <v>7274</v>
      </c>
      <c r="Z47" cm="1">
        <f t="array" ref="Z47:AR47">VLOOKUP(A47,advanced_pitchers_2019!A:Y,{3,4,5,6,7,8,9,10,11,12,13,14,15,16,17,18,19,20,21},FALSE)</f>
        <v>8.01</v>
      </c>
      <c r="AA47">
        <v>1.65</v>
      </c>
      <c r="AB47">
        <v>4.87</v>
      </c>
      <c r="AC47">
        <v>1.43</v>
      </c>
      <c r="AD47">
        <v>0.215</v>
      </c>
      <c r="AE47">
        <v>4.3999999999999997E-2</v>
      </c>
      <c r="AF47">
        <v>0.17100000000000001</v>
      </c>
      <c r="AG47">
        <v>0.248</v>
      </c>
      <c r="AH47">
        <v>1.1599999999999999</v>
      </c>
      <c r="AI47">
        <v>0.28399999999999997</v>
      </c>
      <c r="AJ47">
        <v>0.77400000000000002</v>
      </c>
      <c r="AK47">
        <v>77</v>
      </c>
      <c r="AL47">
        <v>94</v>
      </c>
      <c r="AM47">
        <v>87</v>
      </c>
      <c r="AN47">
        <v>3.29</v>
      </c>
      <c r="AO47">
        <v>4.12</v>
      </c>
      <c r="AP47">
        <v>-0.82</v>
      </c>
      <c r="AQ47">
        <v>3.85</v>
      </c>
      <c r="AR47">
        <v>3.69</v>
      </c>
      <c r="AS47" cm="1">
        <f t="array" ref="AS47:BA47">VLOOKUP(A47,plate_discipline_pitchers_2019!A:L,{3,4,5,6,7,8,9,10,11},FALSE)</f>
        <v>0.32</v>
      </c>
      <c r="AT47">
        <v>0.66900000000000004</v>
      </c>
      <c r="AU47">
        <v>0.45300000000000001</v>
      </c>
      <c r="AV47">
        <v>0.67300000000000004</v>
      </c>
      <c r="AW47">
        <v>0.89300000000000002</v>
      </c>
      <c r="AX47">
        <v>0.79700000000000004</v>
      </c>
      <c r="AY47">
        <v>0.38100000000000001</v>
      </c>
      <c r="AZ47">
        <v>0.64900000000000002</v>
      </c>
      <c r="BA47">
        <v>9.1999999999999998E-2</v>
      </c>
      <c r="BB47" cm="1">
        <f t="array" ref="BB47:BP47">VLOOKUP(A47,pitchvalue_pitchers_2019!A:Q,{3,4,5,6,7,8,9,10,11,12,13,14,15,16,17},FALSE)</f>
        <v>9</v>
      </c>
      <c r="BC47">
        <v>-3.6</v>
      </c>
      <c r="BD47">
        <v>0</v>
      </c>
      <c r="BE47">
        <v>-2</v>
      </c>
      <c r="BF47">
        <v>0.2</v>
      </c>
      <c r="BG47">
        <v>0</v>
      </c>
      <c r="BH47">
        <v>0</v>
      </c>
      <c r="BI47">
        <v>1</v>
      </c>
      <c r="BJ47">
        <v>-1.82</v>
      </c>
      <c r="BK47">
        <v>0</v>
      </c>
      <c r="BL47">
        <v>-1.3</v>
      </c>
      <c r="BM47">
        <v>8.59</v>
      </c>
      <c r="BN47">
        <v>0</v>
      </c>
      <c r="BO47">
        <v>0</v>
      </c>
      <c r="BP47">
        <v>7274</v>
      </c>
      <c r="BQ47" cm="1">
        <f t="array" ref="BQ47:CH47">VLOOKUP(A47,battedball_pitchers_2019!A:U,{3,4,5,6,7,8,9,10,11,12,13,14,15,16,17,18,19,20},FALSE)</f>
        <v>0.28399999999999997</v>
      </c>
      <c r="BR47">
        <v>1.7</v>
      </c>
      <c r="BS47">
        <v>0.19400000000000001</v>
      </c>
      <c r="BT47">
        <v>0.50800000000000001</v>
      </c>
      <c r="BU47">
        <v>0.29799999999999999</v>
      </c>
      <c r="BV47">
        <v>4.1000000000000002E-2</v>
      </c>
      <c r="BW47">
        <v>0.17599999999999999</v>
      </c>
      <c r="BX47">
        <v>38</v>
      </c>
      <c r="BY47">
        <v>4.17</v>
      </c>
      <c r="BZ47">
        <v>443</v>
      </c>
      <c r="CA47">
        <v>808</v>
      </c>
      <c r="CB47">
        <v>1251</v>
      </c>
      <c r="CC47">
        <v>0.41</v>
      </c>
      <c r="CD47">
        <v>0.36899999999999999</v>
      </c>
      <c r="CE47">
        <v>0.221</v>
      </c>
      <c r="CF47">
        <v>0.17699999999999999</v>
      </c>
      <c r="CG47">
        <v>0.502</v>
      </c>
      <c r="CH47">
        <v>0.32100000000000001</v>
      </c>
      <c r="CI47" cm="1">
        <f t="array" ref="CI47:CS47">VLOOKUP(A47,verticalmove_pitchers_2019!A:N,{3,4,5,6,7,8,9,10,11,12,13},FALSE)</f>
        <v>82</v>
      </c>
      <c r="CJ47">
        <v>7.3</v>
      </c>
      <c r="CK47">
        <v>0</v>
      </c>
      <c r="CL47">
        <v>0</v>
      </c>
      <c r="CM47">
        <v>5.5</v>
      </c>
      <c r="CN47">
        <v>4.5</v>
      </c>
      <c r="CO47">
        <v>2.1</v>
      </c>
      <c r="CP47">
        <v>-7.7</v>
      </c>
      <c r="CQ47">
        <v>0</v>
      </c>
      <c r="CR47">
        <v>0</v>
      </c>
      <c r="CS47">
        <v>0</v>
      </c>
      <c r="CT47" cm="1">
        <f t="array" ref="CT47:DD47">VLOOKUP(A47,velocity_pitchers_2019!A:N,{3,4,5,6,7,8,9,10,11,12,13},FALSE)</f>
        <v>82</v>
      </c>
      <c r="CU47">
        <v>92.6</v>
      </c>
      <c r="CV47">
        <v>0</v>
      </c>
      <c r="CW47">
        <v>0</v>
      </c>
      <c r="CX47">
        <v>93.1</v>
      </c>
      <c r="CY47">
        <v>87.7</v>
      </c>
      <c r="CZ47">
        <v>87.8</v>
      </c>
      <c r="DA47">
        <v>81.599999999999994</v>
      </c>
      <c r="DB47">
        <v>0</v>
      </c>
      <c r="DC47">
        <v>0</v>
      </c>
      <c r="DD47">
        <v>0</v>
      </c>
    </row>
    <row r="48" spans="1:108" x14ac:dyDescent="0.3">
      <c r="A48" t="s">
        <v>246</v>
      </c>
      <c r="B48" t="str" cm="1">
        <f t="array" ref="B48:Y48">VLOOKUP(A48,standard_pitchers_2019!A:Y,{2,3,4,5,6,7,8,9,10,11,12,13,14,15,16,17,18,19,20,21,22,23,24,25},FALSE)</f>
        <v>Padres</v>
      </c>
      <c r="C48">
        <v>8</v>
      </c>
      <c r="D48">
        <v>10</v>
      </c>
      <c r="E48">
        <v>4.45</v>
      </c>
      <c r="F48">
        <v>30</v>
      </c>
      <c r="G48">
        <v>29</v>
      </c>
      <c r="H48">
        <v>0</v>
      </c>
      <c r="I48">
        <v>0</v>
      </c>
      <c r="J48">
        <v>0</v>
      </c>
      <c r="K48">
        <v>0</v>
      </c>
      <c r="L48">
        <v>0</v>
      </c>
      <c r="M48">
        <v>149.19999999999999</v>
      </c>
      <c r="N48">
        <v>651</v>
      </c>
      <c r="O48">
        <v>158</v>
      </c>
      <c r="P48">
        <v>82</v>
      </c>
      <c r="Q48">
        <v>74</v>
      </c>
      <c r="R48">
        <v>20</v>
      </c>
      <c r="S48">
        <v>51</v>
      </c>
      <c r="T48">
        <v>4</v>
      </c>
      <c r="U48">
        <v>5</v>
      </c>
      <c r="V48">
        <v>4</v>
      </c>
      <c r="W48">
        <v>1</v>
      </c>
      <c r="X48">
        <v>138</v>
      </c>
      <c r="Y48">
        <v>19316</v>
      </c>
      <c r="Z48" cm="1">
        <f t="array" ref="Z48:AR48">VLOOKUP(A48,advanced_pitchers_2019!A:Y,{3,4,5,6,7,8,9,10,11,12,13,14,15,16,17,18,19,20,21},FALSE)</f>
        <v>8.3000000000000007</v>
      </c>
      <c r="AA48">
        <v>3.07</v>
      </c>
      <c r="AB48">
        <v>2.71</v>
      </c>
      <c r="AC48">
        <v>1.2</v>
      </c>
      <c r="AD48">
        <v>0.21199999999999999</v>
      </c>
      <c r="AE48">
        <v>7.8E-2</v>
      </c>
      <c r="AF48">
        <v>0.13400000000000001</v>
      </c>
      <c r="AG48">
        <v>0.26600000000000001</v>
      </c>
      <c r="AH48">
        <v>1.4</v>
      </c>
      <c r="AI48">
        <v>0.316</v>
      </c>
      <c r="AJ48">
        <v>0.71</v>
      </c>
      <c r="AK48">
        <v>104</v>
      </c>
      <c r="AL48">
        <v>96</v>
      </c>
      <c r="AM48">
        <v>108</v>
      </c>
      <c r="AN48">
        <v>4.45</v>
      </c>
      <c r="AO48">
        <v>4.2300000000000004</v>
      </c>
      <c r="AP48">
        <v>0.22</v>
      </c>
      <c r="AQ48">
        <v>4.7699999999999996</v>
      </c>
      <c r="AR48">
        <v>4.72</v>
      </c>
      <c r="AS48" cm="1">
        <f t="array" ref="AS48:BA48">VLOOKUP(A48,plate_discipline_pitchers_2019!A:L,{3,4,5,6,7,8,9,10,11},FALSE)</f>
        <v>0.28399999999999997</v>
      </c>
      <c r="AT48">
        <v>0.69</v>
      </c>
      <c r="AU48">
        <v>0.47199999999999998</v>
      </c>
      <c r="AV48">
        <v>0.66200000000000003</v>
      </c>
      <c r="AW48">
        <v>0.9</v>
      </c>
      <c r="AX48">
        <v>0.82399999999999995</v>
      </c>
      <c r="AY48">
        <v>0.46300000000000002</v>
      </c>
      <c r="AZ48">
        <v>0.63700000000000001</v>
      </c>
      <c r="BA48">
        <v>8.3000000000000004E-2</v>
      </c>
      <c r="BB48" cm="1">
        <f t="array" ref="BB48:BP48">VLOOKUP(A48,pitchvalue_pitchers_2019!A:Q,{3,4,5,6,7,8,9,10,11,12,13,14,15,16,17},FALSE)</f>
        <v>8.9</v>
      </c>
      <c r="BC48">
        <v>-6.6</v>
      </c>
      <c r="BD48">
        <v>-2.2999999999999998</v>
      </c>
      <c r="BE48">
        <v>1.4</v>
      </c>
      <c r="BF48">
        <v>-2</v>
      </c>
      <c r="BG48">
        <v>0</v>
      </c>
      <c r="BH48">
        <v>0</v>
      </c>
      <c r="BI48">
        <v>0.67</v>
      </c>
      <c r="BJ48">
        <v>-4.12</v>
      </c>
      <c r="BK48">
        <v>-0.41</v>
      </c>
      <c r="BL48">
        <v>0.39</v>
      </c>
      <c r="BM48">
        <v>-2.11</v>
      </c>
      <c r="BN48">
        <v>0</v>
      </c>
      <c r="BO48">
        <v>0</v>
      </c>
      <c r="BP48">
        <v>19316</v>
      </c>
      <c r="BQ48" cm="1">
        <f t="array" ref="BQ48:CH48">VLOOKUP(A48,battedball_pitchers_2019!A:U,{3,4,5,6,7,8,9,10,11,12,13,14,15,16,17,18,19,20},FALSE)</f>
        <v>0.316</v>
      </c>
      <c r="BR48">
        <v>1.05</v>
      </c>
      <c r="BS48">
        <v>0.22</v>
      </c>
      <c r="BT48">
        <v>0.39900000000000002</v>
      </c>
      <c r="BU48">
        <v>0.38100000000000001</v>
      </c>
      <c r="BV48">
        <v>0.11700000000000001</v>
      </c>
      <c r="BW48">
        <v>0.11700000000000001</v>
      </c>
      <c r="BX48">
        <v>81</v>
      </c>
      <c r="BY48">
        <v>4.87</v>
      </c>
      <c r="BZ48">
        <v>876</v>
      </c>
      <c r="CA48">
        <v>1634</v>
      </c>
      <c r="CB48">
        <v>2510</v>
      </c>
      <c r="CC48">
        <v>0.38100000000000001</v>
      </c>
      <c r="CD48">
        <v>0.372</v>
      </c>
      <c r="CE48">
        <v>0.247</v>
      </c>
      <c r="CF48">
        <v>0.17499999999999999</v>
      </c>
      <c r="CG48">
        <v>0.40899999999999997</v>
      </c>
      <c r="CH48">
        <v>0.41599999999999998</v>
      </c>
      <c r="CI48" cm="1">
        <f t="array" ref="CI48:CS48">VLOOKUP(A48,verticalmove_pitchers_2019!A:N,{3,4,5,6,7,8,9,10,11,12,13},FALSE)</f>
        <v>149.19999999999999</v>
      </c>
      <c r="CJ48">
        <v>9.1999999999999993</v>
      </c>
      <c r="CK48">
        <v>4.7</v>
      </c>
      <c r="CL48">
        <v>0</v>
      </c>
      <c r="CM48">
        <v>0</v>
      </c>
      <c r="CN48">
        <v>6.6</v>
      </c>
      <c r="CO48">
        <v>-1.1000000000000001</v>
      </c>
      <c r="CP48">
        <v>-4.5</v>
      </c>
      <c r="CQ48">
        <v>0</v>
      </c>
      <c r="CR48">
        <v>0</v>
      </c>
      <c r="CS48">
        <v>0</v>
      </c>
      <c r="CT48" cm="1">
        <f t="array" ref="CT48:DD48">VLOOKUP(A48,velocity_pitchers_2019!A:N,{3,4,5,6,7,8,9,10,11,12,13},FALSE)</f>
        <v>149.19999999999999</v>
      </c>
      <c r="CU48">
        <v>92.1</v>
      </c>
      <c r="CV48">
        <v>88.2</v>
      </c>
      <c r="CW48">
        <v>0</v>
      </c>
      <c r="CX48">
        <v>0</v>
      </c>
      <c r="CY48">
        <v>86.2</v>
      </c>
      <c r="CZ48">
        <v>82.8</v>
      </c>
      <c r="DA48">
        <v>77.900000000000006</v>
      </c>
      <c r="DB48">
        <v>0</v>
      </c>
      <c r="DC48">
        <v>0</v>
      </c>
      <c r="DD48">
        <v>0</v>
      </c>
    </row>
    <row r="49" spans="1:108" x14ac:dyDescent="0.3">
      <c r="A49" t="s">
        <v>304</v>
      </c>
      <c r="B49" t="str" cm="1">
        <f t="array" ref="B49:Y49">VLOOKUP(A49,standard_pitchers_2019!A:Y,{2,3,4,5,6,7,8,9,10,11,12,13,14,15,16,17,18,19,20,21,22,23,24,25},FALSE)</f>
        <v>Yankees</v>
      </c>
      <c r="C49">
        <v>12</v>
      </c>
      <c r="D49">
        <v>8</v>
      </c>
      <c r="E49">
        <v>4.91</v>
      </c>
      <c r="F49">
        <v>31</v>
      </c>
      <c r="G49">
        <v>30</v>
      </c>
      <c r="H49">
        <v>0</v>
      </c>
      <c r="I49">
        <v>0</v>
      </c>
      <c r="J49">
        <v>0</v>
      </c>
      <c r="K49">
        <v>0</v>
      </c>
      <c r="L49">
        <v>0</v>
      </c>
      <c r="M49">
        <v>161.1</v>
      </c>
      <c r="N49">
        <v>678</v>
      </c>
      <c r="O49">
        <v>160</v>
      </c>
      <c r="P49">
        <v>88</v>
      </c>
      <c r="Q49">
        <v>88</v>
      </c>
      <c r="R49">
        <v>34</v>
      </c>
      <c r="S49">
        <v>49</v>
      </c>
      <c r="T49">
        <v>1</v>
      </c>
      <c r="U49">
        <v>5</v>
      </c>
      <c r="V49">
        <v>3</v>
      </c>
      <c r="W49">
        <v>0</v>
      </c>
      <c r="X49">
        <v>140</v>
      </c>
      <c r="Y49">
        <v>7410</v>
      </c>
      <c r="Z49" cm="1">
        <f t="array" ref="Z49:AR49">VLOOKUP(A49,advanced_pitchers_2019!A:Y,{3,4,5,6,7,8,9,10,11,12,13,14,15,16,17,18,19,20,21},FALSE)</f>
        <v>7.81</v>
      </c>
      <c r="AA49">
        <v>2.73</v>
      </c>
      <c r="AB49">
        <v>2.86</v>
      </c>
      <c r="AC49">
        <v>1.9</v>
      </c>
      <c r="AD49">
        <v>0.20599999999999999</v>
      </c>
      <c r="AE49">
        <v>7.1999999999999995E-2</v>
      </c>
      <c r="AF49">
        <v>0.13400000000000001</v>
      </c>
      <c r="AG49">
        <v>0.25600000000000001</v>
      </c>
      <c r="AH49">
        <v>1.3</v>
      </c>
      <c r="AI49">
        <v>0.28000000000000003</v>
      </c>
      <c r="AJ49">
        <v>0.75700000000000001</v>
      </c>
      <c r="AK49">
        <v>107</v>
      </c>
      <c r="AL49">
        <v>112</v>
      </c>
      <c r="AM49">
        <v>104</v>
      </c>
      <c r="AN49">
        <v>4.91</v>
      </c>
      <c r="AO49">
        <v>5.22</v>
      </c>
      <c r="AP49">
        <v>-0.31</v>
      </c>
      <c r="AQ49">
        <v>4.78</v>
      </c>
      <c r="AR49">
        <v>4.72</v>
      </c>
      <c r="AS49" cm="1">
        <f t="array" ref="AS49:BA49">VLOOKUP(A49,plate_discipline_pitchers_2019!A:L,{3,4,5,6,7,8,9,10,11},FALSE)</f>
        <v>0.32200000000000001</v>
      </c>
      <c r="AT49">
        <v>0.72099999999999997</v>
      </c>
      <c r="AU49">
        <v>0.47699999999999998</v>
      </c>
      <c r="AV49">
        <v>0.67400000000000004</v>
      </c>
      <c r="AW49">
        <v>0.86099999999999999</v>
      </c>
      <c r="AX49">
        <v>0.78400000000000003</v>
      </c>
      <c r="AY49">
        <v>0.38800000000000001</v>
      </c>
      <c r="AZ49">
        <v>0.58699999999999997</v>
      </c>
      <c r="BA49">
        <v>0.10299999999999999</v>
      </c>
      <c r="BB49" cm="1">
        <f t="array" ref="BB49:BP49">VLOOKUP(A49,pitchvalue_pitchers_2019!A:Q,{3,4,5,6,7,8,9,10,11,12,13,14,15,16,17},FALSE)</f>
        <v>8.6</v>
      </c>
      <c r="BC49">
        <v>-2.4</v>
      </c>
      <c r="BD49">
        <v>0</v>
      </c>
      <c r="BE49">
        <v>-0.4</v>
      </c>
      <c r="BF49">
        <v>-5.9</v>
      </c>
      <c r="BG49">
        <v>0</v>
      </c>
      <c r="BH49">
        <v>0</v>
      </c>
      <c r="BI49">
        <v>0.47</v>
      </c>
      <c r="BJ49">
        <v>-0.51</v>
      </c>
      <c r="BK49">
        <v>0</v>
      </c>
      <c r="BL49">
        <v>-2.2400000000000002</v>
      </c>
      <c r="BM49">
        <v>-1.53</v>
      </c>
      <c r="BN49">
        <v>0</v>
      </c>
      <c r="BO49">
        <v>0</v>
      </c>
      <c r="BP49">
        <v>7410</v>
      </c>
      <c r="BQ49" cm="1">
        <f t="array" ref="BQ49:CH49">VLOOKUP(A49,battedball_pitchers_2019!A:U,{3,4,5,6,7,8,9,10,11,12,13,14,15,16,17,18,19,20},FALSE)</f>
        <v>0.28000000000000003</v>
      </c>
      <c r="BR49">
        <v>1.03</v>
      </c>
      <c r="BS49">
        <v>0.215</v>
      </c>
      <c r="BT49">
        <v>0.39800000000000002</v>
      </c>
      <c r="BU49">
        <v>0.38800000000000001</v>
      </c>
      <c r="BV49">
        <v>0.10199999999999999</v>
      </c>
      <c r="BW49">
        <v>0.183</v>
      </c>
      <c r="BX49">
        <v>96</v>
      </c>
      <c r="BY49">
        <v>5.36</v>
      </c>
      <c r="BZ49">
        <v>1005</v>
      </c>
      <c r="CA49">
        <v>1691</v>
      </c>
      <c r="CB49">
        <v>2696</v>
      </c>
      <c r="CC49">
        <v>0.35699999999999998</v>
      </c>
      <c r="CD49">
        <v>0.40899999999999997</v>
      </c>
      <c r="CE49">
        <v>0.23400000000000001</v>
      </c>
      <c r="CF49">
        <v>0.183</v>
      </c>
      <c r="CG49">
        <v>0.41699999999999998</v>
      </c>
      <c r="CH49">
        <v>0.4</v>
      </c>
      <c r="CI49" cm="1">
        <f t="array" ref="CI49:CS49">VLOOKUP(A49,verticalmove_pitchers_2019!A:N,{3,4,5,6,7,8,9,10,11,12,13},FALSE)</f>
        <v>161.1</v>
      </c>
      <c r="CJ49">
        <v>9.4</v>
      </c>
      <c r="CK49">
        <v>0</v>
      </c>
      <c r="CL49">
        <v>0</v>
      </c>
      <c r="CM49">
        <v>4.4000000000000004</v>
      </c>
      <c r="CN49">
        <v>3.9</v>
      </c>
      <c r="CO49">
        <v>2.9</v>
      </c>
      <c r="CP49">
        <v>-2.2000000000000002</v>
      </c>
      <c r="CQ49">
        <v>0</v>
      </c>
      <c r="CR49">
        <v>0</v>
      </c>
      <c r="CS49">
        <v>0</v>
      </c>
      <c r="CT49" cm="1">
        <f t="array" ref="CT49:DD49">VLOOKUP(A49,velocity_pitchers_2019!A:N,{3,4,5,6,7,8,9,10,11,12,13},FALSE)</f>
        <v>161.1</v>
      </c>
      <c r="CU49">
        <v>92.1</v>
      </c>
      <c r="CV49">
        <v>0</v>
      </c>
      <c r="CW49">
        <v>0</v>
      </c>
      <c r="CX49">
        <v>89.5</v>
      </c>
      <c r="CY49">
        <v>85.9</v>
      </c>
      <c r="CZ49">
        <v>84.8</v>
      </c>
      <c r="DA49">
        <v>81.2</v>
      </c>
      <c r="DB49">
        <v>0</v>
      </c>
      <c r="DC49">
        <v>0</v>
      </c>
      <c r="DD49">
        <v>0</v>
      </c>
    </row>
    <row r="50" spans="1:108" x14ac:dyDescent="0.3">
      <c r="A50" t="s">
        <v>249</v>
      </c>
      <c r="B50" t="str" cm="1">
        <f t="array" ref="B50:Y50">VLOOKUP(A50,standard_pitchers_2019!A:Y,{2,3,4,5,6,7,8,9,10,11,12,13,14,15,16,17,18,19,20,21,22,23,24,25},FALSE)</f>
        <v>Marlins</v>
      </c>
      <c r="C50">
        <v>4</v>
      </c>
      <c r="D50">
        <v>5</v>
      </c>
      <c r="E50">
        <v>4.46</v>
      </c>
      <c r="F50">
        <v>15</v>
      </c>
      <c r="G50">
        <v>15</v>
      </c>
      <c r="H50">
        <v>0</v>
      </c>
      <c r="I50">
        <v>0</v>
      </c>
      <c r="J50">
        <v>0</v>
      </c>
      <c r="K50">
        <v>0</v>
      </c>
      <c r="L50">
        <v>0</v>
      </c>
      <c r="M50">
        <v>78.2</v>
      </c>
      <c r="N50">
        <v>325</v>
      </c>
      <c r="O50">
        <v>54</v>
      </c>
      <c r="P50">
        <v>42</v>
      </c>
      <c r="Q50">
        <v>39</v>
      </c>
      <c r="R50">
        <v>11</v>
      </c>
      <c r="S50">
        <v>36</v>
      </c>
      <c r="T50">
        <v>1</v>
      </c>
      <c r="U50">
        <v>5</v>
      </c>
      <c r="V50">
        <v>5</v>
      </c>
      <c r="W50">
        <v>0</v>
      </c>
      <c r="X50">
        <v>82</v>
      </c>
      <c r="Y50">
        <v>17585</v>
      </c>
      <c r="Z50" cm="1">
        <f t="array" ref="Z50:AR50">VLOOKUP(A50,advanced_pitchers_2019!A:Y,{3,4,5,6,7,8,9,10,11,12,13,14,15,16,17,18,19,20,21},FALSE)</f>
        <v>9.3800000000000008</v>
      </c>
      <c r="AA50">
        <v>4.12</v>
      </c>
      <c r="AB50">
        <v>2.2799999999999998</v>
      </c>
      <c r="AC50">
        <v>1.26</v>
      </c>
      <c r="AD50">
        <v>0.252</v>
      </c>
      <c r="AE50">
        <v>0.111</v>
      </c>
      <c r="AF50">
        <v>0.14199999999999999</v>
      </c>
      <c r="AG50">
        <v>0.19</v>
      </c>
      <c r="AH50">
        <v>1.1399999999999999</v>
      </c>
      <c r="AI50">
        <v>0.22500000000000001</v>
      </c>
      <c r="AJ50">
        <v>0.66600000000000004</v>
      </c>
      <c r="AK50">
        <v>107</v>
      </c>
      <c r="AL50">
        <v>105</v>
      </c>
      <c r="AM50">
        <v>110</v>
      </c>
      <c r="AN50">
        <v>4.46</v>
      </c>
      <c r="AO50">
        <v>4.51</v>
      </c>
      <c r="AP50">
        <v>-0.05</v>
      </c>
      <c r="AQ50">
        <v>4.8899999999999997</v>
      </c>
      <c r="AR50">
        <v>4.71</v>
      </c>
      <c r="AS50" cm="1">
        <f t="array" ref="AS50:BA50">VLOOKUP(A50,plate_discipline_pitchers_2019!A:L,{3,4,5,6,7,8,9,10,11},FALSE)</f>
        <v>0.29599999999999999</v>
      </c>
      <c r="AT50">
        <v>0.65300000000000002</v>
      </c>
      <c r="AU50">
        <v>0.44700000000000001</v>
      </c>
      <c r="AV50">
        <v>0.65300000000000002</v>
      </c>
      <c r="AW50">
        <v>0.88400000000000001</v>
      </c>
      <c r="AX50">
        <v>0.79500000000000004</v>
      </c>
      <c r="AY50">
        <v>0.42099999999999999</v>
      </c>
      <c r="AZ50">
        <v>0.505</v>
      </c>
      <c r="BA50">
        <v>9.1999999999999998E-2</v>
      </c>
      <c r="BB50" cm="1">
        <f t="array" ref="BB50:BP50">VLOOKUP(A50,pitchvalue_pitchers_2019!A:Q,{3,4,5,6,7,8,9,10,11,12,13,14,15,16,17},FALSE)</f>
        <v>8.6</v>
      </c>
      <c r="BC50">
        <v>4</v>
      </c>
      <c r="BD50">
        <v>4.4000000000000004</v>
      </c>
      <c r="BE50">
        <v>-6.1</v>
      </c>
      <c r="BF50">
        <v>0</v>
      </c>
      <c r="BG50">
        <v>0</v>
      </c>
      <c r="BH50">
        <v>0</v>
      </c>
      <c r="BI50">
        <v>1.24</v>
      </c>
      <c r="BJ50">
        <v>1.93</v>
      </c>
      <c r="BK50">
        <v>1.8</v>
      </c>
      <c r="BL50">
        <v>-3.2</v>
      </c>
      <c r="BM50">
        <v>0.1</v>
      </c>
      <c r="BN50">
        <v>0</v>
      </c>
      <c r="BO50">
        <v>0</v>
      </c>
      <c r="BP50">
        <v>17585</v>
      </c>
      <c r="BQ50" cm="1">
        <f t="array" ref="BQ50:CH50">VLOOKUP(A50,battedball_pitchers_2019!A:U,{3,4,5,6,7,8,9,10,11,12,13,14,15,16,17,18,19,20},FALSE)</f>
        <v>0.22500000000000001</v>
      </c>
      <c r="BR50">
        <v>0.83</v>
      </c>
      <c r="BS50">
        <v>0.21299999999999999</v>
      </c>
      <c r="BT50">
        <v>0.35599999999999998</v>
      </c>
      <c r="BU50">
        <v>0.43099999999999999</v>
      </c>
      <c r="BV50">
        <v>6.9000000000000006E-2</v>
      </c>
      <c r="BW50">
        <v>0.126</v>
      </c>
      <c r="BX50">
        <v>35</v>
      </c>
      <c r="BY50">
        <v>4</v>
      </c>
      <c r="BZ50">
        <v>518</v>
      </c>
      <c r="CA50">
        <v>859</v>
      </c>
      <c r="CB50">
        <v>1377</v>
      </c>
      <c r="CC50">
        <v>0.441</v>
      </c>
      <c r="CD50">
        <v>0.32200000000000001</v>
      </c>
      <c r="CE50">
        <v>0.23799999999999999</v>
      </c>
      <c r="CF50">
        <v>0.183</v>
      </c>
      <c r="CG50">
        <v>0.33700000000000002</v>
      </c>
      <c r="CH50">
        <v>0.48</v>
      </c>
      <c r="CI50" cm="1">
        <f t="array" ref="CI50:CS50">VLOOKUP(A50,verticalmove_pitchers_2019!A:N,{3,4,5,6,7,8,9,10,11,12,13},FALSE)</f>
        <v>78.2</v>
      </c>
      <c r="CJ50">
        <v>9.5</v>
      </c>
      <c r="CK50">
        <v>1.9</v>
      </c>
      <c r="CL50">
        <v>0</v>
      </c>
      <c r="CM50">
        <v>6.3</v>
      </c>
      <c r="CN50">
        <v>2.9</v>
      </c>
      <c r="CO50">
        <v>-4</v>
      </c>
      <c r="CP50">
        <v>-9.3000000000000007</v>
      </c>
      <c r="CQ50">
        <v>0</v>
      </c>
      <c r="CR50">
        <v>0</v>
      </c>
      <c r="CS50">
        <v>0</v>
      </c>
      <c r="CT50" cm="1">
        <f t="array" ref="CT50:DD50">VLOOKUP(A50,velocity_pitchers_2019!A:N,{3,4,5,6,7,8,9,10,11,12,13},FALSE)</f>
        <v>78.2</v>
      </c>
      <c r="CU50">
        <v>91.8</v>
      </c>
      <c r="CV50">
        <v>86.1</v>
      </c>
      <c r="CW50">
        <v>0</v>
      </c>
      <c r="CX50">
        <v>89.7</v>
      </c>
      <c r="CY50">
        <v>82.7</v>
      </c>
      <c r="CZ50">
        <v>79.3</v>
      </c>
      <c r="DA50">
        <v>74.7</v>
      </c>
      <c r="DB50">
        <v>0</v>
      </c>
      <c r="DC50">
        <v>0</v>
      </c>
      <c r="DD50">
        <v>0</v>
      </c>
    </row>
    <row r="51" spans="1:108" x14ac:dyDescent="0.3">
      <c r="A51" t="s">
        <v>320</v>
      </c>
      <c r="B51" t="str" cm="1">
        <f t="array" ref="B51:Y51">VLOOKUP(A51,standard_pitchers_2019!A:Y,{2,3,4,5,6,7,8,9,10,11,12,13,14,15,16,17,18,19,20,21,22,23,24,25},FALSE)</f>
        <v>Padres</v>
      </c>
      <c r="C51">
        <v>6</v>
      </c>
      <c r="D51">
        <v>8</v>
      </c>
      <c r="E51">
        <v>5.16</v>
      </c>
      <c r="F51">
        <v>23</v>
      </c>
      <c r="G51">
        <v>18</v>
      </c>
      <c r="H51">
        <v>0</v>
      </c>
      <c r="I51">
        <v>0</v>
      </c>
      <c r="J51">
        <v>0</v>
      </c>
      <c r="K51">
        <v>1</v>
      </c>
      <c r="L51">
        <v>0</v>
      </c>
      <c r="M51">
        <v>103</v>
      </c>
      <c r="N51">
        <v>443</v>
      </c>
      <c r="O51">
        <v>106</v>
      </c>
      <c r="P51">
        <v>61</v>
      </c>
      <c r="Q51">
        <v>59</v>
      </c>
      <c r="R51">
        <v>15</v>
      </c>
      <c r="S51">
        <v>28</v>
      </c>
      <c r="T51">
        <v>2</v>
      </c>
      <c r="U51">
        <v>3</v>
      </c>
      <c r="V51">
        <v>3</v>
      </c>
      <c r="W51">
        <v>0</v>
      </c>
      <c r="X51">
        <v>89</v>
      </c>
      <c r="Y51">
        <v>19312</v>
      </c>
      <c r="Z51" cm="1">
        <f t="array" ref="Z51:AR51">VLOOKUP(A51,advanced_pitchers_2019!A:Y,{3,4,5,6,7,8,9,10,11,12,13,14,15,16,17,18,19,20,21},FALSE)</f>
        <v>7.78</v>
      </c>
      <c r="AA51">
        <v>2.4500000000000002</v>
      </c>
      <c r="AB51">
        <v>3.18</v>
      </c>
      <c r="AC51">
        <v>1.31</v>
      </c>
      <c r="AD51">
        <v>0.20100000000000001</v>
      </c>
      <c r="AE51">
        <v>6.3E-2</v>
      </c>
      <c r="AF51">
        <v>0.13800000000000001</v>
      </c>
      <c r="AG51">
        <v>0.25700000000000001</v>
      </c>
      <c r="AH51">
        <v>1.3</v>
      </c>
      <c r="AI51">
        <v>0.29499999999999998</v>
      </c>
      <c r="AJ51">
        <v>0.65500000000000003</v>
      </c>
      <c r="AK51">
        <v>121</v>
      </c>
      <c r="AL51">
        <v>97</v>
      </c>
      <c r="AM51">
        <v>102</v>
      </c>
      <c r="AN51">
        <v>5.16</v>
      </c>
      <c r="AO51">
        <v>4.28</v>
      </c>
      <c r="AP51">
        <v>0.87</v>
      </c>
      <c r="AQ51">
        <v>4.53</v>
      </c>
      <c r="AR51">
        <v>4.58</v>
      </c>
      <c r="AS51" cm="1">
        <f t="array" ref="AS51:BA51">VLOOKUP(A51,plate_discipline_pitchers_2019!A:L,{3,4,5,6,7,8,9,10,11},FALSE)</f>
        <v>0.33500000000000002</v>
      </c>
      <c r="AT51">
        <v>0.72699999999999998</v>
      </c>
      <c r="AU51">
        <v>0.48499999999999999</v>
      </c>
      <c r="AV51">
        <v>0.72399999999999998</v>
      </c>
      <c r="AW51">
        <v>0.84799999999999998</v>
      </c>
      <c r="AX51">
        <v>0.79500000000000004</v>
      </c>
      <c r="AY51">
        <v>0.38100000000000001</v>
      </c>
      <c r="AZ51">
        <v>0.57299999999999995</v>
      </c>
      <c r="BA51">
        <v>9.9000000000000005E-2</v>
      </c>
      <c r="BB51" cm="1">
        <f t="array" ref="BB51:BP51">VLOOKUP(A51,pitchvalue_pitchers_2019!A:Q,{3,4,5,6,7,8,9,10,11,12,13,14,15,16,17},FALSE)</f>
        <v>8.4</v>
      </c>
      <c r="BC51">
        <v>-1.9</v>
      </c>
      <c r="BD51">
        <v>0</v>
      </c>
      <c r="BE51">
        <v>-1.6</v>
      </c>
      <c r="BF51">
        <v>-3.3</v>
      </c>
      <c r="BG51">
        <v>0</v>
      </c>
      <c r="BH51">
        <v>0</v>
      </c>
      <c r="BI51">
        <v>0.83</v>
      </c>
      <c r="BJ51">
        <v>-0.49</v>
      </c>
      <c r="BK51">
        <v>0</v>
      </c>
      <c r="BL51">
        <v>-2.36</v>
      </c>
      <c r="BM51">
        <v>-1.02</v>
      </c>
      <c r="BN51">
        <v>0</v>
      </c>
      <c r="BO51">
        <v>0</v>
      </c>
      <c r="BP51">
        <v>19312</v>
      </c>
      <c r="BQ51" cm="1">
        <f t="array" ref="BQ51:CH51">VLOOKUP(A51,battedball_pitchers_2019!A:U,{3,4,5,6,7,8,9,10,11,12,13,14,15,16,17,18,19,20},FALSE)</f>
        <v>0.29499999999999998</v>
      </c>
      <c r="BR51">
        <v>1.24</v>
      </c>
      <c r="BS51">
        <v>0.215</v>
      </c>
      <c r="BT51">
        <v>0.435</v>
      </c>
      <c r="BU51">
        <v>0.35</v>
      </c>
      <c r="BV51">
        <v>5.3999999999999999E-2</v>
      </c>
      <c r="BW51">
        <v>0.13500000000000001</v>
      </c>
      <c r="BX51">
        <v>60</v>
      </c>
      <c r="BY51">
        <v>5.24</v>
      </c>
      <c r="BZ51">
        <v>663</v>
      </c>
      <c r="CA51">
        <v>1118</v>
      </c>
      <c r="CB51">
        <v>1781</v>
      </c>
      <c r="CC51">
        <v>0.42699999999999999</v>
      </c>
      <c r="CD51">
        <v>0.313</v>
      </c>
      <c r="CE51">
        <v>0.26</v>
      </c>
      <c r="CF51">
        <v>0.155</v>
      </c>
      <c r="CG51">
        <v>0.43</v>
      </c>
      <c r="CH51">
        <v>0.41499999999999998</v>
      </c>
      <c r="CI51" cm="1">
        <f t="array" ref="CI51:CS51">VLOOKUP(A51,verticalmove_pitchers_2019!A:N,{3,4,5,6,7,8,9,10,11,12,13},FALSE)</f>
        <v>103</v>
      </c>
      <c r="CJ51">
        <v>8.8000000000000007</v>
      </c>
      <c r="CK51">
        <v>0</v>
      </c>
      <c r="CL51">
        <v>0</v>
      </c>
      <c r="CM51">
        <v>7.1</v>
      </c>
      <c r="CN51">
        <v>5.7</v>
      </c>
      <c r="CO51">
        <v>0.5</v>
      </c>
      <c r="CP51">
        <v>-2.9</v>
      </c>
      <c r="CQ51">
        <v>0</v>
      </c>
      <c r="CR51">
        <v>0</v>
      </c>
      <c r="CS51">
        <v>0</v>
      </c>
      <c r="CT51" cm="1">
        <f t="array" ref="CT51:DD51">VLOOKUP(A51,velocity_pitchers_2019!A:N,{3,4,5,6,7,8,9,10,11,12,13},FALSE)</f>
        <v>103</v>
      </c>
      <c r="CU51">
        <v>94.8</v>
      </c>
      <c r="CV51">
        <v>0</v>
      </c>
      <c r="CW51">
        <v>0</v>
      </c>
      <c r="CX51">
        <v>94.5</v>
      </c>
      <c r="CY51">
        <v>84.9</v>
      </c>
      <c r="CZ51">
        <v>86.6</v>
      </c>
      <c r="DA51">
        <v>79.599999999999994</v>
      </c>
      <c r="DB51">
        <v>0</v>
      </c>
      <c r="DC51">
        <v>0</v>
      </c>
      <c r="DD51">
        <v>0</v>
      </c>
    </row>
    <row r="52" spans="1:108" x14ac:dyDescent="0.3">
      <c r="A52" t="s">
        <v>166</v>
      </c>
      <c r="B52" t="str" cm="1">
        <f t="array" ref="B52:Y52">VLOOKUP(A52,standard_pitchers_2019!A:Y,{2,3,4,5,6,7,8,9,10,11,12,13,14,15,16,17,18,19,20,21,22,23,24,25},FALSE)</f>
        <v>Cardinals</v>
      </c>
      <c r="C52">
        <v>2</v>
      </c>
      <c r="D52">
        <v>1</v>
      </c>
      <c r="E52">
        <v>3.76</v>
      </c>
      <c r="F52">
        <v>65</v>
      </c>
      <c r="G52">
        <v>0</v>
      </c>
      <c r="H52">
        <v>0</v>
      </c>
      <c r="I52">
        <v>0</v>
      </c>
      <c r="J52">
        <v>1</v>
      </c>
      <c r="K52">
        <v>8</v>
      </c>
      <c r="L52">
        <v>0</v>
      </c>
      <c r="M52">
        <v>55</v>
      </c>
      <c r="N52">
        <v>221</v>
      </c>
      <c r="O52">
        <v>33</v>
      </c>
      <c r="P52">
        <v>23</v>
      </c>
      <c r="Q52">
        <v>23</v>
      </c>
      <c r="R52">
        <v>7</v>
      </c>
      <c r="S52">
        <v>23</v>
      </c>
      <c r="T52">
        <v>3</v>
      </c>
      <c r="U52">
        <v>2</v>
      </c>
      <c r="V52">
        <v>2</v>
      </c>
      <c r="W52">
        <v>0</v>
      </c>
      <c r="X52">
        <v>48</v>
      </c>
      <c r="Y52">
        <v>14974</v>
      </c>
      <c r="Z52" cm="1">
        <f t="array" ref="Z52:AR52">VLOOKUP(A52,advanced_pitchers_2019!A:Y,{3,4,5,6,7,8,9,10,11,12,13,14,15,16,17,18,19,20,21},FALSE)</f>
        <v>7.85</v>
      </c>
      <c r="AA52">
        <v>3.76</v>
      </c>
      <c r="AB52">
        <v>2.09</v>
      </c>
      <c r="AC52">
        <v>1.1499999999999999</v>
      </c>
      <c r="AD52">
        <v>0.217</v>
      </c>
      <c r="AE52">
        <v>0.104</v>
      </c>
      <c r="AF52">
        <v>0.113</v>
      </c>
      <c r="AG52">
        <v>0.16800000000000001</v>
      </c>
      <c r="AH52">
        <v>1.02</v>
      </c>
      <c r="AI52">
        <v>0.184</v>
      </c>
      <c r="AJ52">
        <v>0.72599999999999998</v>
      </c>
      <c r="AK52">
        <v>89</v>
      </c>
      <c r="AL52">
        <v>103</v>
      </c>
      <c r="AM52">
        <v>110</v>
      </c>
      <c r="AN52">
        <v>3.76</v>
      </c>
      <c r="AO52">
        <v>4.49</v>
      </c>
      <c r="AP52">
        <v>-0.72</v>
      </c>
      <c r="AQ52">
        <v>4.8899999999999997</v>
      </c>
      <c r="AR52">
        <v>4.62</v>
      </c>
      <c r="AS52" cm="1">
        <f t="array" ref="AS52:BA52">VLOOKUP(A52,plate_discipline_pitchers_2019!A:L,{3,4,5,6,7,8,9,10,11},FALSE)</f>
        <v>0.312</v>
      </c>
      <c r="AT52">
        <v>0.69</v>
      </c>
      <c r="AU52">
        <v>0.47399999999999998</v>
      </c>
      <c r="AV52">
        <v>0.73399999999999999</v>
      </c>
      <c r="AW52">
        <v>0.83299999999999996</v>
      </c>
      <c r="AX52">
        <v>0.79600000000000004</v>
      </c>
      <c r="AY52">
        <v>0.42899999999999999</v>
      </c>
      <c r="AZ52">
        <v>0.59699999999999998</v>
      </c>
      <c r="BA52">
        <v>9.7000000000000003E-2</v>
      </c>
      <c r="BB52" cm="1">
        <f t="array" ref="BB52:BP52">VLOOKUP(A52,pitchvalue_pitchers_2019!A:Q,{3,4,5,6,7,8,9,10,11,12,13,14,15,16,17},FALSE)</f>
        <v>8.4</v>
      </c>
      <c r="BC52">
        <v>4.8</v>
      </c>
      <c r="BD52">
        <v>0</v>
      </c>
      <c r="BE52">
        <v>0</v>
      </c>
      <c r="BF52">
        <v>-2.2999999999999998</v>
      </c>
      <c r="BG52">
        <v>0</v>
      </c>
      <c r="BH52">
        <v>0</v>
      </c>
      <c r="BI52">
        <v>1.45</v>
      </c>
      <c r="BJ52">
        <v>3.51</v>
      </c>
      <c r="BK52">
        <v>0</v>
      </c>
      <c r="BL52">
        <v>0</v>
      </c>
      <c r="BM52">
        <v>-1.35</v>
      </c>
      <c r="BN52">
        <v>0</v>
      </c>
      <c r="BO52">
        <v>0</v>
      </c>
      <c r="BP52">
        <v>14974</v>
      </c>
      <c r="BQ52" cm="1">
        <f t="array" ref="BQ52:CH52">VLOOKUP(A52,battedball_pitchers_2019!A:U,{3,4,5,6,7,8,9,10,11,12,13,14,15,16,17,18,19,20},FALSE)</f>
        <v>0.184</v>
      </c>
      <c r="BR52">
        <v>1.05</v>
      </c>
      <c r="BS52">
        <v>0.19900000000000001</v>
      </c>
      <c r="BT52">
        <v>0.41099999999999998</v>
      </c>
      <c r="BU52">
        <v>0.39</v>
      </c>
      <c r="BV52">
        <v>0.123</v>
      </c>
      <c r="BW52">
        <v>0.123</v>
      </c>
      <c r="BX52">
        <v>25</v>
      </c>
      <c r="BY52">
        <v>4.09</v>
      </c>
      <c r="BZ52">
        <v>335</v>
      </c>
      <c r="CA52">
        <v>554</v>
      </c>
      <c r="CB52">
        <v>889</v>
      </c>
      <c r="CC52">
        <v>0.38500000000000001</v>
      </c>
      <c r="CD52">
        <v>0.372</v>
      </c>
      <c r="CE52">
        <v>0.24299999999999999</v>
      </c>
      <c r="CF52">
        <v>0.16900000000000001</v>
      </c>
      <c r="CG52">
        <v>0.45300000000000001</v>
      </c>
      <c r="CH52">
        <v>0.378</v>
      </c>
      <c r="CI52" cm="1">
        <f t="array" ref="CI52:CS52">VLOOKUP(A52,verticalmove_pitchers_2019!A:N,{3,4,5,6,7,8,9,10,11,12,13},FALSE)</f>
        <v>55</v>
      </c>
      <c r="CJ52">
        <v>9.1</v>
      </c>
      <c r="CK52">
        <v>0</v>
      </c>
      <c r="CL52">
        <v>0</v>
      </c>
      <c r="CM52">
        <v>8.1999999999999993</v>
      </c>
      <c r="CN52">
        <v>8.6999999999999993</v>
      </c>
      <c r="CO52">
        <v>-3.4</v>
      </c>
      <c r="CP52">
        <v>-3.5</v>
      </c>
      <c r="CQ52">
        <v>0</v>
      </c>
      <c r="CR52">
        <v>0</v>
      </c>
      <c r="CS52">
        <v>0</v>
      </c>
      <c r="CT52" cm="1">
        <f t="array" ref="CT52:DD52">VLOOKUP(A52,velocity_pitchers_2019!A:N,{3,4,5,6,7,8,9,10,11,12,13},FALSE)</f>
        <v>55</v>
      </c>
      <c r="CU52">
        <v>90.1</v>
      </c>
      <c r="CV52">
        <v>0</v>
      </c>
      <c r="CW52">
        <v>0</v>
      </c>
      <c r="CX52">
        <v>90</v>
      </c>
      <c r="CY52">
        <v>80</v>
      </c>
      <c r="CZ52">
        <v>77</v>
      </c>
      <c r="DA52">
        <v>76.2</v>
      </c>
      <c r="DB52">
        <v>0</v>
      </c>
      <c r="DC52">
        <v>0</v>
      </c>
      <c r="DD52">
        <v>0</v>
      </c>
    </row>
    <row r="53" spans="1:108" x14ac:dyDescent="0.3">
      <c r="A53" t="s">
        <v>187</v>
      </c>
      <c r="B53" t="str" cm="1">
        <f t="array" ref="B53:Y53">VLOOKUP(A53,standard_pitchers_2019!A:Y,{2,3,4,5,6,7,8,9,10,11,12,13,14,15,16,17,18,19,20,21,22,23,24,25},FALSE)</f>
        <v>Mets</v>
      </c>
      <c r="C53">
        <v>11</v>
      </c>
      <c r="D53">
        <v>8</v>
      </c>
      <c r="E53">
        <v>3.96</v>
      </c>
      <c r="F53">
        <v>31</v>
      </c>
      <c r="G53">
        <v>31</v>
      </c>
      <c r="H53">
        <v>0</v>
      </c>
      <c r="I53">
        <v>0</v>
      </c>
      <c r="J53">
        <v>0</v>
      </c>
      <c r="K53">
        <v>0</v>
      </c>
      <c r="L53">
        <v>0</v>
      </c>
      <c r="M53">
        <v>195.1</v>
      </c>
      <c r="N53">
        <v>828</v>
      </c>
      <c r="O53">
        <v>196</v>
      </c>
      <c r="P53">
        <v>93</v>
      </c>
      <c r="Q53">
        <v>86</v>
      </c>
      <c r="R53">
        <v>22</v>
      </c>
      <c r="S53">
        <v>50</v>
      </c>
      <c r="T53">
        <v>4</v>
      </c>
      <c r="U53">
        <v>2</v>
      </c>
      <c r="V53">
        <v>5</v>
      </c>
      <c r="W53">
        <v>0</v>
      </c>
      <c r="X53">
        <v>195</v>
      </c>
      <c r="Y53">
        <v>10310</v>
      </c>
      <c r="Z53" cm="1">
        <f t="array" ref="Z53:AR53">VLOOKUP(A53,advanced_pitchers_2019!A:Y,{3,4,5,6,7,8,9,10,11,12,13,14,15,16,17,18,19,20,21},FALSE)</f>
        <v>8.98</v>
      </c>
      <c r="AA53">
        <v>2.2999999999999998</v>
      </c>
      <c r="AB53">
        <v>3.9</v>
      </c>
      <c r="AC53">
        <v>1.01</v>
      </c>
      <c r="AD53">
        <v>0.23599999999999999</v>
      </c>
      <c r="AE53">
        <v>0.06</v>
      </c>
      <c r="AF53">
        <v>0.17499999999999999</v>
      </c>
      <c r="AG53">
        <v>0.253</v>
      </c>
      <c r="AH53">
        <v>1.26</v>
      </c>
      <c r="AI53">
        <v>0.311</v>
      </c>
      <c r="AJ53">
        <v>0.71399999999999997</v>
      </c>
      <c r="AK53">
        <v>96</v>
      </c>
      <c r="AL53">
        <v>80</v>
      </c>
      <c r="AM53">
        <v>92</v>
      </c>
      <c r="AN53">
        <v>3.96</v>
      </c>
      <c r="AO53">
        <v>3.48</v>
      </c>
      <c r="AP53">
        <v>0.48</v>
      </c>
      <c r="AQ53">
        <v>4.0599999999999996</v>
      </c>
      <c r="AR53">
        <v>4.2</v>
      </c>
      <c r="AS53" cm="1">
        <f t="array" ref="AS53:BA53">VLOOKUP(A53,plate_discipline_pitchers_2019!A:L,{3,4,5,6,7,8,9,10,11},FALSE)</f>
        <v>0.34100000000000003</v>
      </c>
      <c r="AT53">
        <v>0.69899999999999995</v>
      </c>
      <c r="AU53">
        <v>0.50600000000000001</v>
      </c>
      <c r="AV53">
        <v>0.69199999999999995</v>
      </c>
      <c r="AW53">
        <v>0.85099999999999998</v>
      </c>
      <c r="AX53">
        <v>0.79300000000000004</v>
      </c>
      <c r="AY53">
        <v>0.46</v>
      </c>
      <c r="AZ53">
        <v>0.65800000000000003</v>
      </c>
      <c r="BA53">
        <v>0.104</v>
      </c>
      <c r="BB53" cm="1">
        <f t="array" ref="BB53:BP53">VLOOKUP(A53,pitchvalue_pitchers_2019!A:Q,{3,4,5,6,7,8,9,10,11,12,13,14,15,16,17},FALSE)</f>
        <v>8.3000000000000007</v>
      </c>
      <c r="BC53">
        <v>4.0999999999999996</v>
      </c>
      <c r="BD53">
        <v>0</v>
      </c>
      <c r="BE53">
        <v>1.1000000000000001</v>
      </c>
      <c r="BF53">
        <v>0.7</v>
      </c>
      <c r="BG53">
        <v>-1.6</v>
      </c>
      <c r="BH53">
        <v>0</v>
      </c>
      <c r="BI53">
        <v>0.45</v>
      </c>
      <c r="BJ53">
        <v>0.65</v>
      </c>
      <c r="BK53">
        <v>0</v>
      </c>
      <c r="BL53">
        <v>0.35</v>
      </c>
      <c r="BM53">
        <v>0.26</v>
      </c>
      <c r="BN53">
        <v>-2.0699999999999998</v>
      </c>
      <c r="BO53">
        <v>0</v>
      </c>
      <c r="BP53">
        <v>10310</v>
      </c>
      <c r="BQ53" cm="1">
        <f t="array" ref="BQ53:CH53">VLOOKUP(A53,battedball_pitchers_2019!A:U,{3,4,5,6,7,8,9,10,11,12,13,14,15,16,17,18,19,20},FALSE)</f>
        <v>0.311</v>
      </c>
      <c r="BR53">
        <v>1.22</v>
      </c>
      <c r="BS53">
        <v>0.214</v>
      </c>
      <c r="BT53">
        <v>0.432</v>
      </c>
      <c r="BU53">
        <v>0.35299999999999998</v>
      </c>
      <c r="BV53">
        <v>0.109</v>
      </c>
      <c r="BW53">
        <v>0.109</v>
      </c>
      <c r="BX53">
        <v>112</v>
      </c>
      <c r="BY53">
        <v>5.16</v>
      </c>
      <c r="BZ53">
        <v>1039</v>
      </c>
      <c r="CA53">
        <v>2120</v>
      </c>
      <c r="CB53">
        <v>3159</v>
      </c>
      <c r="CC53">
        <v>0.39500000000000002</v>
      </c>
      <c r="CD53">
        <v>0.307</v>
      </c>
      <c r="CE53">
        <v>0.29799999999999999</v>
      </c>
      <c r="CF53">
        <v>0.193</v>
      </c>
      <c r="CG53">
        <v>0.49299999999999999</v>
      </c>
      <c r="CH53">
        <v>0.314</v>
      </c>
      <c r="CI53" cm="1">
        <f t="array" ref="CI53:CS53">VLOOKUP(A53,verticalmove_pitchers_2019!A:N,{3,4,5,6,7,8,9,10,11,12,13},FALSE)</f>
        <v>195.1</v>
      </c>
      <c r="CJ53">
        <v>7.9</v>
      </c>
      <c r="CK53">
        <v>0</v>
      </c>
      <c r="CL53">
        <v>3.6</v>
      </c>
      <c r="CM53">
        <v>0</v>
      </c>
      <c r="CN53">
        <v>5.2</v>
      </c>
      <c r="CO53">
        <v>3.1</v>
      </c>
      <c r="CP53">
        <v>-7.5</v>
      </c>
      <c r="CQ53">
        <v>0</v>
      </c>
      <c r="CR53">
        <v>0</v>
      </c>
      <c r="CS53">
        <v>0</v>
      </c>
      <c r="CT53" cm="1">
        <f t="array" ref="CT53:DD53">VLOOKUP(A53,velocity_pitchers_2019!A:N,{3,4,5,6,7,8,9,10,11,12,13},FALSE)</f>
        <v>195.1</v>
      </c>
      <c r="CU53">
        <v>97</v>
      </c>
      <c r="CV53">
        <v>0</v>
      </c>
      <c r="CW53">
        <v>89.4</v>
      </c>
      <c r="CX53">
        <v>0</v>
      </c>
      <c r="CY53">
        <v>89.2</v>
      </c>
      <c r="CZ53">
        <v>91.5</v>
      </c>
      <c r="DA53">
        <v>80.900000000000006</v>
      </c>
      <c r="DB53">
        <v>0</v>
      </c>
      <c r="DC53">
        <v>0</v>
      </c>
      <c r="DD53">
        <v>0</v>
      </c>
    </row>
    <row r="54" spans="1:108" x14ac:dyDescent="0.3">
      <c r="A54" t="s">
        <v>29</v>
      </c>
      <c r="B54" t="str" cm="1">
        <f t="array" ref="B54:Y54">VLOOKUP(A54,standard_pitchers_2019!A:Y,{2,3,4,5,6,7,8,9,10,11,12,13,14,15,16,17,18,19,20,21,22,23,24,25},FALSE)</f>
        <v>Pirates</v>
      </c>
      <c r="C54">
        <v>5</v>
      </c>
      <c r="D54">
        <v>1</v>
      </c>
      <c r="E54">
        <v>1.65</v>
      </c>
      <c r="F54">
        <v>56</v>
      </c>
      <c r="G54">
        <v>0</v>
      </c>
      <c r="H54">
        <v>0</v>
      </c>
      <c r="I54">
        <v>0</v>
      </c>
      <c r="J54">
        <v>28</v>
      </c>
      <c r="K54">
        <v>0</v>
      </c>
      <c r="L54">
        <v>3</v>
      </c>
      <c r="M54">
        <v>60</v>
      </c>
      <c r="N54">
        <v>236</v>
      </c>
      <c r="O54">
        <v>43</v>
      </c>
      <c r="P54">
        <v>12</v>
      </c>
      <c r="Q54">
        <v>11</v>
      </c>
      <c r="R54">
        <v>5</v>
      </c>
      <c r="S54">
        <v>13</v>
      </c>
      <c r="T54">
        <v>0</v>
      </c>
      <c r="U54">
        <v>4</v>
      </c>
      <c r="V54">
        <v>3</v>
      </c>
      <c r="W54">
        <v>0</v>
      </c>
      <c r="X54">
        <v>90</v>
      </c>
      <c r="Y54">
        <v>12076</v>
      </c>
      <c r="Z54" cm="1">
        <f t="array" ref="Z54:AR54">VLOOKUP(A54,advanced_pitchers_2019!A:Y,{3,4,5,6,7,8,9,10,11,12,13,14,15,16,17,18,19,20,21},FALSE)</f>
        <v>13.5</v>
      </c>
      <c r="AA54">
        <v>1.95</v>
      </c>
      <c r="AB54">
        <v>6.92</v>
      </c>
      <c r="AC54">
        <v>0.75</v>
      </c>
      <c r="AD54">
        <v>0.38100000000000001</v>
      </c>
      <c r="AE54">
        <v>5.5E-2</v>
      </c>
      <c r="AF54">
        <v>0.32600000000000001</v>
      </c>
      <c r="AG54">
        <v>0.19600000000000001</v>
      </c>
      <c r="AH54">
        <v>0.93</v>
      </c>
      <c r="AI54">
        <v>0.30599999999999999</v>
      </c>
      <c r="AJ54">
        <v>0.90600000000000003</v>
      </c>
      <c r="AK54">
        <v>38</v>
      </c>
      <c r="AL54">
        <v>48</v>
      </c>
      <c r="AM54">
        <v>59</v>
      </c>
      <c r="AN54">
        <v>1.65</v>
      </c>
      <c r="AO54">
        <v>2.15</v>
      </c>
      <c r="AP54">
        <v>-0.5</v>
      </c>
      <c r="AQ54">
        <v>2.62</v>
      </c>
      <c r="AR54">
        <v>2.36</v>
      </c>
      <c r="AS54" cm="1">
        <f t="array" ref="AS54:BA54">VLOOKUP(A54,plate_discipline_pitchers_2019!A:L,{3,4,5,6,7,8,9,10,11},FALSE)</f>
        <v>0.29699999999999999</v>
      </c>
      <c r="AT54">
        <v>0.70699999999999996</v>
      </c>
      <c r="AU54">
        <v>0.503</v>
      </c>
      <c r="AV54">
        <v>0.53500000000000003</v>
      </c>
      <c r="AW54">
        <v>0.79100000000000004</v>
      </c>
      <c r="AX54">
        <v>0.71599999999999997</v>
      </c>
      <c r="AY54">
        <v>0.502</v>
      </c>
      <c r="AZ54">
        <v>0.64800000000000002</v>
      </c>
      <c r="BA54">
        <v>0.14299999999999999</v>
      </c>
      <c r="BB54" cm="1">
        <f t="array" ref="BB54:BP54">VLOOKUP(A54,pitchvalue_pitchers_2019!A:Q,{3,4,5,6,7,8,9,10,11,12,13,14,15,16,17},FALSE)</f>
        <v>8.3000000000000007</v>
      </c>
      <c r="BC54">
        <v>7.3</v>
      </c>
      <c r="BD54">
        <v>0</v>
      </c>
      <c r="BE54">
        <v>1</v>
      </c>
      <c r="BF54">
        <v>0</v>
      </c>
      <c r="BG54">
        <v>0</v>
      </c>
      <c r="BH54">
        <v>0</v>
      </c>
      <c r="BI54">
        <v>1.41</v>
      </c>
      <c r="BJ54">
        <v>4.49</v>
      </c>
      <c r="BK54">
        <v>0</v>
      </c>
      <c r="BL54">
        <v>0.72</v>
      </c>
      <c r="BM54">
        <v>0.02</v>
      </c>
      <c r="BN54">
        <v>0</v>
      </c>
      <c r="BO54">
        <v>0</v>
      </c>
      <c r="BP54">
        <v>12076</v>
      </c>
      <c r="BQ54" cm="1">
        <f t="array" ref="BQ54:CH54">VLOOKUP(A54,battedball_pitchers_2019!A:U,{3,4,5,6,7,8,9,10,11,12,13,14,15,16,17,18,19,20},FALSE)</f>
        <v>0.30599999999999999</v>
      </c>
      <c r="BR54">
        <v>1.1499999999999999</v>
      </c>
      <c r="BS54">
        <v>0.21099999999999999</v>
      </c>
      <c r="BT54">
        <v>0.42199999999999999</v>
      </c>
      <c r="BU54">
        <v>0.36699999999999999</v>
      </c>
      <c r="BV54">
        <v>4.2999999999999997E-2</v>
      </c>
      <c r="BW54">
        <v>0.106</v>
      </c>
      <c r="BX54">
        <v>17</v>
      </c>
      <c r="BY54">
        <v>2.5499999999999998</v>
      </c>
      <c r="BZ54">
        <v>299</v>
      </c>
      <c r="CA54">
        <v>660</v>
      </c>
      <c r="CB54">
        <v>959</v>
      </c>
      <c r="CC54">
        <v>0.33300000000000002</v>
      </c>
      <c r="CD54">
        <v>0.33300000000000002</v>
      </c>
      <c r="CE54">
        <v>0.33300000000000002</v>
      </c>
      <c r="CF54">
        <v>0.19400000000000001</v>
      </c>
      <c r="CG54">
        <v>0.442</v>
      </c>
      <c r="CH54">
        <v>0.36399999999999999</v>
      </c>
      <c r="CI54" cm="1">
        <f t="array" ref="CI54:CS54">VLOOKUP(A54,verticalmove_pitchers_2019!A:N,{3,4,5,6,7,8,9,10,11,12,13},FALSE)</f>
        <v>60</v>
      </c>
      <c r="CJ54">
        <v>6.7</v>
      </c>
      <c r="CK54">
        <v>0</v>
      </c>
      <c r="CL54">
        <v>0</v>
      </c>
      <c r="CM54">
        <v>2.5</v>
      </c>
      <c r="CN54">
        <v>0.2</v>
      </c>
      <c r="CO54">
        <v>2.8</v>
      </c>
      <c r="CP54">
        <v>-4.2</v>
      </c>
      <c r="CQ54">
        <v>0</v>
      </c>
      <c r="CR54">
        <v>0</v>
      </c>
      <c r="CS54">
        <v>0</v>
      </c>
      <c r="CT54" cm="1">
        <f t="array" ref="CT54:DD54">VLOOKUP(A54,velocity_pitchers_2019!A:N,{3,4,5,6,7,8,9,10,11,12,13},FALSE)</f>
        <v>60</v>
      </c>
      <c r="CU54">
        <v>98.8</v>
      </c>
      <c r="CV54">
        <v>0</v>
      </c>
      <c r="CW54">
        <v>0</v>
      </c>
      <c r="CX54">
        <v>97.8</v>
      </c>
      <c r="CY54">
        <v>88.8</v>
      </c>
      <c r="CZ54">
        <v>87</v>
      </c>
      <c r="DA54">
        <v>82.6</v>
      </c>
      <c r="DB54">
        <v>0</v>
      </c>
      <c r="DC54">
        <v>0</v>
      </c>
      <c r="DD54">
        <v>0</v>
      </c>
    </row>
    <row r="55" spans="1:108" x14ac:dyDescent="0.3">
      <c r="A55" t="s">
        <v>85</v>
      </c>
      <c r="B55" t="str" cm="1">
        <f t="array" ref="B55:Y55">VLOOKUP(A55,standard_pitchers_2019!A:Y,{2,3,4,5,6,7,8,9,10,11,12,13,14,15,16,17,18,19,20,21,22,23,24,25},FALSE)</f>
        <v>Indians</v>
      </c>
      <c r="C55">
        <v>5</v>
      </c>
      <c r="D55">
        <v>1</v>
      </c>
      <c r="E55">
        <v>2.81</v>
      </c>
      <c r="F55">
        <v>55</v>
      </c>
      <c r="G55">
        <v>0</v>
      </c>
      <c r="H55">
        <v>0</v>
      </c>
      <c r="I55">
        <v>0</v>
      </c>
      <c r="J55">
        <v>4</v>
      </c>
      <c r="K55">
        <v>12</v>
      </c>
      <c r="L55">
        <v>2</v>
      </c>
      <c r="M55">
        <v>57.2</v>
      </c>
      <c r="N55">
        <v>231</v>
      </c>
      <c r="O55">
        <v>47</v>
      </c>
      <c r="P55">
        <v>22</v>
      </c>
      <c r="Q55">
        <v>18</v>
      </c>
      <c r="R55">
        <v>10</v>
      </c>
      <c r="S55">
        <v>15</v>
      </c>
      <c r="T55">
        <v>1</v>
      </c>
      <c r="U55">
        <v>0</v>
      </c>
      <c r="V55">
        <v>0</v>
      </c>
      <c r="W55">
        <v>0</v>
      </c>
      <c r="X55">
        <v>60</v>
      </c>
      <c r="Y55">
        <v>15594</v>
      </c>
      <c r="Z55" cm="1">
        <f t="array" ref="Z55:AR55">VLOOKUP(A55,advanced_pitchers_2019!A:Y,{3,4,5,6,7,8,9,10,11,12,13,14,15,16,17,18,19,20,21},FALSE)</f>
        <v>9.36</v>
      </c>
      <c r="AA55">
        <v>2.34</v>
      </c>
      <c r="AB55">
        <v>4</v>
      </c>
      <c r="AC55">
        <v>1.56</v>
      </c>
      <c r="AD55">
        <v>0.26</v>
      </c>
      <c r="AE55">
        <v>6.5000000000000002E-2</v>
      </c>
      <c r="AF55">
        <v>0.19500000000000001</v>
      </c>
      <c r="AG55">
        <v>0.218</v>
      </c>
      <c r="AH55">
        <v>1.08</v>
      </c>
      <c r="AI55">
        <v>0.253</v>
      </c>
      <c r="AJ55">
        <v>0.83299999999999996</v>
      </c>
      <c r="AK55">
        <v>58</v>
      </c>
      <c r="AL55">
        <v>91</v>
      </c>
      <c r="AM55">
        <v>87</v>
      </c>
      <c r="AN55">
        <v>2.81</v>
      </c>
      <c r="AO55">
        <v>4.17</v>
      </c>
      <c r="AP55">
        <v>-1.36</v>
      </c>
      <c r="AQ55">
        <v>3.98</v>
      </c>
      <c r="AR55">
        <v>3.67</v>
      </c>
      <c r="AS55" cm="1">
        <f t="array" ref="AS55:BA55">VLOOKUP(A55,plate_discipline_pitchers_2019!A:L,{3,4,5,6,7,8,9,10,11},FALSE)</f>
        <v>0.30099999999999999</v>
      </c>
      <c r="AT55">
        <v>0.66800000000000004</v>
      </c>
      <c r="AU55">
        <v>0.46700000000000003</v>
      </c>
      <c r="AV55">
        <v>0.72699999999999998</v>
      </c>
      <c r="AW55">
        <v>0.85</v>
      </c>
      <c r="AX55">
        <v>0.80700000000000005</v>
      </c>
      <c r="AY55">
        <v>0.45100000000000001</v>
      </c>
      <c r="AZ55">
        <v>0.61499999999999999</v>
      </c>
      <c r="BA55">
        <v>0.09</v>
      </c>
      <c r="BB55" cm="1">
        <f t="array" ref="BB55:BP55">VLOOKUP(A55,pitchvalue_pitchers_2019!A:Q,{3,4,5,6,7,8,9,10,11,12,13,14,15,16,17},FALSE)</f>
        <v>8.1999999999999993</v>
      </c>
      <c r="BC55">
        <v>0</v>
      </c>
      <c r="BD55">
        <v>0</v>
      </c>
      <c r="BE55">
        <v>-1.4</v>
      </c>
      <c r="BF55">
        <v>-0.1</v>
      </c>
      <c r="BG55">
        <v>0</v>
      </c>
      <c r="BH55">
        <v>0</v>
      </c>
      <c r="BI55">
        <v>1.27</v>
      </c>
      <c r="BJ55">
        <v>0</v>
      </c>
      <c r="BK55">
        <v>0</v>
      </c>
      <c r="BL55">
        <v>-0.73</v>
      </c>
      <c r="BM55">
        <v>-0.09</v>
      </c>
      <c r="BN55">
        <v>0</v>
      </c>
      <c r="BO55">
        <v>0</v>
      </c>
      <c r="BP55">
        <v>15594</v>
      </c>
      <c r="BQ55" cm="1">
        <f t="array" ref="BQ55:CH55">VLOOKUP(A55,battedball_pitchers_2019!A:U,{3,4,5,6,7,8,9,10,11,12,13,14,15,16,17,18,19,20},FALSE)</f>
        <v>0.253</v>
      </c>
      <c r="BR55">
        <v>0.98</v>
      </c>
      <c r="BS55">
        <v>0.23200000000000001</v>
      </c>
      <c r="BT55">
        <v>0.38100000000000001</v>
      </c>
      <c r="BU55">
        <v>0.38700000000000001</v>
      </c>
      <c r="BV55">
        <v>0.1</v>
      </c>
      <c r="BW55">
        <v>0.16700000000000001</v>
      </c>
      <c r="BX55">
        <v>46</v>
      </c>
      <c r="BY55">
        <v>7.18</v>
      </c>
      <c r="BZ55">
        <v>337</v>
      </c>
      <c r="CA55">
        <v>638</v>
      </c>
      <c r="CB55">
        <v>975</v>
      </c>
      <c r="CC55">
        <v>0.25600000000000001</v>
      </c>
      <c r="CD55">
        <v>0.436</v>
      </c>
      <c r="CE55">
        <v>0.308</v>
      </c>
      <c r="CF55">
        <v>0.115</v>
      </c>
      <c r="CG55">
        <v>0.39100000000000001</v>
      </c>
      <c r="CH55">
        <v>0.49399999999999999</v>
      </c>
      <c r="CI55" cm="1">
        <f t="array" ref="CI55:CS55">VLOOKUP(A55,verticalmove_pitchers_2019!A:N,{3,4,5,6,7,8,9,10,11,12,13},FALSE)</f>
        <v>57.2</v>
      </c>
      <c r="CJ55">
        <v>8.9</v>
      </c>
      <c r="CK55">
        <v>0</v>
      </c>
      <c r="CL55">
        <v>0</v>
      </c>
      <c r="CM55">
        <v>0</v>
      </c>
      <c r="CN55">
        <v>1.2</v>
      </c>
      <c r="CO55">
        <v>0</v>
      </c>
      <c r="CP55">
        <v>-1.4</v>
      </c>
      <c r="CQ55">
        <v>0</v>
      </c>
      <c r="CR55">
        <v>0</v>
      </c>
      <c r="CS55">
        <v>0</v>
      </c>
      <c r="CT55" cm="1">
        <f t="array" ref="CT55:DD55">VLOOKUP(A55,velocity_pitchers_2019!A:N,{3,4,5,6,7,8,9,10,11,12,13},FALSE)</f>
        <v>57.2</v>
      </c>
      <c r="CU55">
        <v>92.6</v>
      </c>
      <c r="CV55">
        <v>0</v>
      </c>
      <c r="CW55">
        <v>0</v>
      </c>
      <c r="CX55">
        <v>0</v>
      </c>
      <c r="CY55">
        <v>85.9</v>
      </c>
      <c r="CZ55">
        <v>0</v>
      </c>
      <c r="DA55">
        <v>83.8</v>
      </c>
      <c r="DB55">
        <v>0</v>
      </c>
      <c r="DC55">
        <v>0</v>
      </c>
      <c r="DD55">
        <v>0</v>
      </c>
    </row>
    <row r="56" spans="1:108" x14ac:dyDescent="0.3">
      <c r="A56" t="s">
        <v>150</v>
      </c>
      <c r="B56" t="str" cm="1">
        <f t="array" ref="B56:Y56">VLOOKUP(A56,standard_pitchers_2019!A:Y,{2,3,4,5,6,7,8,9,10,11,12,13,14,15,16,17,18,19,20,21,22,23,24,25},FALSE)</f>
        <v>Cardinals</v>
      </c>
      <c r="C56">
        <v>11</v>
      </c>
      <c r="D56">
        <v>1</v>
      </c>
      <c r="E56">
        <v>3.66</v>
      </c>
      <c r="F56">
        <v>64</v>
      </c>
      <c r="G56">
        <v>0</v>
      </c>
      <c r="H56">
        <v>0</v>
      </c>
      <c r="I56">
        <v>0</v>
      </c>
      <c r="J56">
        <v>3</v>
      </c>
      <c r="K56">
        <v>18</v>
      </c>
      <c r="L56">
        <v>3</v>
      </c>
      <c r="M56">
        <v>66.099999999999994</v>
      </c>
      <c r="N56">
        <v>269</v>
      </c>
      <c r="O56">
        <v>51</v>
      </c>
      <c r="P56">
        <v>29</v>
      </c>
      <c r="Q56">
        <v>27</v>
      </c>
      <c r="R56">
        <v>4</v>
      </c>
      <c r="S56">
        <v>34</v>
      </c>
      <c r="T56">
        <v>1</v>
      </c>
      <c r="U56">
        <v>0</v>
      </c>
      <c r="V56">
        <v>1</v>
      </c>
      <c r="W56">
        <v>0</v>
      </c>
      <c r="X56">
        <v>60</v>
      </c>
      <c r="Y56">
        <v>13684</v>
      </c>
      <c r="Z56" cm="1">
        <f t="array" ref="Z56:AR56">VLOOKUP(A56,advanced_pitchers_2019!A:Y,{3,4,5,6,7,8,9,10,11,12,13,14,15,16,17,18,19,20,21},FALSE)</f>
        <v>8.14</v>
      </c>
      <c r="AA56">
        <v>4.6100000000000003</v>
      </c>
      <c r="AB56">
        <v>1.76</v>
      </c>
      <c r="AC56">
        <v>0.54</v>
      </c>
      <c r="AD56">
        <v>0.223</v>
      </c>
      <c r="AE56">
        <v>0.126</v>
      </c>
      <c r="AF56">
        <v>9.7000000000000003E-2</v>
      </c>
      <c r="AG56">
        <v>0.217</v>
      </c>
      <c r="AH56">
        <v>1.28</v>
      </c>
      <c r="AI56">
        <v>0.27500000000000002</v>
      </c>
      <c r="AJ56">
        <v>0.70499999999999996</v>
      </c>
      <c r="AK56">
        <v>86</v>
      </c>
      <c r="AL56">
        <v>86</v>
      </c>
      <c r="AM56">
        <v>98</v>
      </c>
      <c r="AN56">
        <v>3.66</v>
      </c>
      <c r="AO56">
        <v>3.73</v>
      </c>
      <c r="AP56">
        <v>-0.06</v>
      </c>
      <c r="AQ56">
        <v>4.3499999999999996</v>
      </c>
      <c r="AR56">
        <v>4.71</v>
      </c>
      <c r="AS56" cm="1">
        <f t="array" ref="AS56:BA56">VLOOKUP(A56,plate_discipline_pitchers_2019!A:L,{3,4,5,6,7,8,9,10,11},FALSE)</f>
        <v>0.29399999999999998</v>
      </c>
      <c r="AT56">
        <v>0.69099999999999995</v>
      </c>
      <c r="AU56">
        <v>0.47099999999999997</v>
      </c>
      <c r="AV56">
        <v>0.59699999999999998</v>
      </c>
      <c r="AW56">
        <v>0.81200000000000006</v>
      </c>
      <c r="AX56">
        <v>0.73699999999999999</v>
      </c>
      <c r="AY56">
        <v>0.44400000000000001</v>
      </c>
      <c r="AZ56">
        <v>0.57599999999999996</v>
      </c>
      <c r="BA56">
        <v>0.124</v>
      </c>
      <c r="BB56" cm="1">
        <f t="array" ref="BB56:BP56">VLOOKUP(A56,pitchvalue_pitchers_2019!A:Q,{3,4,5,6,7,8,9,10,11,12,13,14,15,16,17},FALSE)</f>
        <v>8</v>
      </c>
      <c r="BC56">
        <v>0</v>
      </c>
      <c r="BD56">
        <v>4.8</v>
      </c>
      <c r="BE56">
        <v>0.6</v>
      </c>
      <c r="BF56">
        <v>0.6</v>
      </c>
      <c r="BG56">
        <v>0</v>
      </c>
      <c r="BH56">
        <v>0</v>
      </c>
      <c r="BI56">
        <v>1.29</v>
      </c>
      <c r="BJ56">
        <v>0</v>
      </c>
      <c r="BK56">
        <v>3.94</v>
      </c>
      <c r="BL56">
        <v>0.56000000000000005</v>
      </c>
      <c r="BM56">
        <v>0.23</v>
      </c>
      <c r="BN56">
        <v>0</v>
      </c>
      <c r="BO56">
        <v>0</v>
      </c>
      <c r="BP56">
        <v>13684</v>
      </c>
      <c r="BQ56" cm="1">
        <f t="array" ref="BQ56:CH56">VLOOKUP(A56,battedball_pitchers_2019!A:U,{3,4,5,6,7,8,9,10,11,12,13,14,15,16,17,18,19,20},FALSE)</f>
        <v>0.27500000000000002</v>
      </c>
      <c r="BR56">
        <v>1.72</v>
      </c>
      <c r="BS56">
        <v>0.26900000000000002</v>
      </c>
      <c r="BT56">
        <v>0.46300000000000002</v>
      </c>
      <c r="BU56">
        <v>0.26900000000000002</v>
      </c>
      <c r="BV56">
        <v>0.191</v>
      </c>
      <c r="BW56">
        <v>8.5000000000000006E-2</v>
      </c>
      <c r="BX56">
        <v>50</v>
      </c>
      <c r="BY56">
        <v>6.78</v>
      </c>
      <c r="BZ56">
        <v>407</v>
      </c>
      <c r="CA56">
        <v>700</v>
      </c>
      <c r="CB56">
        <v>1107</v>
      </c>
      <c r="CC56">
        <v>0.38300000000000001</v>
      </c>
      <c r="CD56">
        <v>0.36</v>
      </c>
      <c r="CE56">
        <v>0.25700000000000001</v>
      </c>
      <c r="CF56">
        <v>0.183</v>
      </c>
      <c r="CG56">
        <v>0.46300000000000002</v>
      </c>
      <c r="CH56">
        <v>0.35399999999999998</v>
      </c>
      <c r="CI56" cm="1">
        <f t="array" ref="CI56:CS56">VLOOKUP(A56,verticalmove_pitchers_2019!A:N,{3,4,5,6,7,8,9,10,11,12,13},FALSE)</f>
        <v>66.099999999999994</v>
      </c>
      <c r="CJ56">
        <v>8.9</v>
      </c>
      <c r="CK56">
        <v>4.5999999999999996</v>
      </c>
      <c r="CL56">
        <v>0</v>
      </c>
      <c r="CM56">
        <v>6.8</v>
      </c>
      <c r="CN56">
        <v>3.1</v>
      </c>
      <c r="CO56">
        <v>5.9</v>
      </c>
      <c r="CP56">
        <v>-10.3</v>
      </c>
      <c r="CQ56">
        <v>0</v>
      </c>
      <c r="CR56">
        <v>0</v>
      </c>
      <c r="CS56">
        <v>0</v>
      </c>
      <c r="CT56" cm="1">
        <f t="array" ref="CT56:DD56">VLOOKUP(A56,velocity_pitchers_2019!A:N,{3,4,5,6,7,8,9,10,11,12,13},FALSE)</f>
        <v>66.099999999999994</v>
      </c>
      <c r="CU56">
        <v>96.2</v>
      </c>
      <c r="CV56">
        <v>90.5</v>
      </c>
      <c r="CW56">
        <v>0</v>
      </c>
      <c r="CX56">
        <v>96.1</v>
      </c>
      <c r="CY56">
        <v>83.4</v>
      </c>
      <c r="CZ56">
        <v>92.6</v>
      </c>
      <c r="DA56">
        <v>77.400000000000006</v>
      </c>
      <c r="DB56">
        <v>0</v>
      </c>
      <c r="DC56">
        <v>0</v>
      </c>
      <c r="DD56">
        <v>0</v>
      </c>
    </row>
    <row r="57" spans="1:108" x14ac:dyDescent="0.3">
      <c r="A57" t="s">
        <v>234</v>
      </c>
      <c r="B57" t="str" cm="1">
        <f t="array" ref="B57:Y57">VLOOKUP(A57,standard_pitchers_2019!A:Y,{2,3,4,5,6,7,8,9,10,11,12,13,14,15,16,17,18,19,20,21,22,23,24,25},FALSE)</f>
        <v>Diamondbacks</v>
      </c>
      <c r="C57">
        <v>12</v>
      </c>
      <c r="D57">
        <v>8</v>
      </c>
      <c r="E57">
        <v>4.34</v>
      </c>
      <c r="F57">
        <v>33</v>
      </c>
      <c r="G57">
        <v>33</v>
      </c>
      <c r="H57">
        <v>0</v>
      </c>
      <c r="I57">
        <v>0</v>
      </c>
      <c r="J57">
        <v>0</v>
      </c>
      <c r="K57">
        <v>0</v>
      </c>
      <c r="L57">
        <v>0</v>
      </c>
      <c r="M57">
        <v>174.1</v>
      </c>
      <c r="N57">
        <v>747</v>
      </c>
      <c r="O57">
        <v>150</v>
      </c>
      <c r="P57">
        <v>91</v>
      </c>
      <c r="Q57">
        <v>84</v>
      </c>
      <c r="R57">
        <v>30</v>
      </c>
      <c r="S57">
        <v>84</v>
      </c>
      <c r="T57">
        <v>5</v>
      </c>
      <c r="U57">
        <v>5</v>
      </c>
      <c r="V57">
        <v>7</v>
      </c>
      <c r="W57">
        <v>0</v>
      </c>
      <c r="X57">
        <v>235</v>
      </c>
      <c r="Y57">
        <v>11486</v>
      </c>
      <c r="Z57" cm="1">
        <f t="array" ref="Z57:AR57">VLOOKUP(A57,advanced_pitchers_2019!A:Y,{3,4,5,6,7,8,9,10,11,12,13,14,15,16,17,18,19,20,21},FALSE)</f>
        <v>12.13</v>
      </c>
      <c r="AA57">
        <v>4.34</v>
      </c>
      <c r="AB57">
        <v>2.8</v>
      </c>
      <c r="AC57">
        <v>1.55</v>
      </c>
      <c r="AD57">
        <v>0.315</v>
      </c>
      <c r="AE57">
        <v>0.112</v>
      </c>
      <c r="AF57">
        <v>0.20200000000000001</v>
      </c>
      <c r="AG57">
        <v>0.22800000000000001</v>
      </c>
      <c r="AH57">
        <v>1.34</v>
      </c>
      <c r="AI57">
        <v>0.30499999999999999</v>
      </c>
      <c r="AJ57">
        <v>0.751</v>
      </c>
      <c r="AK57">
        <v>98</v>
      </c>
      <c r="AL57">
        <v>98</v>
      </c>
      <c r="AM57">
        <v>85</v>
      </c>
      <c r="AN57">
        <v>4.34</v>
      </c>
      <c r="AO57">
        <v>4.29</v>
      </c>
      <c r="AP57">
        <v>0.05</v>
      </c>
      <c r="AQ57">
        <v>3.76</v>
      </c>
      <c r="AR57">
        <v>4.0199999999999996</v>
      </c>
      <c r="AS57" cm="1">
        <f t="array" ref="AS57:BA57">VLOOKUP(A57,plate_discipline_pitchers_2019!A:L,{3,4,5,6,7,8,9,10,11},FALSE)</f>
        <v>0.315</v>
      </c>
      <c r="AT57">
        <v>0.66400000000000003</v>
      </c>
      <c r="AU57">
        <v>0.44900000000000001</v>
      </c>
      <c r="AV57">
        <v>0.56299999999999994</v>
      </c>
      <c r="AW57">
        <v>0.79800000000000004</v>
      </c>
      <c r="AX57">
        <v>0.69599999999999995</v>
      </c>
      <c r="AY57">
        <v>0.38400000000000001</v>
      </c>
      <c r="AZ57">
        <v>0.59399999999999997</v>
      </c>
      <c r="BA57">
        <v>0.13600000000000001</v>
      </c>
      <c r="BB57" cm="1">
        <f t="array" ref="BB57:BP57">VLOOKUP(A57,pitchvalue_pitchers_2019!A:Q,{3,4,5,6,7,8,9,10,11,12,13,14,15,16,17},FALSE)</f>
        <v>7.8</v>
      </c>
      <c r="BC57">
        <v>-6.9</v>
      </c>
      <c r="BD57">
        <v>0</v>
      </c>
      <c r="BE57">
        <v>-1.6</v>
      </c>
      <c r="BF57">
        <v>0</v>
      </c>
      <c r="BG57">
        <v>0</v>
      </c>
      <c r="BH57">
        <v>0</v>
      </c>
      <c r="BI57">
        <v>0.49</v>
      </c>
      <c r="BJ57">
        <v>-0.71</v>
      </c>
      <c r="BK57">
        <v>0</v>
      </c>
      <c r="BL57">
        <v>-0.34</v>
      </c>
      <c r="BM57">
        <v>0</v>
      </c>
      <c r="BN57">
        <v>0</v>
      </c>
      <c r="BO57">
        <v>0</v>
      </c>
      <c r="BP57">
        <v>11486</v>
      </c>
      <c r="BQ57" cm="1">
        <f t="array" ref="BQ57:CH57">VLOOKUP(A57,battedball_pitchers_2019!A:U,{3,4,5,6,7,8,9,10,11,12,13,14,15,16,17,18,19,20},FALSE)</f>
        <v>0.30499999999999999</v>
      </c>
      <c r="BR57">
        <v>1</v>
      </c>
      <c r="BS57">
        <v>0.25900000000000001</v>
      </c>
      <c r="BT57">
        <v>0.37</v>
      </c>
      <c r="BU57">
        <v>0.37</v>
      </c>
      <c r="BV57">
        <v>0.1</v>
      </c>
      <c r="BW57">
        <v>0.2</v>
      </c>
      <c r="BX57">
        <v>135</v>
      </c>
      <c r="BY57">
        <v>6.97</v>
      </c>
      <c r="BZ57">
        <v>1144</v>
      </c>
      <c r="CA57">
        <v>1920</v>
      </c>
      <c r="CB57">
        <v>3064</v>
      </c>
      <c r="CC57">
        <v>0.42899999999999999</v>
      </c>
      <c r="CD57">
        <v>0.34100000000000003</v>
      </c>
      <c r="CE57">
        <v>0.23</v>
      </c>
      <c r="CF57">
        <v>0.16400000000000001</v>
      </c>
      <c r="CG57">
        <v>0.40300000000000002</v>
      </c>
      <c r="CH57">
        <v>0.434</v>
      </c>
      <c r="CI57" cm="1">
        <f t="array" ref="CI57:CS57">VLOOKUP(A57,verticalmove_pitchers_2019!A:N,{3,4,5,6,7,8,9,10,11,12,13},FALSE)</f>
        <v>174.1</v>
      </c>
      <c r="CJ57">
        <v>9.9</v>
      </c>
      <c r="CK57">
        <v>0</v>
      </c>
      <c r="CL57">
        <v>8.6</v>
      </c>
      <c r="CM57">
        <v>7.3</v>
      </c>
      <c r="CN57">
        <v>0</v>
      </c>
      <c r="CO57">
        <v>1.7</v>
      </c>
      <c r="CP57">
        <v>-3.3</v>
      </c>
      <c r="CQ57">
        <v>0</v>
      </c>
      <c r="CR57">
        <v>0</v>
      </c>
      <c r="CS57">
        <v>0</v>
      </c>
      <c r="CT57" cm="1">
        <f t="array" ref="CT57:DD57">VLOOKUP(A57,velocity_pitchers_2019!A:N,{3,4,5,6,7,8,9,10,11,12,13},FALSE)</f>
        <v>174.1</v>
      </c>
      <c r="CU57">
        <v>92.7</v>
      </c>
      <c r="CV57">
        <v>0</v>
      </c>
      <c r="CW57">
        <v>91.3</v>
      </c>
      <c r="CX57">
        <v>92.3</v>
      </c>
      <c r="CY57">
        <v>0</v>
      </c>
      <c r="CZ57">
        <v>84.4</v>
      </c>
      <c r="DA57">
        <v>81.8</v>
      </c>
      <c r="DB57">
        <v>0</v>
      </c>
      <c r="DC57">
        <v>0</v>
      </c>
      <c r="DD57">
        <v>0</v>
      </c>
    </row>
    <row r="58" spans="1:108" x14ac:dyDescent="0.3">
      <c r="A58" t="s">
        <v>279</v>
      </c>
      <c r="B58" t="str" cm="1">
        <f t="array" ref="B58:Y58">VLOOKUP(A58,standard_pitchers_2019!A:Y,{2,3,4,5,6,7,8,9,10,11,12,13,14,15,16,17,18,19,20,21,22,23,24,25},FALSE)</f>
        <v>Cubs</v>
      </c>
      <c r="C58">
        <v>13</v>
      </c>
      <c r="D58">
        <v>9</v>
      </c>
      <c r="E58">
        <v>4.68</v>
      </c>
      <c r="F58">
        <v>32</v>
      </c>
      <c r="G58">
        <v>31</v>
      </c>
      <c r="H58">
        <v>0</v>
      </c>
      <c r="I58">
        <v>0</v>
      </c>
      <c r="J58">
        <v>0</v>
      </c>
      <c r="K58">
        <v>0</v>
      </c>
      <c r="L58">
        <v>0</v>
      </c>
      <c r="M58">
        <v>171</v>
      </c>
      <c r="N58">
        <v>745</v>
      </c>
      <c r="O58">
        <v>191</v>
      </c>
      <c r="P58">
        <v>100</v>
      </c>
      <c r="Q58">
        <v>89</v>
      </c>
      <c r="R58">
        <v>20</v>
      </c>
      <c r="S58">
        <v>46</v>
      </c>
      <c r="T58">
        <v>0</v>
      </c>
      <c r="U58">
        <v>2</v>
      </c>
      <c r="V58">
        <v>11</v>
      </c>
      <c r="W58">
        <v>0</v>
      </c>
      <c r="X58">
        <v>152</v>
      </c>
      <c r="Y58">
        <v>11423</v>
      </c>
      <c r="Z58" cm="1">
        <f t="array" ref="Z58:AR58">VLOOKUP(A58,advanced_pitchers_2019!A:Y,{3,4,5,6,7,8,9,10,11,12,13,14,15,16,17,18,19,20,21},FALSE)</f>
        <v>8</v>
      </c>
      <c r="AA58">
        <v>2.42</v>
      </c>
      <c r="AB58">
        <v>3.3</v>
      </c>
      <c r="AC58">
        <v>1.05</v>
      </c>
      <c r="AD58">
        <v>0.20399999999999999</v>
      </c>
      <c r="AE58">
        <v>6.2E-2</v>
      </c>
      <c r="AF58">
        <v>0.14199999999999999</v>
      </c>
      <c r="AG58">
        <v>0.27400000000000002</v>
      </c>
      <c r="AH58">
        <v>1.39</v>
      </c>
      <c r="AI58">
        <v>0.32600000000000001</v>
      </c>
      <c r="AJ58">
        <v>0.65900000000000003</v>
      </c>
      <c r="AK58">
        <v>107</v>
      </c>
      <c r="AL58">
        <v>85</v>
      </c>
      <c r="AM58">
        <v>95</v>
      </c>
      <c r="AN58">
        <v>4.68</v>
      </c>
      <c r="AO58">
        <v>3.8</v>
      </c>
      <c r="AP58">
        <v>0.89</v>
      </c>
      <c r="AQ58">
        <v>4.2</v>
      </c>
      <c r="AR58">
        <v>4.5</v>
      </c>
      <c r="AS58" cm="1">
        <f t="array" ref="AS58:BA58">VLOOKUP(A58,plate_discipline_pitchers_2019!A:L,{3,4,5,6,7,8,9,10,11},FALSE)</f>
        <v>0.29399999999999998</v>
      </c>
      <c r="AT58">
        <v>0.65700000000000003</v>
      </c>
      <c r="AU58">
        <v>0.441</v>
      </c>
      <c r="AV58">
        <v>0.67300000000000004</v>
      </c>
      <c r="AW58">
        <v>0.90300000000000002</v>
      </c>
      <c r="AX58">
        <v>0.81100000000000005</v>
      </c>
      <c r="AY58">
        <v>0.40400000000000003</v>
      </c>
      <c r="AZ58">
        <v>0.624</v>
      </c>
      <c r="BA58">
        <v>8.3000000000000004E-2</v>
      </c>
      <c r="BB58" cm="1">
        <f t="array" ref="BB58:BP58">VLOOKUP(A58,pitchvalue_pitchers_2019!A:Q,{3,4,5,6,7,8,9,10,11,12,13,14,15,16,17},FALSE)</f>
        <v>7.8</v>
      </c>
      <c r="BC58">
        <v>0.7</v>
      </c>
      <c r="BD58">
        <v>0</v>
      </c>
      <c r="BE58">
        <v>-5.3</v>
      </c>
      <c r="BF58">
        <v>-10.199999999999999</v>
      </c>
      <c r="BG58">
        <v>0</v>
      </c>
      <c r="BH58">
        <v>0</v>
      </c>
      <c r="BI58">
        <v>0.45</v>
      </c>
      <c r="BJ58">
        <v>0.42</v>
      </c>
      <c r="BK58">
        <v>0</v>
      </c>
      <c r="BL58">
        <v>-0.9</v>
      </c>
      <c r="BM58">
        <v>-3.28</v>
      </c>
      <c r="BN58">
        <v>0</v>
      </c>
      <c r="BO58">
        <v>0</v>
      </c>
      <c r="BP58">
        <v>11423</v>
      </c>
      <c r="BQ58" cm="1">
        <f t="array" ref="BQ58:CH58">VLOOKUP(A58,battedball_pitchers_2019!A:U,{3,4,5,6,7,8,9,10,11,12,13,14,15,16,17,18,19,20},FALSE)</f>
        <v>0.32600000000000001</v>
      </c>
      <c r="BR58">
        <v>1.44</v>
      </c>
      <c r="BS58">
        <v>0.246</v>
      </c>
      <c r="BT58">
        <v>0.44500000000000001</v>
      </c>
      <c r="BU58">
        <v>0.31</v>
      </c>
      <c r="BV58">
        <v>7.9000000000000001E-2</v>
      </c>
      <c r="BW58">
        <v>0.121</v>
      </c>
      <c r="BX58">
        <v>120</v>
      </c>
      <c r="BY58">
        <v>6.32</v>
      </c>
      <c r="BZ58">
        <v>1063</v>
      </c>
      <c r="CA58">
        <v>1763</v>
      </c>
      <c r="CB58">
        <v>2826</v>
      </c>
      <c r="CC58">
        <v>0.373</v>
      </c>
      <c r="CD58">
        <v>0.377</v>
      </c>
      <c r="CE58">
        <v>0.25</v>
      </c>
      <c r="CF58">
        <v>0.16500000000000001</v>
      </c>
      <c r="CG58">
        <v>0.45200000000000001</v>
      </c>
      <c r="CH58">
        <v>0.38200000000000001</v>
      </c>
      <c r="CI58" cm="1">
        <f t="array" ref="CI58:CS58">VLOOKUP(A58,verticalmove_pitchers_2019!A:N,{3,4,5,6,7,8,9,10,11,12,13},FALSE)</f>
        <v>171</v>
      </c>
      <c r="CJ58">
        <v>8.6999999999999993</v>
      </c>
      <c r="CK58">
        <v>0</v>
      </c>
      <c r="CL58">
        <v>0</v>
      </c>
      <c r="CM58">
        <v>7.5</v>
      </c>
      <c r="CN58">
        <v>4.8</v>
      </c>
      <c r="CO58">
        <v>0</v>
      </c>
      <c r="CP58">
        <v>-5</v>
      </c>
      <c r="CQ58">
        <v>0</v>
      </c>
      <c r="CR58">
        <v>0</v>
      </c>
      <c r="CS58">
        <v>0</v>
      </c>
      <c r="CT58" cm="1">
        <f t="array" ref="CT58:DD58">VLOOKUP(A58,velocity_pitchers_2019!A:N,{3,4,5,6,7,8,9,10,11,12,13},FALSE)</f>
        <v>171</v>
      </c>
      <c r="CU58">
        <v>91.6</v>
      </c>
      <c r="CV58">
        <v>0</v>
      </c>
      <c r="CW58">
        <v>0</v>
      </c>
      <c r="CX58">
        <v>91.6</v>
      </c>
      <c r="CY58">
        <v>86.8</v>
      </c>
      <c r="CZ58">
        <v>0</v>
      </c>
      <c r="DA58">
        <v>77.099999999999994</v>
      </c>
      <c r="DB58">
        <v>0</v>
      </c>
      <c r="DC58">
        <v>0</v>
      </c>
      <c r="DD58">
        <v>0</v>
      </c>
    </row>
    <row r="59" spans="1:108" x14ac:dyDescent="0.3">
      <c r="A59" t="s">
        <v>104</v>
      </c>
      <c r="B59" t="str" cm="1">
        <f t="array" ref="B59:Y59">VLOOKUP(A59,standard_pitchers_2019!A:Y,{2,3,4,5,6,7,8,9,10,11,12,13,14,15,16,17,18,19,20,21,22,23,24,25},FALSE)</f>
        <v>Rays</v>
      </c>
      <c r="C59">
        <v>16</v>
      </c>
      <c r="D59">
        <v>6</v>
      </c>
      <c r="E59">
        <v>3.05</v>
      </c>
      <c r="F59">
        <v>33</v>
      </c>
      <c r="G59">
        <v>33</v>
      </c>
      <c r="H59">
        <v>0</v>
      </c>
      <c r="I59">
        <v>0</v>
      </c>
      <c r="J59">
        <v>0</v>
      </c>
      <c r="K59">
        <v>0</v>
      </c>
      <c r="L59">
        <v>0</v>
      </c>
      <c r="M59">
        <v>194.2</v>
      </c>
      <c r="N59">
        <v>790</v>
      </c>
      <c r="O59">
        <v>154</v>
      </c>
      <c r="P59">
        <v>71</v>
      </c>
      <c r="Q59">
        <v>66</v>
      </c>
      <c r="R59">
        <v>15</v>
      </c>
      <c r="S59">
        <v>57</v>
      </c>
      <c r="T59">
        <v>0</v>
      </c>
      <c r="U59">
        <v>12</v>
      </c>
      <c r="V59">
        <v>5</v>
      </c>
      <c r="W59">
        <v>1</v>
      </c>
      <c r="X59">
        <v>240</v>
      </c>
      <c r="Y59">
        <v>4676</v>
      </c>
      <c r="Z59" cm="1">
        <f t="array" ref="Z59:AR59">VLOOKUP(A59,advanced_pitchers_2019!A:Y,{3,4,5,6,7,8,9,10,11,12,13,14,15,16,17,18,19,20,21},FALSE)</f>
        <v>11.1</v>
      </c>
      <c r="AA59">
        <v>2.64</v>
      </c>
      <c r="AB59">
        <v>4.21</v>
      </c>
      <c r="AC59">
        <v>0.69</v>
      </c>
      <c r="AD59">
        <v>0.30399999999999999</v>
      </c>
      <c r="AE59">
        <v>7.1999999999999995E-2</v>
      </c>
      <c r="AF59">
        <v>0.23200000000000001</v>
      </c>
      <c r="AG59">
        <v>0.214</v>
      </c>
      <c r="AH59">
        <v>1.08</v>
      </c>
      <c r="AI59">
        <v>0.29799999999999999</v>
      </c>
      <c r="AJ59">
        <v>0.752</v>
      </c>
      <c r="AK59">
        <v>69</v>
      </c>
      <c r="AL59">
        <v>64</v>
      </c>
      <c r="AM59">
        <v>72</v>
      </c>
      <c r="AN59">
        <v>3.05</v>
      </c>
      <c r="AO59">
        <v>2.81</v>
      </c>
      <c r="AP59">
        <v>0.24</v>
      </c>
      <c r="AQ59">
        <v>3.28</v>
      </c>
      <c r="AR59">
        <v>3.54</v>
      </c>
      <c r="AS59" cm="1">
        <f t="array" ref="AS59:BA59">VLOOKUP(A59,plate_discipline_pitchers_2019!A:L,{3,4,5,6,7,8,9,10,11},FALSE)</f>
        <v>0.33500000000000002</v>
      </c>
      <c r="AT59">
        <v>0.64100000000000001</v>
      </c>
      <c r="AU59">
        <v>0.47299999999999998</v>
      </c>
      <c r="AV59">
        <v>0.55500000000000005</v>
      </c>
      <c r="AW59">
        <v>0.83599999999999997</v>
      </c>
      <c r="AX59">
        <v>0.72599999999999998</v>
      </c>
      <c r="AY59">
        <v>0.45100000000000001</v>
      </c>
      <c r="AZ59">
        <v>0.627</v>
      </c>
      <c r="BA59">
        <v>0.129</v>
      </c>
      <c r="BB59" cm="1">
        <f t="array" ref="BB59:BP59">VLOOKUP(A59,pitchvalue_pitchers_2019!A:Q,{3,4,5,6,7,8,9,10,11,12,13,14,15,16,17},FALSE)</f>
        <v>7.8</v>
      </c>
      <c r="BC59">
        <v>0</v>
      </c>
      <c r="BD59">
        <v>3.9</v>
      </c>
      <c r="BE59">
        <v>25.3</v>
      </c>
      <c r="BF59">
        <v>-2.6</v>
      </c>
      <c r="BG59">
        <v>0</v>
      </c>
      <c r="BH59">
        <v>0</v>
      </c>
      <c r="BI59">
        <v>0.51</v>
      </c>
      <c r="BJ59">
        <v>0</v>
      </c>
      <c r="BK59">
        <v>1.18</v>
      </c>
      <c r="BL59">
        <v>2.16</v>
      </c>
      <c r="BM59">
        <v>-2.6</v>
      </c>
      <c r="BN59">
        <v>0</v>
      </c>
      <c r="BO59">
        <v>0</v>
      </c>
      <c r="BP59">
        <v>4676</v>
      </c>
      <c r="BQ59" cm="1">
        <f t="array" ref="BQ59:CH59">VLOOKUP(A59,battedball_pitchers_2019!A:U,{3,4,5,6,7,8,9,10,11,12,13,14,15,16,17,18,19,20},FALSE)</f>
        <v>0.29799999999999999</v>
      </c>
      <c r="BR59">
        <v>1.6</v>
      </c>
      <c r="BS59">
        <v>0.217</v>
      </c>
      <c r="BT59">
        <v>0.48199999999999998</v>
      </c>
      <c r="BU59">
        <v>0.30099999999999999</v>
      </c>
      <c r="BV59">
        <v>0.111</v>
      </c>
      <c r="BW59">
        <v>0.104</v>
      </c>
      <c r="BX59">
        <v>112</v>
      </c>
      <c r="BY59">
        <v>5.18</v>
      </c>
      <c r="BZ59">
        <v>1065</v>
      </c>
      <c r="CA59">
        <v>2074</v>
      </c>
      <c r="CB59">
        <v>3139</v>
      </c>
      <c r="CC59">
        <v>0.39100000000000001</v>
      </c>
      <c r="CD59">
        <v>0.33700000000000002</v>
      </c>
      <c r="CE59">
        <v>0.27200000000000002</v>
      </c>
      <c r="CF59">
        <v>0.16400000000000001</v>
      </c>
      <c r="CG59">
        <v>0.497</v>
      </c>
      <c r="CH59">
        <v>0.33900000000000002</v>
      </c>
      <c r="CI59" cm="1">
        <f t="array" ref="CI59:CS59">VLOOKUP(A59,verticalmove_pitchers_2019!A:N,{3,4,5,6,7,8,9,10,11,12,13},FALSE)</f>
        <v>194.2</v>
      </c>
      <c r="CJ59">
        <v>6.5</v>
      </c>
      <c r="CK59">
        <v>2</v>
      </c>
      <c r="CL59">
        <v>0.9</v>
      </c>
      <c r="CM59">
        <v>2.4</v>
      </c>
      <c r="CN59">
        <v>0</v>
      </c>
      <c r="CO59">
        <v>0.1</v>
      </c>
      <c r="CP59">
        <v>-6.6</v>
      </c>
      <c r="CQ59">
        <v>0</v>
      </c>
      <c r="CR59">
        <v>0</v>
      </c>
      <c r="CS59">
        <v>0</v>
      </c>
      <c r="CT59" cm="1">
        <f t="array" ref="CT59:DD59">VLOOKUP(A59,velocity_pitchers_2019!A:N,{3,4,5,6,7,8,9,10,11,12,13},FALSE)</f>
        <v>194.2</v>
      </c>
      <c r="CU59">
        <v>95</v>
      </c>
      <c r="CV59">
        <v>86.7</v>
      </c>
      <c r="CW59">
        <v>85.2</v>
      </c>
      <c r="CX59">
        <v>94.2</v>
      </c>
      <c r="CY59">
        <v>0</v>
      </c>
      <c r="CZ59">
        <v>85.5</v>
      </c>
      <c r="DA59">
        <v>78.8</v>
      </c>
      <c r="DB59">
        <v>0</v>
      </c>
      <c r="DC59">
        <v>0</v>
      </c>
      <c r="DD59">
        <v>0</v>
      </c>
    </row>
    <row r="60" spans="1:108" x14ac:dyDescent="0.3">
      <c r="A60" t="s">
        <v>122</v>
      </c>
      <c r="B60" t="str" cm="1">
        <f t="array" ref="B60:Y60">VLOOKUP(A60,standard_pitchers_2019!A:Y,{2,3,4,5,6,7,8,9,10,11,12,13,14,15,16,17,18,19,20,21,22,23,24,25},FALSE)</f>
        <v>Phillies</v>
      </c>
      <c r="C60">
        <v>3</v>
      </c>
      <c r="D60">
        <v>4</v>
      </c>
      <c r="E60">
        <v>3.36</v>
      </c>
      <c r="F60">
        <v>67</v>
      </c>
      <c r="G60">
        <v>1</v>
      </c>
      <c r="H60">
        <v>0</v>
      </c>
      <c r="I60">
        <v>0</v>
      </c>
      <c r="J60">
        <v>1</v>
      </c>
      <c r="K60">
        <v>16</v>
      </c>
      <c r="L60">
        <v>2</v>
      </c>
      <c r="M60">
        <v>59</v>
      </c>
      <c r="N60">
        <v>255</v>
      </c>
      <c r="O60">
        <v>66</v>
      </c>
      <c r="P60">
        <v>25</v>
      </c>
      <c r="Q60">
        <v>22</v>
      </c>
      <c r="R60">
        <v>8</v>
      </c>
      <c r="S60">
        <v>18</v>
      </c>
      <c r="T60">
        <v>4</v>
      </c>
      <c r="U60">
        <v>1</v>
      </c>
      <c r="V60">
        <v>3</v>
      </c>
      <c r="W60">
        <v>0</v>
      </c>
      <c r="X60">
        <v>51</v>
      </c>
      <c r="Y60">
        <v>5358</v>
      </c>
      <c r="Z60" cm="1">
        <f t="array" ref="Z60:AR60">VLOOKUP(A60,advanced_pitchers_2019!A:Y,{3,4,5,6,7,8,9,10,11,12,13,14,15,16,17,18,19,20,21},FALSE)</f>
        <v>7.78</v>
      </c>
      <c r="AA60">
        <v>2.75</v>
      </c>
      <c r="AB60">
        <v>2.83</v>
      </c>
      <c r="AC60">
        <v>1.22</v>
      </c>
      <c r="AD60">
        <v>0.2</v>
      </c>
      <c r="AE60">
        <v>7.0999999999999994E-2</v>
      </c>
      <c r="AF60">
        <v>0.129</v>
      </c>
      <c r="AG60">
        <v>0.28000000000000003</v>
      </c>
      <c r="AH60">
        <v>1.42</v>
      </c>
      <c r="AI60">
        <v>0.32800000000000001</v>
      </c>
      <c r="AJ60">
        <v>0.81299999999999994</v>
      </c>
      <c r="AK60">
        <v>76</v>
      </c>
      <c r="AL60">
        <v>93</v>
      </c>
      <c r="AM60">
        <v>93</v>
      </c>
      <c r="AN60">
        <v>3.36</v>
      </c>
      <c r="AO60">
        <v>4.21</v>
      </c>
      <c r="AP60">
        <v>-0.86</v>
      </c>
      <c r="AQ60">
        <v>4.1399999999999997</v>
      </c>
      <c r="AR60">
        <v>4.17</v>
      </c>
      <c r="AS60" cm="1">
        <f t="array" ref="AS60:BA60">VLOOKUP(A60,plate_discipline_pitchers_2019!A:L,{3,4,5,6,7,8,9,10,11},FALSE)</f>
        <v>0.34300000000000003</v>
      </c>
      <c r="AT60">
        <v>0.73199999999999998</v>
      </c>
      <c r="AU60">
        <v>0.51500000000000001</v>
      </c>
      <c r="AV60">
        <v>0.68600000000000005</v>
      </c>
      <c r="AW60">
        <v>0.84299999999999997</v>
      </c>
      <c r="AX60">
        <v>0.78500000000000003</v>
      </c>
      <c r="AY60">
        <v>0.443</v>
      </c>
      <c r="AZ60">
        <v>0.64700000000000002</v>
      </c>
      <c r="BA60">
        <v>0.111</v>
      </c>
      <c r="BB60" cm="1">
        <f t="array" ref="BB60:BP60">VLOOKUP(A60,pitchvalue_pitchers_2019!A:Q,{3,4,5,6,7,8,9,10,11,12,13,14,15,16,17},FALSE)</f>
        <v>7.7</v>
      </c>
      <c r="BC60">
        <v>-6.9</v>
      </c>
      <c r="BD60">
        <v>-3.1</v>
      </c>
      <c r="BE60">
        <v>0</v>
      </c>
      <c r="BF60">
        <v>0</v>
      </c>
      <c r="BG60">
        <v>0</v>
      </c>
      <c r="BH60">
        <v>0</v>
      </c>
      <c r="BI60">
        <v>1.49</v>
      </c>
      <c r="BJ60">
        <v>-3.85</v>
      </c>
      <c r="BK60">
        <v>-4.32</v>
      </c>
      <c r="BL60">
        <v>0</v>
      </c>
      <c r="BM60">
        <v>0.02</v>
      </c>
      <c r="BN60">
        <v>0</v>
      </c>
      <c r="BO60">
        <v>0</v>
      </c>
      <c r="BP60">
        <v>5358</v>
      </c>
      <c r="BQ60" cm="1">
        <f t="array" ref="BQ60:CH60">VLOOKUP(A60,battedball_pitchers_2019!A:U,{3,4,5,6,7,8,9,10,11,12,13,14,15,16,17,18,19,20},FALSE)</f>
        <v>0.32800000000000001</v>
      </c>
      <c r="BR60">
        <v>1.8</v>
      </c>
      <c r="BS60">
        <v>0.23499999999999999</v>
      </c>
      <c r="BT60">
        <v>0.49199999999999999</v>
      </c>
      <c r="BU60">
        <v>0.27300000000000002</v>
      </c>
      <c r="BV60">
        <v>0.08</v>
      </c>
      <c r="BW60">
        <v>0.16</v>
      </c>
      <c r="BX60">
        <v>29</v>
      </c>
      <c r="BY60">
        <v>4.42</v>
      </c>
      <c r="BZ60">
        <v>327</v>
      </c>
      <c r="CA60">
        <v>657</v>
      </c>
      <c r="CB60">
        <v>984</v>
      </c>
      <c r="CC60">
        <v>0.35299999999999998</v>
      </c>
      <c r="CD60">
        <v>0.40200000000000002</v>
      </c>
      <c r="CE60">
        <v>0.245</v>
      </c>
      <c r="CF60">
        <v>0.158</v>
      </c>
      <c r="CG60">
        <v>0.54300000000000004</v>
      </c>
      <c r="CH60">
        <v>0.29899999999999999</v>
      </c>
      <c r="CI60" cm="1">
        <f t="array" ref="CI60:CS60">VLOOKUP(A60,verticalmove_pitchers_2019!A:N,{3,4,5,6,7,8,9,10,11,12,13},FALSE)</f>
        <v>59</v>
      </c>
      <c r="CJ60">
        <v>8.5</v>
      </c>
      <c r="CK60">
        <v>4.5</v>
      </c>
      <c r="CL60">
        <v>0</v>
      </c>
      <c r="CM60">
        <v>5.9</v>
      </c>
      <c r="CN60">
        <v>2</v>
      </c>
      <c r="CO60">
        <v>1.8</v>
      </c>
      <c r="CP60">
        <v>-0.5</v>
      </c>
      <c r="CQ60">
        <v>0</v>
      </c>
      <c r="CR60">
        <v>0</v>
      </c>
      <c r="CS60">
        <v>0</v>
      </c>
      <c r="CT60" cm="1">
        <f t="array" ref="CT60:DD60">VLOOKUP(A60,velocity_pitchers_2019!A:N,{3,4,5,6,7,8,9,10,11,12,13},FALSE)</f>
        <v>59</v>
      </c>
      <c r="CU60">
        <v>91.9</v>
      </c>
      <c r="CV60">
        <v>86.3</v>
      </c>
      <c r="CW60">
        <v>0</v>
      </c>
      <c r="CX60">
        <v>91.6</v>
      </c>
      <c r="CY60">
        <v>82.3</v>
      </c>
      <c r="CZ60">
        <v>83.5</v>
      </c>
      <c r="DA60">
        <v>82.8</v>
      </c>
      <c r="DB60">
        <v>0</v>
      </c>
      <c r="DC60">
        <v>0</v>
      </c>
      <c r="DD60">
        <v>0</v>
      </c>
    </row>
    <row r="61" spans="1:108" x14ac:dyDescent="0.3">
      <c r="A61" t="s">
        <v>137</v>
      </c>
      <c r="B61" t="str" cm="1">
        <f t="array" ref="B61:Y61">VLOOKUP(A61,standard_pitchers_2019!A:Y,{2,3,4,5,6,7,8,9,10,11,12,13,14,15,16,17,18,19,20,21,22,23,24,25},FALSE)</f>
        <v>Giants</v>
      </c>
      <c r="C61">
        <v>11</v>
      </c>
      <c r="D61">
        <v>12</v>
      </c>
      <c r="E61">
        <v>3.52</v>
      </c>
      <c r="F61">
        <v>32</v>
      </c>
      <c r="G61">
        <v>32</v>
      </c>
      <c r="H61">
        <v>0</v>
      </c>
      <c r="I61">
        <v>0</v>
      </c>
      <c r="J61">
        <v>0</v>
      </c>
      <c r="K61">
        <v>0</v>
      </c>
      <c r="L61">
        <v>0</v>
      </c>
      <c r="M61">
        <v>181.1</v>
      </c>
      <c r="N61">
        <v>740</v>
      </c>
      <c r="O61">
        <v>152</v>
      </c>
      <c r="P61">
        <v>78</v>
      </c>
      <c r="Q61">
        <v>71</v>
      </c>
      <c r="R61">
        <v>28</v>
      </c>
      <c r="S61">
        <v>49</v>
      </c>
      <c r="T61">
        <v>4</v>
      </c>
      <c r="U61">
        <v>6</v>
      </c>
      <c r="V61">
        <v>5</v>
      </c>
      <c r="W61">
        <v>0</v>
      </c>
      <c r="X61">
        <v>140</v>
      </c>
      <c r="Y61">
        <v>3254</v>
      </c>
      <c r="Z61" cm="1">
        <f t="array" ref="Z61:AR61">VLOOKUP(A61,advanced_pitchers_2019!A:Y,{3,4,5,6,7,8,9,10,11,12,13,14,15,16,17,18,19,20,21},FALSE)</f>
        <v>6.95</v>
      </c>
      <c r="AA61">
        <v>2.4300000000000002</v>
      </c>
      <c r="AB61">
        <v>2.86</v>
      </c>
      <c r="AC61">
        <v>1.39</v>
      </c>
      <c r="AD61">
        <v>0.189</v>
      </c>
      <c r="AE61">
        <v>6.6000000000000003E-2</v>
      </c>
      <c r="AF61">
        <v>0.123</v>
      </c>
      <c r="AG61">
        <v>0.222</v>
      </c>
      <c r="AH61">
        <v>1.1100000000000001</v>
      </c>
      <c r="AI61">
        <v>0.24</v>
      </c>
      <c r="AJ61">
        <v>0.76900000000000002</v>
      </c>
      <c r="AK61">
        <v>84</v>
      </c>
      <c r="AL61">
        <v>110</v>
      </c>
      <c r="AM61">
        <v>113</v>
      </c>
      <c r="AN61">
        <v>3.52</v>
      </c>
      <c r="AO61">
        <v>4.59</v>
      </c>
      <c r="AP61">
        <v>-1.06</v>
      </c>
      <c r="AQ61">
        <v>5.0199999999999996</v>
      </c>
      <c r="AR61">
        <v>4.92</v>
      </c>
      <c r="AS61" cm="1">
        <f t="array" ref="AS61:BA61">VLOOKUP(A61,plate_discipline_pitchers_2019!A:L,{3,4,5,6,7,8,9,10,11},FALSE)</f>
        <v>0.309</v>
      </c>
      <c r="AT61">
        <v>0.71199999999999997</v>
      </c>
      <c r="AU61">
        <v>0.48099999999999998</v>
      </c>
      <c r="AV61">
        <v>0.73899999999999999</v>
      </c>
      <c r="AW61">
        <v>0.86199999999999999</v>
      </c>
      <c r="AX61">
        <v>0.81699999999999995</v>
      </c>
      <c r="AY61">
        <v>0.42599999999999999</v>
      </c>
      <c r="AZ61">
        <v>0.60899999999999999</v>
      </c>
      <c r="BA61">
        <v>8.7999999999999995E-2</v>
      </c>
      <c r="BB61" cm="1">
        <f t="array" ref="BB61:BP61">VLOOKUP(A61,pitchvalue_pitchers_2019!A:Q,{3,4,5,6,7,8,9,10,11,12,13,14,15,16,17},FALSE)</f>
        <v>7.5</v>
      </c>
      <c r="BC61">
        <v>10.1</v>
      </c>
      <c r="BD61">
        <v>9.4</v>
      </c>
      <c r="BE61">
        <v>-2.7</v>
      </c>
      <c r="BF61">
        <v>0</v>
      </c>
      <c r="BG61">
        <v>-5.3</v>
      </c>
      <c r="BH61">
        <v>0</v>
      </c>
      <c r="BI61">
        <v>0.55000000000000004</v>
      </c>
      <c r="BJ61">
        <v>1.67</v>
      </c>
      <c r="BK61">
        <v>1.36</v>
      </c>
      <c r="BL61">
        <v>-3.68</v>
      </c>
      <c r="BM61">
        <v>0</v>
      </c>
      <c r="BN61">
        <v>-2.0099999999999998</v>
      </c>
      <c r="BO61">
        <v>0</v>
      </c>
      <c r="BP61">
        <v>3254</v>
      </c>
      <c r="BQ61" cm="1">
        <f t="array" ref="BQ61:CH61">VLOOKUP(A61,battedball_pitchers_2019!A:U,{3,4,5,6,7,8,9,10,11,12,13,14,15,16,17,18,19,20},FALSE)</f>
        <v>0.24</v>
      </c>
      <c r="BR61">
        <v>0.88</v>
      </c>
      <c r="BS61">
        <v>0.223</v>
      </c>
      <c r="BT61">
        <v>0.36399999999999999</v>
      </c>
      <c r="BU61">
        <v>0.41299999999999998</v>
      </c>
      <c r="BV61">
        <v>8.5999999999999993E-2</v>
      </c>
      <c r="BW61">
        <v>0.126</v>
      </c>
      <c r="BX61">
        <v>105</v>
      </c>
      <c r="BY61">
        <v>5.21</v>
      </c>
      <c r="BZ61">
        <v>1085</v>
      </c>
      <c r="CA61">
        <v>1921</v>
      </c>
      <c r="CB61">
        <v>3006</v>
      </c>
      <c r="CC61">
        <v>0.42</v>
      </c>
      <c r="CD61">
        <v>0.36699999999999999</v>
      </c>
      <c r="CE61">
        <v>0.21299999999999999</v>
      </c>
      <c r="CF61">
        <v>0.15</v>
      </c>
      <c r="CG61">
        <v>0.44800000000000001</v>
      </c>
      <c r="CH61">
        <v>0.40200000000000002</v>
      </c>
      <c r="CI61" cm="1">
        <f t="array" ref="CI61:CS61">VLOOKUP(A61,verticalmove_pitchers_2019!A:N,{3,4,5,6,7,8,9,10,11,12,13},FALSE)</f>
        <v>181.1</v>
      </c>
      <c r="CJ61">
        <v>8.4</v>
      </c>
      <c r="CK61">
        <v>6.1</v>
      </c>
      <c r="CL61">
        <v>4.8</v>
      </c>
      <c r="CM61">
        <v>4.8</v>
      </c>
      <c r="CN61">
        <v>0</v>
      </c>
      <c r="CO61">
        <v>3.4</v>
      </c>
      <c r="CP61">
        <v>-7</v>
      </c>
      <c r="CQ61">
        <v>0</v>
      </c>
      <c r="CR61">
        <v>0</v>
      </c>
      <c r="CS61">
        <v>0</v>
      </c>
      <c r="CT61" cm="1">
        <f t="array" ref="CT61:DD61">VLOOKUP(A61,velocity_pitchers_2019!A:N,{3,4,5,6,7,8,9,10,11,12,13},FALSE)</f>
        <v>181.1</v>
      </c>
      <c r="CU61">
        <v>91.9</v>
      </c>
      <c r="CV61">
        <v>89.3</v>
      </c>
      <c r="CW61">
        <v>82.6</v>
      </c>
      <c r="CX61">
        <v>92.4</v>
      </c>
      <c r="CY61">
        <v>0</v>
      </c>
      <c r="CZ61">
        <v>85.4</v>
      </c>
      <c r="DA61">
        <v>76.7</v>
      </c>
      <c r="DB61">
        <v>0</v>
      </c>
      <c r="DC61">
        <v>0</v>
      </c>
      <c r="DD61">
        <v>0</v>
      </c>
    </row>
    <row r="62" spans="1:108" x14ac:dyDescent="0.3">
      <c r="A62" t="s">
        <v>200</v>
      </c>
      <c r="B62" t="str" cm="1">
        <f t="array" ref="B62:Y62">VLOOKUP(A62,standard_pitchers_2019!A:Y,{2,3,4,5,6,7,8,9,10,11,12,13,14,15,16,17,18,19,20,21,22,23,24,25},FALSE)</f>
        <v>- - -</v>
      </c>
      <c r="C62">
        <v>5</v>
      </c>
      <c r="D62">
        <v>5</v>
      </c>
      <c r="E62">
        <v>4.04</v>
      </c>
      <c r="F62">
        <v>72</v>
      </c>
      <c r="G62">
        <v>0</v>
      </c>
      <c r="H62">
        <v>0</v>
      </c>
      <c r="I62">
        <v>0</v>
      </c>
      <c r="J62">
        <v>1</v>
      </c>
      <c r="K62">
        <v>7</v>
      </c>
      <c r="L62">
        <v>3</v>
      </c>
      <c r="M62">
        <v>71.099999999999994</v>
      </c>
      <c r="N62">
        <v>289</v>
      </c>
      <c r="O62">
        <v>57</v>
      </c>
      <c r="P62">
        <v>37</v>
      </c>
      <c r="Q62">
        <v>32</v>
      </c>
      <c r="R62">
        <v>13</v>
      </c>
      <c r="S62">
        <v>27</v>
      </c>
      <c r="T62">
        <v>1</v>
      </c>
      <c r="U62">
        <v>2</v>
      </c>
      <c r="V62">
        <v>1</v>
      </c>
      <c r="W62">
        <v>0</v>
      </c>
      <c r="X62">
        <v>54</v>
      </c>
      <c r="Y62">
        <v>9325</v>
      </c>
      <c r="Z62" cm="1">
        <f t="array" ref="Z62:AR62">VLOOKUP(A62,advanced_pitchers_2019!A:Y,{3,4,5,6,7,8,9,10,11,12,13,14,15,16,17,18,19,20,21},FALSE)</f>
        <v>6.81</v>
      </c>
      <c r="AA62">
        <v>3.41</v>
      </c>
      <c r="AB62">
        <v>2</v>
      </c>
      <c r="AC62">
        <v>1.64</v>
      </c>
      <c r="AD62">
        <v>0.187</v>
      </c>
      <c r="AE62">
        <v>9.2999999999999999E-2</v>
      </c>
      <c r="AF62">
        <v>9.2999999999999999E-2</v>
      </c>
      <c r="AG62">
        <v>0.219</v>
      </c>
      <c r="AH62">
        <v>1.18</v>
      </c>
      <c r="AI62">
        <v>0.22800000000000001</v>
      </c>
      <c r="AJ62">
        <v>0.72299999999999998</v>
      </c>
      <c r="AK62">
        <v>90</v>
      </c>
      <c r="AL62">
        <v>117</v>
      </c>
      <c r="AM62">
        <v>94</v>
      </c>
      <c r="AN62">
        <v>4.04</v>
      </c>
      <c r="AO62">
        <v>5.29</v>
      </c>
      <c r="AP62">
        <v>-1.25</v>
      </c>
      <c r="AQ62">
        <v>4.17</v>
      </c>
      <c r="AR62">
        <v>4.3099999999999996</v>
      </c>
      <c r="AS62" cm="1">
        <f t="array" ref="AS62:BA62">VLOOKUP(A62,plate_discipline_pitchers_2019!A:L,{3,4,5,6,7,8,9,10,11},FALSE)</f>
        <v>0.36599999999999999</v>
      </c>
      <c r="AT62">
        <v>0.67</v>
      </c>
      <c r="AU62">
        <v>0.47199999999999998</v>
      </c>
      <c r="AV62">
        <v>0.71</v>
      </c>
      <c r="AW62">
        <v>0.88400000000000001</v>
      </c>
      <c r="AX62">
        <v>0.79600000000000004</v>
      </c>
      <c r="AY62">
        <v>0.35</v>
      </c>
      <c r="AZ62">
        <v>0.59899999999999998</v>
      </c>
      <c r="BA62">
        <v>9.6000000000000002E-2</v>
      </c>
      <c r="BB62" cm="1">
        <f t="array" ref="BB62:BP62">VLOOKUP(A62,pitchvalue_pitchers_2019!A:Q,{3,4,5,6,7,8,9,10,11,12,13,14,15,16,17},FALSE)</f>
        <v>7.3</v>
      </c>
      <c r="BC62">
        <v>-2.2000000000000002</v>
      </c>
      <c r="BD62">
        <v>0</v>
      </c>
      <c r="BE62">
        <v>0</v>
      </c>
      <c r="BF62">
        <v>1.3</v>
      </c>
      <c r="BG62">
        <v>0</v>
      </c>
      <c r="BH62">
        <v>0</v>
      </c>
      <c r="BI62">
        <v>0.8</v>
      </c>
      <c r="BJ62">
        <v>-1.6</v>
      </c>
      <c r="BK62">
        <v>0</v>
      </c>
      <c r="BL62">
        <v>0</v>
      </c>
      <c r="BM62">
        <v>1.43</v>
      </c>
      <c r="BN62">
        <v>0</v>
      </c>
      <c r="BO62">
        <v>0</v>
      </c>
      <c r="BP62">
        <v>9325</v>
      </c>
      <c r="BQ62" cm="1">
        <f t="array" ref="BQ62:CH62">VLOOKUP(A62,battedball_pitchers_2019!A:U,{3,4,5,6,7,8,9,10,11,12,13,14,15,16,17,18,19,20},FALSE)</f>
        <v>0.22800000000000001</v>
      </c>
      <c r="BR62">
        <v>2.64</v>
      </c>
      <c r="BS62">
        <v>0.184</v>
      </c>
      <c r="BT62">
        <v>0.59199999999999997</v>
      </c>
      <c r="BU62">
        <v>0.224</v>
      </c>
      <c r="BV62">
        <v>4.3999999999999997E-2</v>
      </c>
      <c r="BW62">
        <v>0.28899999999999998</v>
      </c>
      <c r="BX62">
        <v>34</v>
      </c>
      <c r="BY62">
        <v>4.29</v>
      </c>
      <c r="BZ62">
        <v>449</v>
      </c>
      <c r="CA62">
        <v>694</v>
      </c>
      <c r="CB62">
        <v>1143</v>
      </c>
      <c r="CC62">
        <v>0.58299999999999996</v>
      </c>
      <c r="CD62">
        <v>0.311</v>
      </c>
      <c r="CE62">
        <v>0.107</v>
      </c>
      <c r="CF62">
        <v>0.15</v>
      </c>
      <c r="CG62">
        <v>0.45600000000000002</v>
      </c>
      <c r="CH62">
        <v>0.39300000000000002</v>
      </c>
      <c r="CI62" cm="1">
        <f t="array" ref="CI62:CS62">VLOOKUP(A62,verticalmove_pitchers_2019!A:N,{3,4,5,6,7,8,9,10,11,12,13},FALSE)</f>
        <v>71.099999999999994</v>
      </c>
      <c r="CJ62">
        <v>5.0999999999999996</v>
      </c>
      <c r="CK62">
        <v>0</v>
      </c>
      <c r="CL62">
        <v>0</v>
      </c>
      <c r="CM62">
        <v>-1.1000000000000001</v>
      </c>
      <c r="CN62">
        <v>0.9</v>
      </c>
      <c r="CO62">
        <v>-1</v>
      </c>
      <c r="CP62">
        <v>0</v>
      </c>
      <c r="CQ62">
        <v>0</v>
      </c>
      <c r="CR62">
        <v>0</v>
      </c>
      <c r="CS62">
        <v>0</v>
      </c>
      <c r="CT62" cm="1">
        <f t="array" ref="CT62:DD62">VLOOKUP(A62,velocity_pitchers_2019!A:N,{3,4,5,6,7,8,9,10,11,12,13},FALSE)</f>
        <v>71.099999999999994</v>
      </c>
      <c r="CU62">
        <v>93</v>
      </c>
      <c r="CV62">
        <v>0</v>
      </c>
      <c r="CW62">
        <v>0</v>
      </c>
      <c r="CX62">
        <v>91.4</v>
      </c>
      <c r="CY62">
        <v>84.7</v>
      </c>
      <c r="CZ62">
        <v>82.4</v>
      </c>
      <c r="DA62">
        <v>0</v>
      </c>
      <c r="DB62">
        <v>0</v>
      </c>
      <c r="DC62">
        <v>0</v>
      </c>
      <c r="DD62">
        <v>0</v>
      </c>
    </row>
    <row r="63" spans="1:108" x14ac:dyDescent="0.3">
      <c r="A63" t="s">
        <v>105</v>
      </c>
      <c r="B63" t="str" cm="1">
        <f t="array" ref="B63:Y63">VLOOKUP(A63,standard_pitchers_2019!A:Y,{2,3,4,5,6,7,8,9,10,11,12,13,14,15,16,17,18,19,20,21,22,23,24,25},FALSE)</f>
        <v>Dodgers</v>
      </c>
      <c r="C63">
        <v>7</v>
      </c>
      <c r="D63">
        <v>2</v>
      </c>
      <c r="E63">
        <v>3.1</v>
      </c>
      <c r="F63">
        <v>71</v>
      </c>
      <c r="G63">
        <v>0</v>
      </c>
      <c r="H63">
        <v>0</v>
      </c>
      <c r="I63">
        <v>0</v>
      </c>
      <c r="J63">
        <v>1</v>
      </c>
      <c r="K63">
        <v>25</v>
      </c>
      <c r="L63">
        <v>6</v>
      </c>
      <c r="M63">
        <v>69.2</v>
      </c>
      <c r="N63">
        <v>276</v>
      </c>
      <c r="O63">
        <v>43</v>
      </c>
      <c r="P63">
        <v>30</v>
      </c>
      <c r="Q63">
        <v>24</v>
      </c>
      <c r="R63">
        <v>6</v>
      </c>
      <c r="S63">
        <v>23</v>
      </c>
      <c r="T63">
        <v>1</v>
      </c>
      <c r="U63">
        <v>4</v>
      </c>
      <c r="V63">
        <v>0</v>
      </c>
      <c r="W63">
        <v>0</v>
      </c>
      <c r="X63">
        <v>69</v>
      </c>
      <c r="Y63">
        <v>5420</v>
      </c>
      <c r="Z63" cm="1">
        <f t="array" ref="Z63:AR63">VLOOKUP(A63,advanced_pitchers_2019!A:Y,{3,4,5,6,7,8,9,10,11,12,13,14,15,16,17,18,19,20,21},FALSE)</f>
        <v>8.91</v>
      </c>
      <c r="AA63">
        <v>2.97</v>
      </c>
      <c r="AB63">
        <v>3</v>
      </c>
      <c r="AC63">
        <v>0.78</v>
      </c>
      <c r="AD63">
        <v>0.25</v>
      </c>
      <c r="AE63">
        <v>8.3000000000000004E-2</v>
      </c>
      <c r="AF63">
        <v>0.16700000000000001</v>
      </c>
      <c r="AG63">
        <v>0.17299999999999999</v>
      </c>
      <c r="AH63">
        <v>0.95</v>
      </c>
      <c r="AI63">
        <v>0.21299999999999999</v>
      </c>
      <c r="AJ63">
        <v>0.64900000000000002</v>
      </c>
      <c r="AK63">
        <v>74</v>
      </c>
      <c r="AL63">
        <v>81</v>
      </c>
      <c r="AM63">
        <v>109</v>
      </c>
      <c r="AN63">
        <v>3.1</v>
      </c>
      <c r="AO63">
        <v>3.52</v>
      </c>
      <c r="AP63">
        <v>-0.41</v>
      </c>
      <c r="AQ63">
        <v>4.82</v>
      </c>
      <c r="AR63">
        <v>4.08</v>
      </c>
      <c r="AS63" cm="1">
        <f t="array" ref="AS63:BA63">VLOOKUP(A63,plate_discipline_pitchers_2019!A:L,{3,4,5,6,7,8,9,10,11},FALSE)</f>
        <v>0.35599999999999998</v>
      </c>
      <c r="AT63">
        <v>0.75600000000000001</v>
      </c>
      <c r="AU63">
        <v>0.51200000000000001</v>
      </c>
      <c r="AV63">
        <v>0.63500000000000001</v>
      </c>
      <c r="AW63">
        <v>0.75900000000000001</v>
      </c>
      <c r="AX63">
        <v>0.70699999999999996</v>
      </c>
      <c r="AY63">
        <v>0.39100000000000001</v>
      </c>
      <c r="AZ63">
        <v>0.57999999999999996</v>
      </c>
      <c r="BA63">
        <v>0.15</v>
      </c>
      <c r="BB63" cm="1">
        <f t="array" ref="BB63:BP63">VLOOKUP(A63,pitchvalue_pitchers_2019!A:Q,{3,4,5,6,7,8,9,10,11,12,13,14,15,16,17},FALSE)</f>
        <v>7.3</v>
      </c>
      <c r="BC63">
        <v>3.9</v>
      </c>
      <c r="BD63">
        <v>0</v>
      </c>
      <c r="BE63">
        <v>0</v>
      </c>
      <c r="BF63">
        <v>8.4</v>
      </c>
      <c r="BG63">
        <v>0</v>
      </c>
      <c r="BH63">
        <v>0</v>
      </c>
      <c r="BI63">
        <v>1.29</v>
      </c>
      <c r="BJ63">
        <v>2.02</v>
      </c>
      <c r="BK63">
        <v>0</v>
      </c>
      <c r="BL63">
        <v>0</v>
      </c>
      <c r="BM63">
        <v>2.4</v>
      </c>
      <c r="BN63">
        <v>0</v>
      </c>
      <c r="BO63">
        <v>0</v>
      </c>
      <c r="BP63">
        <v>5420</v>
      </c>
      <c r="BQ63" cm="1">
        <f t="array" ref="BQ63:CH63">VLOOKUP(A63,battedball_pitchers_2019!A:U,{3,4,5,6,7,8,9,10,11,12,13,14,15,16,17,18,19,20},FALSE)</f>
        <v>0.21299999999999999</v>
      </c>
      <c r="BR63">
        <v>0.72</v>
      </c>
      <c r="BS63">
        <v>0.17499999999999999</v>
      </c>
      <c r="BT63">
        <v>0.34499999999999997</v>
      </c>
      <c r="BU63">
        <v>0.48</v>
      </c>
      <c r="BV63">
        <v>0.188</v>
      </c>
      <c r="BW63">
        <v>7.0999999999999994E-2</v>
      </c>
      <c r="BX63">
        <v>39</v>
      </c>
      <c r="BY63">
        <v>5.04</v>
      </c>
      <c r="BZ63">
        <v>407</v>
      </c>
      <c r="CA63">
        <v>705</v>
      </c>
      <c r="CB63">
        <v>1112</v>
      </c>
      <c r="CC63">
        <v>0.439</v>
      </c>
      <c r="CD63">
        <v>0.32800000000000001</v>
      </c>
      <c r="CE63">
        <v>0.23300000000000001</v>
      </c>
      <c r="CF63">
        <v>0.2</v>
      </c>
      <c r="CG63">
        <v>0.42199999999999999</v>
      </c>
      <c r="CH63">
        <v>0.378</v>
      </c>
      <c r="CI63" cm="1">
        <f t="array" ref="CI63:CS63">VLOOKUP(A63,verticalmove_pitchers_2019!A:N,{3,4,5,6,7,8,9,10,11,12,13},FALSE)</f>
        <v>69.2</v>
      </c>
      <c r="CJ63">
        <v>9.9</v>
      </c>
      <c r="CK63">
        <v>0</v>
      </c>
      <c r="CL63">
        <v>0</v>
      </c>
      <c r="CM63">
        <v>0</v>
      </c>
      <c r="CN63">
        <v>8</v>
      </c>
      <c r="CO63">
        <v>1.9</v>
      </c>
      <c r="CP63">
        <v>0.6</v>
      </c>
      <c r="CQ63">
        <v>0</v>
      </c>
      <c r="CR63">
        <v>0</v>
      </c>
      <c r="CS63">
        <v>0</v>
      </c>
      <c r="CT63" cm="1">
        <f t="array" ref="CT63:DD63">VLOOKUP(A63,velocity_pitchers_2019!A:N,{3,4,5,6,7,8,9,10,11,12,13},FALSE)</f>
        <v>69.2</v>
      </c>
      <c r="CU63">
        <v>96</v>
      </c>
      <c r="CV63">
        <v>0</v>
      </c>
      <c r="CW63">
        <v>0</v>
      </c>
      <c r="CX63">
        <v>0</v>
      </c>
      <c r="CY63">
        <v>86.4</v>
      </c>
      <c r="CZ63">
        <v>86.5</v>
      </c>
      <c r="DA63">
        <v>86.5</v>
      </c>
      <c r="DB63">
        <v>0</v>
      </c>
      <c r="DC63">
        <v>0</v>
      </c>
      <c r="DD63">
        <v>0</v>
      </c>
    </row>
    <row r="64" spans="1:108" x14ac:dyDescent="0.3">
      <c r="A64" t="s">
        <v>100</v>
      </c>
      <c r="B64" t="str" cm="1">
        <f t="array" ref="B64:Y64">VLOOKUP(A64,standard_pitchers_2019!A:Y,{2,3,4,5,6,7,8,9,10,11,12,13,14,15,16,17,18,19,20,21,22,23,24,25},FALSE)</f>
        <v>Cubs</v>
      </c>
      <c r="C64">
        <v>4</v>
      </c>
      <c r="D64">
        <v>6</v>
      </c>
      <c r="E64">
        <v>2.95</v>
      </c>
      <c r="F64">
        <v>70</v>
      </c>
      <c r="G64">
        <v>0</v>
      </c>
      <c r="H64">
        <v>0</v>
      </c>
      <c r="I64">
        <v>0</v>
      </c>
      <c r="J64">
        <v>7</v>
      </c>
      <c r="K64">
        <v>11</v>
      </c>
      <c r="L64">
        <v>4</v>
      </c>
      <c r="M64">
        <v>64</v>
      </c>
      <c r="N64">
        <v>267</v>
      </c>
      <c r="O64">
        <v>48</v>
      </c>
      <c r="P64">
        <v>22</v>
      </c>
      <c r="Q64">
        <v>21</v>
      </c>
      <c r="R64">
        <v>7</v>
      </c>
      <c r="S64">
        <v>29</v>
      </c>
      <c r="T64">
        <v>1</v>
      </c>
      <c r="U64">
        <v>7</v>
      </c>
      <c r="V64">
        <v>4</v>
      </c>
      <c r="W64">
        <v>0</v>
      </c>
      <c r="X64">
        <v>57</v>
      </c>
      <c r="Y64">
        <v>6483</v>
      </c>
      <c r="Z64" cm="1">
        <f t="array" ref="Z64:AR64">VLOOKUP(A64,advanced_pitchers_2019!A:Y,{3,4,5,6,7,8,9,10,11,12,13,14,15,16,17,18,19,20,21},FALSE)</f>
        <v>8.02</v>
      </c>
      <c r="AA64">
        <v>4.08</v>
      </c>
      <c r="AB64">
        <v>1.97</v>
      </c>
      <c r="AC64">
        <v>0.98</v>
      </c>
      <c r="AD64">
        <v>0.21299999999999999</v>
      </c>
      <c r="AE64">
        <v>0.109</v>
      </c>
      <c r="AF64">
        <v>0.105</v>
      </c>
      <c r="AG64">
        <v>0.20799999999999999</v>
      </c>
      <c r="AH64">
        <v>1.2</v>
      </c>
      <c r="AI64">
        <v>0.246</v>
      </c>
      <c r="AJ64">
        <v>0.83599999999999997</v>
      </c>
      <c r="AK64">
        <v>67</v>
      </c>
      <c r="AL64">
        <v>102</v>
      </c>
      <c r="AM64">
        <v>112</v>
      </c>
      <c r="AN64">
        <v>2.95</v>
      </c>
      <c r="AO64">
        <v>4.54</v>
      </c>
      <c r="AP64">
        <v>-1.59</v>
      </c>
      <c r="AQ64">
        <v>4.95</v>
      </c>
      <c r="AR64">
        <v>4.6100000000000003</v>
      </c>
      <c r="AS64" cm="1">
        <f t="array" ref="AS64:BA64">VLOOKUP(A64,plate_discipline_pitchers_2019!A:L,{3,4,5,6,7,8,9,10,11},FALSE)</f>
        <v>0.308</v>
      </c>
      <c r="AT64">
        <v>0.63100000000000001</v>
      </c>
      <c r="AU64">
        <v>0.435</v>
      </c>
      <c r="AV64">
        <v>0.71499999999999997</v>
      </c>
      <c r="AW64">
        <v>0.83599999999999997</v>
      </c>
      <c r="AX64">
        <v>0.78400000000000003</v>
      </c>
      <c r="AY64">
        <v>0.39300000000000002</v>
      </c>
      <c r="AZ64">
        <v>0.60299999999999998</v>
      </c>
      <c r="BA64">
        <v>9.4E-2</v>
      </c>
      <c r="BB64" cm="1">
        <f t="array" ref="BB64:BP64">VLOOKUP(A64,pitchvalue_pitchers_2019!A:Q,{3,4,5,6,7,8,9,10,11,12,13,14,15,16,17},FALSE)</f>
        <v>7.3</v>
      </c>
      <c r="BC64">
        <v>0.7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1.1100000000000001</v>
      </c>
      <c r="BJ64">
        <v>0.16</v>
      </c>
      <c r="BK64">
        <v>0</v>
      </c>
      <c r="BL64">
        <v>0</v>
      </c>
      <c r="BM64">
        <v>-0.38</v>
      </c>
      <c r="BN64">
        <v>0</v>
      </c>
      <c r="BO64">
        <v>0</v>
      </c>
      <c r="BP64">
        <v>6483</v>
      </c>
      <c r="BQ64" cm="1">
        <f t="array" ref="BQ64:CH64">VLOOKUP(A64,battedball_pitchers_2019!A:U,{3,4,5,6,7,8,9,10,11,12,13,14,15,16,17,18,19,20},FALSE)</f>
        <v>0.246</v>
      </c>
      <c r="BR64">
        <v>1.46</v>
      </c>
      <c r="BS64">
        <v>0.157</v>
      </c>
      <c r="BT64">
        <v>0.5</v>
      </c>
      <c r="BU64">
        <v>0.34300000000000003</v>
      </c>
      <c r="BV64">
        <v>0.10199999999999999</v>
      </c>
      <c r="BW64">
        <v>0.11899999999999999</v>
      </c>
      <c r="BX64">
        <v>34</v>
      </c>
      <c r="BY64">
        <v>4.78</v>
      </c>
      <c r="BZ64">
        <v>424</v>
      </c>
      <c r="CA64">
        <v>685</v>
      </c>
      <c r="CB64">
        <v>1109</v>
      </c>
      <c r="CC64">
        <v>0.374</v>
      </c>
      <c r="CD64">
        <v>0.39700000000000002</v>
      </c>
      <c r="CE64">
        <v>0.23</v>
      </c>
      <c r="CF64">
        <v>0.253</v>
      </c>
      <c r="CG64">
        <v>0.47699999999999998</v>
      </c>
      <c r="CH64">
        <v>0.27</v>
      </c>
      <c r="CI64" cm="1">
        <f t="array" ref="CI64:CS64">VLOOKUP(A64,verticalmove_pitchers_2019!A:N,{3,4,5,6,7,8,9,10,11,12,13},FALSE)</f>
        <v>64</v>
      </c>
      <c r="CJ64">
        <v>4.5</v>
      </c>
      <c r="CK64">
        <v>0</v>
      </c>
      <c r="CL64">
        <v>0</v>
      </c>
      <c r="CM64">
        <v>1.5</v>
      </c>
      <c r="CN64">
        <v>-0.4</v>
      </c>
      <c r="CO64">
        <v>-1.5</v>
      </c>
      <c r="CP64">
        <v>0</v>
      </c>
      <c r="CQ64">
        <v>0</v>
      </c>
      <c r="CR64">
        <v>0</v>
      </c>
      <c r="CS64">
        <v>0</v>
      </c>
      <c r="CT64" cm="1">
        <f t="array" ref="CT64:DD64">VLOOKUP(A64,velocity_pitchers_2019!A:N,{3,4,5,6,7,8,9,10,11,12,13},FALSE)</f>
        <v>64</v>
      </c>
      <c r="CU64">
        <v>90.9</v>
      </c>
      <c r="CV64">
        <v>0</v>
      </c>
      <c r="CW64">
        <v>0</v>
      </c>
      <c r="CX64">
        <v>90.9</v>
      </c>
      <c r="CY64">
        <v>84.2</v>
      </c>
      <c r="CZ64">
        <v>79.2</v>
      </c>
      <c r="DA64">
        <v>0</v>
      </c>
      <c r="DB64">
        <v>0</v>
      </c>
      <c r="DC64">
        <v>0</v>
      </c>
      <c r="DD64">
        <v>0</v>
      </c>
    </row>
    <row r="65" spans="1:108" x14ac:dyDescent="0.3">
      <c r="A65" t="s">
        <v>113</v>
      </c>
      <c r="B65" t="str" cm="1">
        <f t="array" ref="B65:Y65">VLOOKUP(A65,standard_pitchers_2019!A:Y,{2,3,4,5,6,7,8,9,10,11,12,13,14,15,16,17,18,19,20,21,22,23,24,25},FALSE)</f>
        <v>- - -</v>
      </c>
      <c r="C65">
        <v>6</v>
      </c>
      <c r="D65">
        <v>3</v>
      </c>
      <c r="E65">
        <v>3.27</v>
      </c>
      <c r="F65">
        <v>80</v>
      </c>
      <c r="G65">
        <v>0</v>
      </c>
      <c r="H65">
        <v>0</v>
      </c>
      <c r="I65">
        <v>0</v>
      </c>
      <c r="J65">
        <v>1</v>
      </c>
      <c r="K65">
        <v>17</v>
      </c>
      <c r="L65">
        <v>0</v>
      </c>
      <c r="M65">
        <v>55</v>
      </c>
      <c r="N65">
        <v>229</v>
      </c>
      <c r="O65">
        <v>48</v>
      </c>
      <c r="P65">
        <v>22</v>
      </c>
      <c r="Q65">
        <v>20</v>
      </c>
      <c r="R65">
        <v>7</v>
      </c>
      <c r="S65">
        <v>16</v>
      </c>
      <c r="T65">
        <v>4</v>
      </c>
      <c r="U65">
        <v>3</v>
      </c>
      <c r="V65">
        <v>1</v>
      </c>
      <c r="W65">
        <v>0</v>
      </c>
      <c r="X65">
        <v>45</v>
      </c>
      <c r="Y65">
        <v>10843</v>
      </c>
      <c r="Z65" cm="1">
        <f t="array" ref="Z65:AR65">VLOOKUP(A65,advanced_pitchers_2019!A:Y,{3,4,5,6,7,8,9,10,11,12,13,14,15,16,17,18,19,20,21},FALSE)</f>
        <v>7.36</v>
      </c>
      <c r="AA65">
        <v>2.62</v>
      </c>
      <c r="AB65">
        <v>2.81</v>
      </c>
      <c r="AC65">
        <v>1.1499999999999999</v>
      </c>
      <c r="AD65">
        <v>0.19700000000000001</v>
      </c>
      <c r="AE65">
        <v>7.0000000000000007E-2</v>
      </c>
      <c r="AF65">
        <v>0.127</v>
      </c>
      <c r="AG65">
        <v>0.22900000000000001</v>
      </c>
      <c r="AH65">
        <v>1.1599999999999999</v>
      </c>
      <c r="AI65">
        <v>0.25900000000000001</v>
      </c>
      <c r="AJ65">
        <v>0.78700000000000003</v>
      </c>
      <c r="AK65">
        <v>74</v>
      </c>
      <c r="AL65">
        <v>97</v>
      </c>
      <c r="AM65">
        <v>82</v>
      </c>
      <c r="AN65">
        <v>3.27</v>
      </c>
      <c r="AO65">
        <v>4.2699999999999996</v>
      </c>
      <c r="AP65">
        <v>-1</v>
      </c>
      <c r="AQ65">
        <v>3.74</v>
      </c>
      <c r="AR65">
        <v>3.58</v>
      </c>
      <c r="AS65" cm="1">
        <f t="array" ref="AS65:BA65">VLOOKUP(A65,plate_discipline_pitchers_2019!A:L,{3,4,5,6,7,8,9,10,11},FALSE)</f>
        <v>0.36299999999999999</v>
      </c>
      <c r="AT65">
        <v>0.65</v>
      </c>
      <c r="AU65">
        <v>0.47699999999999998</v>
      </c>
      <c r="AV65">
        <v>0.65300000000000002</v>
      </c>
      <c r="AW65">
        <v>0.85399999999999998</v>
      </c>
      <c r="AX65">
        <v>0.76300000000000001</v>
      </c>
      <c r="AY65">
        <v>0.39900000000000002</v>
      </c>
      <c r="AZ65">
        <v>0.63300000000000001</v>
      </c>
      <c r="BA65">
        <v>0.113</v>
      </c>
      <c r="BB65" cm="1">
        <f t="array" ref="BB65:BP65">VLOOKUP(A65,pitchvalue_pitchers_2019!A:Q,{3,4,5,6,7,8,9,10,11,12,13,14,15,16,17},FALSE)</f>
        <v>7.2</v>
      </c>
      <c r="BC65">
        <v>-0.2</v>
      </c>
      <c r="BD65">
        <v>-0.4</v>
      </c>
      <c r="BE65">
        <v>0</v>
      </c>
      <c r="BF65">
        <v>-0.1</v>
      </c>
      <c r="BG65">
        <v>0</v>
      </c>
      <c r="BH65">
        <v>0</v>
      </c>
      <c r="BI65">
        <v>1.1100000000000001</v>
      </c>
      <c r="BJ65">
        <v>-0.3</v>
      </c>
      <c r="BK65">
        <v>-5.23</v>
      </c>
      <c r="BL65">
        <v>0</v>
      </c>
      <c r="BM65">
        <v>-0.19</v>
      </c>
      <c r="BN65">
        <v>0</v>
      </c>
      <c r="BO65">
        <v>0</v>
      </c>
      <c r="BP65">
        <v>10843</v>
      </c>
      <c r="BQ65" cm="1">
        <f t="array" ref="BQ65:CH65">VLOOKUP(A65,battedball_pitchers_2019!A:U,{3,4,5,6,7,8,9,10,11,12,13,14,15,16,17,18,19,20},FALSE)</f>
        <v>0.25900000000000001</v>
      </c>
      <c r="BR65">
        <v>3.48</v>
      </c>
      <c r="BS65">
        <v>0.14699999999999999</v>
      </c>
      <c r="BT65">
        <v>0.66300000000000003</v>
      </c>
      <c r="BU65">
        <v>0.19</v>
      </c>
      <c r="BV65">
        <v>6.5000000000000002E-2</v>
      </c>
      <c r="BW65">
        <v>0.22600000000000001</v>
      </c>
      <c r="BX65">
        <v>26</v>
      </c>
      <c r="BY65">
        <v>4.25</v>
      </c>
      <c r="BZ65">
        <v>276</v>
      </c>
      <c r="CA65">
        <v>518</v>
      </c>
      <c r="CB65">
        <v>794</v>
      </c>
      <c r="CC65">
        <v>0.35199999999999998</v>
      </c>
      <c r="CD65">
        <v>0.34499999999999997</v>
      </c>
      <c r="CE65">
        <v>0.30299999999999999</v>
      </c>
      <c r="CF65">
        <v>0.188</v>
      </c>
      <c r="CG65">
        <v>0.497</v>
      </c>
      <c r="CH65">
        <v>0.315</v>
      </c>
      <c r="CI65" cm="1">
        <f t="array" ref="CI65:CS65">VLOOKUP(A65,verticalmove_pitchers_2019!A:N,{3,4,5,6,7,8,9,10,11,12,13},FALSE)</f>
        <v>55</v>
      </c>
      <c r="CJ65">
        <v>7.1</v>
      </c>
      <c r="CK65">
        <v>0</v>
      </c>
      <c r="CL65">
        <v>0</v>
      </c>
      <c r="CM65">
        <v>-3.1</v>
      </c>
      <c r="CN65">
        <v>-2.6</v>
      </c>
      <c r="CO65">
        <v>3.2</v>
      </c>
      <c r="CP65">
        <v>0</v>
      </c>
      <c r="CQ65">
        <v>0</v>
      </c>
      <c r="CR65">
        <v>0</v>
      </c>
      <c r="CS65">
        <v>0</v>
      </c>
      <c r="CT65" cm="1">
        <f t="array" ref="CT65:DD65">VLOOKUP(A65,velocity_pitchers_2019!A:N,{3,4,5,6,7,8,9,10,11,12,13},FALSE)</f>
        <v>55</v>
      </c>
      <c r="CU65">
        <v>91.9</v>
      </c>
      <c r="CV65">
        <v>0</v>
      </c>
      <c r="CW65">
        <v>0</v>
      </c>
      <c r="CX65">
        <v>89.2</v>
      </c>
      <c r="CY65">
        <v>82.2</v>
      </c>
      <c r="CZ65">
        <v>76.7</v>
      </c>
      <c r="DA65">
        <v>0</v>
      </c>
      <c r="DB65">
        <v>0</v>
      </c>
      <c r="DC65">
        <v>0</v>
      </c>
      <c r="DD65">
        <v>0</v>
      </c>
    </row>
    <row r="66" spans="1:108" x14ac:dyDescent="0.3">
      <c r="A66" t="s">
        <v>231</v>
      </c>
      <c r="B66" t="str" cm="1">
        <f t="array" ref="B66:Y66">VLOOKUP(A66,standard_pitchers_2019!A:Y,{2,3,4,5,6,7,8,9,10,11,12,13,14,15,16,17,18,19,20,21,22,23,24,25},FALSE)</f>
        <v>Athletics</v>
      </c>
      <c r="C66">
        <v>2</v>
      </c>
      <c r="D66">
        <v>4</v>
      </c>
      <c r="E66">
        <v>4.3</v>
      </c>
      <c r="F66">
        <v>71</v>
      </c>
      <c r="G66">
        <v>1</v>
      </c>
      <c r="H66">
        <v>0</v>
      </c>
      <c r="I66">
        <v>0</v>
      </c>
      <c r="J66">
        <v>1</v>
      </c>
      <c r="K66">
        <v>21</v>
      </c>
      <c r="L66">
        <v>5</v>
      </c>
      <c r="M66">
        <v>69</v>
      </c>
      <c r="N66">
        <v>278</v>
      </c>
      <c r="O66">
        <v>51</v>
      </c>
      <c r="P66">
        <v>33</v>
      </c>
      <c r="Q66">
        <v>33</v>
      </c>
      <c r="R66">
        <v>9</v>
      </c>
      <c r="S66">
        <v>20</v>
      </c>
      <c r="T66">
        <v>1</v>
      </c>
      <c r="U66">
        <v>3</v>
      </c>
      <c r="V66">
        <v>5</v>
      </c>
      <c r="W66">
        <v>1</v>
      </c>
      <c r="X66">
        <v>79</v>
      </c>
      <c r="Y66">
        <v>6941</v>
      </c>
      <c r="Z66" cm="1">
        <f t="array" ref="Z66:AR66">VLOOKUP(A66,advanced_pitchers_2019!A:Y,{3,4,5,6,7,8,9,10,11,12,13,14,15,16,17,18,19,20,21},FALSE)</f>
        <v>10.3</v>
      </c>
      <c r="AA66">
        <v>2.61</v>
      </c>
      <c r="AB66">
        <v>3.95</v>
      </c>
      <c r="AC66">
        <v>1.17</v>
      </c>
      <c r="AD66">
        <v>0.28399999999999997</v>
      </c>
      <c r="AE66">
        <v>7.1999999999999995E-2</v>
      </c>
      <c r="AF66">
        <v>0.21199999999999999</v>
      </c>
      <c r="AG66">
        <v>0.2</v>
      </c>
      <c r="AH66">
        <v>1.03</v>
      </c>
      <c r="AI66">
        <v>0.251</v>
      </c>
      <c r="AJ66">
        <v>0.66800000000000004</v>
      </c>
      <c r="AK66">
        <v>97</v>
      </c>
      <c r="AL66">
        <v>81</v>
      </c>
      <c r="AM66">
        <v>86</v>
      </c>
      <c r="AN66">
        <v>4.3</v>
      </c>
      <c r="AO66">
        <v>3.62</v>
      </c>
      <c r="AP66">
        <v>0.68</v>
      </c>
      <c r="AQ66">
        <v>3.91</v>
      </c>
      <c r="AR66">
        <v>3.5</v>
      </c>
      <c r="AS66" cm="1">
        <f t="array" ref="AS66:BA66">VLOOKUP(A66,plate_discipline_pitchers_2019!A:L,{3,4,5,6,7,8,9,10,11},FALSE)</f>
        <v>0.30099999999999999</v>
      </c>
      <c r="AT66">
        <v>0.69099999999999995</v>
      </c>
      <c r="AU66">
        <v>0.48199999999999998</v>
      </c>
      <c r="AV66">
        <v>0.63900000000000001</v>
      </c>
      <c r="AW66">
        <v>0.77100000000000002</v>
      </c>
      <c r="AX66">
        <v>0.72699999999999998</v>
      </c>
      <c r="AY66">
        <v>0.46400000000000002</v>
      </c>
      <c r="AZ66">
        <v>0.63700000000000001</v>
      </c>
      <c r="BA66">
        <v>0.13200000000000001</v>
      </c>
      <c r="BB66" cm="1">
        <f t="array" ref="BB66:BP66">VLOOKUP(A66,pitchvalue_pitchers_2019!A:Q,{3,4,5,6,7,8,9,10,11,12,13,14,15,16,17},FALSE)</f>
        <v>7.2</v>
      </c>
      <c r="BC66">
        <v>7.9</v>
      </c>
      <c r="BD66">
        <v>0</v>
      </c>
      <c r="BE66">
        <v>0.8</v>
      </c>
      <c r="BF66">
        <v>-1.9</v>
      </c>
      <c r="BG66">
        <v>0</v>
      </c>
      <c r="BH66">
        <v>0</v>
      </c>
      <c r="BI66">
        <v>0.94</v>
      </c>
      <c r="BJ66">
        <v>3.77</v>
      </c>
      <c r="BK66">
        <v>0</v>
      </c>
      <c r="BL66">
        <v>1.2</v>
      </c>
      <c r="BM66">
        <v>-2.42</v>
      </c>
      <c r="BN66">
        <v>0</v>
      </c>
      <c r="BO66">
        <v>0</v>
      </c>
      <c r="BP66">
        <v>6941</v>
      </c>
      <c r="BQ66" cm="1">
        <f t="array" ref="BQ66:CH66">VLOOKUP(A66,battedball_pitchers_2019!A:U,{3,4,5,6,7,8,9,10,11,12,13,14,15,16,17,18,19,20},FALSE)</f>
        <v>0.251</v>
      </c>
      <c r="BR66">
        <v>0.96</v>
      </c>
      <c r="BS66">
        <v>0.22900000000000001</v>
      </c>
      <c r="BT66">
        <v>0.377</v>
      </c>
      <c r="BU66">
        <v>0.39400000000000002</v>
      </c>
      <c r="BV66">
        <v>8.6999999999999994E-2</v>
      </c>
      <c r="BW66">
        <v>0.13</v>
      </c>
      <c r="BX66">
        <v>35</v>
      </c>
      <c r="BY66">
        <v>4.57</v>
      </c>
      <c r="BZ66">
        <v>380</v>
      </c>
      <c r="CA66">
        <v>736</v>
      </c>
      <c r="CB66">
        <v>1116</v>
      </c>
      <c r="CC66">
        <v>0.34100000000000003</v>
      </c>
      <c r="CD66">
        <v>0.35199999999999998</v>
      </c>
      <c r="CE66">
        <v>0.307</v>
      </c>
      <c r="CF66">
        <v>0.193</v>
      </c>
      <c r="CG66">
        <v>0.40899999999999997</v>
      </c>
      <c r="CH66">
        <v>0.39800000000000002</v>
      </c>
      <c r="CI66" cm="1">
        <f t="array" ref="CI66:CS66">VLOOKUP(A66,verticalmove_pitchers_2019!A:N,{3,4,5,6,7,8,9,10,11,12,13},FALSE)</f>
        <v>69</v>
      </c>
      <c r="CJ66">
        <v>9.1</v>
      </c>
      <c r="CK66">
        <v>0</v>
      </c>
      <c r="CL66">
        <v>0</v>
      </c>
      <c r="CM66">
        <v>5.7</v>
      </c>
      <c r="CN66">
        <v>3.5</v>
      </c>
      <c r="CO66">
        <v>-2.2000000000000002</v>
      </c>
      <c r="CP66">
        <v>-10</v>
      </c>
      <c r="CQ66">
        <v>0</v>
      </c>
      <c r="CR66">
        <v>0</v>
      </c>
      <c r="CS66">
        <v>0</v>
      </c>
      <c r="CT66" cm="1">
        <f t="array" ref="CT66:DD66">VLOOKUP(A66,velocity_pitchers_2019!A:N,{3,4,5,6,7,8,9,10,11,12,13},FALSE)</f>
        <v>69</v>
      </c>
      <c r="CU66">
        <v>93</v>
      </c>
      <c r="CV66">
        <v>0</v>
      </c>
      <c r="CW66">
        <v>0</v>
      </c>
      <c r="CX66">
        <v>92.9</v>
      </c>
      <c r="CY66">
        <v>87.9</v>
      </c>
      <c r="CZ66">
        <v>81.7</v>
      </c>
      <c r="DA66">
        <v>73.5</v>
      </c>
      <c r="DB66">
        <v>0</v>
      </c>
      <c r="DC66">
        <v>0</v>
      </c>
      <c r="DD66">
        <v>0</v>
      </c>
    </row>
    <row r="67" spans="1:108" x14ac:dyDescent="0.3">
      <c r="A67" t="s">
        <v>52</v>
      </c>
      <c r="B67" t="str" cm="1">
        <f t="array" ref="B67:Y67">VLOOKUP(A67,standard_pitchers_2019!A:Y,{2,3,4,5,6,7,8,9,10,11,12,13,14,15,16,17,18,19,20,21,22,23,24,25},FALSE)</f>
        <v>Dodgers</v>
      </c>
      <c r="C67">
        <v>14</v>
      </c>
      <c r="D67">
        <v>5</v>
      </c>
      <c r="E67">
        <v>2.3199999999999998</v>
      </c>
      <c r="F67">
        <v>29</v>
      </c>
      <c r="G67">
        <v>29</v>
      </c>
      <c r="H67">
        <v>1</v>
      </c>
      <c r="I67">
        <v>1</v>
      </c>
      <c r="J67">
        <v>0</v>
      </c>
      <c r="K67">
        <v>0</v>
      </c>
      <c r="L67">
        <v>0</v>
      </c>
      <c r="M67">
        <v>182.2</v>
      </c>
      <c r="N67">
        <v>723</v>
      </c>
      <c r="O67">
        <v>160</v>
      </c>
      <c r="P67">
        <v>53</v>
      </c>
      <c r="Q67">
        <v>47</v>
      </c>
      <c r="R67">
        <v>17</v>
      </c>
      <c r="S67">
        <v>24</v>
      </c>
      <c r="T67">
        <v>2</v>
      </c>
      <c r="U67">
        <v>4</v>
      </c>
      <c r="V67">
        <v>0</v>
      </c>
      <c r="W67">
        <v>0</v>
      </c>
      <c r="X67">
        <v>163</v>
      </c>
      <c r="Y67">
        <v>14444</v>
      </c>
      <c r="Z67" cm="1">
        <f t="array" ref="Z67:AR67">VLOOKUP(A67,advanced_pitchers_2019!A:Y,{3,4,5,6,7,8,9,10,11,12,13,14,15,16,17,18,19,20,21},FALSE)</f>
        <v>8.0299999999999994</v>
      </c>
      <c r="AA67">
        <v>1.18</v>
      </c>
      <c r="AB67">
        <v>6.79</v>
      </c>
      <c r="AC67">
        <v>0.84</v>
      </c>
      <c r="AD67">
        <v>0.22500000000000001</v>
      </c>
      <c r="AE67">
        <v>3.3000000000000002E-2</v>
      </c>
      <c r="AF67">
        <v>0.192</v>
      </c>
      <c r="AG67">
        <v>0.23</v>
      </c>
      <c r="AH67">
        <v>1.01</v>
      </c>
      <c r="AI67">
        <v>0.27800000000000002</v>
      </c>
      <c r="AJ67">
        <v>0.82199999999999995</v>
      </c>
      <c r="AK67">
        <v>55</v>
      </c>
      <c r="AL67">
        <v>71</v>
      </c>
      <c r="AM67">
        <v>75</v>
      </c>
      <c r="AN67">
        <v>2.3199999999999998</v>
      </c>
      <c r="AO67">
        <v>3.1</v>
      </c>
      <c r="AP67">
        <v>-0.78</v>
      </c>
      <c r="AQ67">
        <v>3.32</v>
      </c>
      <c r="AR67">
        <v>3.77</v>
      </c>
      <c r="AS67" cm="1">
        <f t="array" ref="AS67:BA67">VLOOKUP(A67,plate_discipline_pitchers_2019!A:L,{3,4,5,6,7,8,9,10,11},FALSE)</f>
        <v>0.36699999999999999</v>
      </c>
      <c r="AT67">
        <v>0.67800000000000005</v>
      </c>
      <c r="AU67">
        <v>0.49299999999999999</v>
      </c>
      <c r="AV67">
        <v>0.67100000000000004</v>
      </c>
      <c r="AW67">
        <v>0.84799999999999998</v>
      </c>
      <c r="AX67">
        <v>0.76900000000000002</v>
      </c>
      <c r="AY67">
        <v>0.40400000000000003</v>
      </c>
      <c r="AZ67">
        <v>0.61799999999999999</v>
      </c>
      <c r="BA67">
        <v>0.114</v>
      </c>
      <c r="BB67" cm="1">
        <f t="array" ref="BB67:BP67">VLOOKUP(A67,pitchvalue_pitchers_2019!A:Q,{3,4,5,6,7,8,9,10,11,12,13,14,15,16,17},FALSE)</f>
        <v>7.1</v>
      </c>
      <c r="BC67">
        <v>-0.4</v>
      </c>
      <c r="BD67">
        <v>0.2</v>
      </c>
      <c r="BE67">
        <v>3.4</v>
      </c>
      <c r="BF67">
        <v>22.2</v>
      </c>
      <c r="BG67">
        <v>0</v>
      </c>
      <c r="BH67">
        <v>0</v>
      </c>
      <c r="BI67">
        <v>0.65</v>
      </c>
      <c r="BJ67">
        <v>-4.93</v>
      </c>
      <c r="BK67">
        <v>0.04</v>
      </c>
      <c r="BL67">
        <v>1.02</v>
      </c>
      <c r="BM67">
        <v>2.99</v>
      </c>
      <c r="BN67">
        <v>0</v>
      </c>
      <c r="BO67">
        <v>0</v>
      </c>
      <c r="BP67">
        <v>14444</v>
      </c>
      <c r="BQ67" cm="1">
        <f t="array" ref="BQ67:CH67">VLOOKUP(A67,battedball_pitchers_2019!A:U,{3,4,5,6,7,8,9,10,11,12,13,14,15,16,17,18,19,20},FALSE)</f>
        <v>0.27800000000000002</v>
      </c>
      <c r="BR67">
        <v>1.98</v>
      </c>
      <c r="BS67">
        <v>0.24199999999999999</v>
      </c>
      <c r="BT67">
        <v>0.504</v>
      </c>
      <c r="BU67">
        <v>0.254</v>
      </c>
      <c r="BV67">
        <v>9.1999999999999998E-2</v>
      </c>
      <c r="BW67">
        <v>0.13</v>
      </c>
      <c r="BX67">
        <v>113</v>
      </c>
      <c r="BY67">
        <v>5.57</v>
      </c>
      <c r="BZ67">
        <v>907</v>
      </c>
      <c r="CA67">
        <v>1799</v>
      </c>
      <c r="CB67">
        <v>2706</v>
      </c>
      <c r="CC67">
        <v>0.39800000000000002</v>
      </c>
      <c r="CD67">
        <v>0.35899999999999999</v>
      </c>
      <c r="CE67">
        <v>0.24199999999999999</v>
      </c>
      <c r="CF67">
        <v>0.20300000000000001</v>
      </c>
      <c r="CG67">
        <v>0.45500000000000002</v>
      </c>
      <c r="CH67">
        <v>0.34200000000000003</v>
      </c>
      <c r="CI67" cm="1">
        <f t="array" ref="CI67:CS67">VLOOKUP(A67,verticalmove_pitchers_2019!A:N,{3,4,5,6,7,8,9,10,11,12,13},FALSE)</f>
        <v>182.2</v>
      </c>
      <c r="CJ67">
        <v>7.3</v>
      </c>
      <c r="CK67">
        <v>3.6</v>
      </c>
      <c r="CL67">
        <v>0</v>
      </c>
      <c r="CM67">
        <v>4.5999999999999996</v>
      </c>
      <c r="CN67">
        <v>2.2999999999999998</v>
      </c>
      <c r="CO67">
        <v>-1.1000000000000001</v>
      </c>
      <c r="CP67">
        <v>-8.6</v>
      </c>
      <c r="CQ67">
        <v>-8.1999999999999993</v>
      </c>
      <c r="CR67">
        <v>0</v>
      </c>
      <c r="CS67">
        <v>0</v>
      </c>
      <c r="CT67" cm="1">
        <f t="array" ref="CT67:DD67">VLOOKUP(A67,velocity_pitchers_2019!A:N,{3,4,5,6,7,8,9,10,11,12,13},FALSE)</f>
        <v>182.2</v>
      </c>
      <c r="CU67">
        <v>90.9</v>
      </c>
      <c r="CV67">
        <v>87.2</v>
      </c>
      <c r="CW67">
        <v>0</v>
      </c>
      <c r="CX67">
        <v>90.4</v>
      </c>
      <c r="CY67">
        <v>80.2</v>
      </c>
      <c r="CZ67">
        <v>80.8</v>
      </c>
      <c r="DA67">
        <v>72.8</v>
      </c>
      <c r="DB67">
        <v>65.2</v>
      </c>
      <c r="DC67">
        <v>0</v>
      </c>
      <c r="DD67">
        <v>0</v>
      </c>
    </row>
    <row r="68" spans="1:108" x14ac:dyDescent="0.3">
      <c r="A68" t="s">
        <v>45</v>
      </c>
      <c r="B68" t="str" cm="1">
        <f t="array" ref="B68:Y68">VLOOKUP(A68,standard_pitchers_2019!A:Y,{2,3,4,5,6,7,8,9,10,11,12,13,14,15,16,17,18,19,20,21,22,23,24,25},FALSE)</f>
        <v>Rockies</v>
      </c>
      <c r="C68">
        <v>6</v>
      </c>
      <c r="D68">
        <v>1</v>
      </c>
      <c r="E68">
        <v>2.25</v>
      </c>
      <c r="F68">
        <v>49</v>
      </c>
      <c r="G68">
        <v>0</v>
      </c>
      <c r="H68">
        <v>0</v>
      </c>
      <c r="I68">
        <v>0</v>
      </c>
      <c r="J68">
        <v>5</v>
      </c>
      <c r="K68">
        <v>8</v>
      </c>
      <c r="L68">
        <v>3</v>
      </c>
      <c r="M68">
        <v>56</v>
      </c>
      <c r="N68">
        <v>223</v>
      </c>
      <c r="O68">
        <v>39</v>
      </c>
      <c r="P68">
        <v>18</v>
      </c>
      <c r="Q68">
        <v>14</v>
      </c>
      <c r="R68">
        <v>5</v>
      </c>
      <c r="S68">
        <v>23</v>
      </c>
      <c r="T68">
        <v>2</v>
      </c>
      <c r="U68">
        <v>0</v>
      </c>
      <c r="V68">
        <v>3</v>
      </c>
      <c r="W68">
        <v>0</v>
      </c>
      <c r="X68">
        <v>58</v>
      </c>
      <c r="Y68">
        <v>13911</v>
      </c>
      <c r="Z68" cm="1">
        <f t="array" ref="Z68:AR68">VLOOKUP(A68,advanced_pitchers_2019!A:Y,{3,4,5,6,7,8,9,10,11,12,13,14,15,16,17,18,19,20,21},FALSE)</f>
        <v>9.32</v>
      </c>
      <c r="AA68">
        <v>3.7</v>
      </c>
      <c r="AB68">
        <v>2.52</v>
      </c>
      <c r="AC68">
        <v>0.8</v>
      </c>
      <c r="AD68">
        <v>0.26</v>
      </c>
      <c r="AE68">
        <v>0.10299999999999999</v>
      </c>
      <c r="AF68">
        <v>0.157</v>
      </c>
      <c r="AG68">
        <v>0.19500000000000001</v>
      </c>
      <c r="AH68">
        <v>1.1100000000000001</v>
      </c>
      <c r="AI68">
        <v>0.248</v>
      </c>
      <c r="AJ68">
        <v>0.8</v>
      </c>
      <c r="AK68">
        <v>45</v>
      </c>
      <c r="AL68">
        <v>75</v>
      </c>
      <c r="AM68">
        <v>88</v>
      </c>
      <c r="AN68">
        <v>2.25</v>
      </c>
      <c r="AO68">
        <v>3.54</v>
      </c>
      <c r="AP68">
        <v>-1.29</v>
      </c>
      <c r="AQ68">
        <v>3.9</v>
      </c>
      <c r="AR68">
        <v>4</v>
      </c>
      <c r="AS68" cm="1">
        <f t="array" ref="AS68:BA68">VLOOKUP(A68,plate_discipline_pitchers_2019!A:L,{3,4,5,6,7,8,9,10,11},FALSE)</f>
        <v>0.32500000000000001</v>
      </c>
      <c r="AT68">
        <v>0.66300000000000003</v>
      </c>
      <c r="AU68">
        <v>0.47199999999999998</v>
      </c>
      <c r="AV68">
        <v>0.60599999999999998</v>
      </c>
      <c r="AW68">
        <v>0.82599999999999996</v>
      </c>
      <c r="AX68">
        <v>0.74</v>
      </c>
      <c r="AY68">
        <v>0.434</v>
      </c>
      <c r="AZ68">
        <v>0.63700000000000001</v>
      </c>
      <c r="BA68">
        <v>0.122</v>
      </c>
      <c r="BB68" cm="1">
        <f t="array" ref="BB68:BP68">VLOOKUP(A68,pitchvalue_pitchers_2019!A:Q,{3,4,5,6,7,8,9,10,11,12,13,14,15,16,17},FALSE)</f>
        <v>7.1</v>
      </c>
      <c r="BC68">
        <v>8.1999999999999993</v>
      </c>
      <c r="BD68">
        <v>0</v>
      </c>
      <c r="BE68">
        <v>0</v>
      </c>
      <c r="BF68">
        <v>-1</v>
      </c>
      <c r="BG68">
        <v>0</v>
      </c>
      <c r="BH68">
        <v>0</v>
      </c>
      <c r="BI68">
        <v>1.53</v>
      </c>
      <c r="BJ68">
        <v>2.1</v>
      </c>
      <c r="BK68">
        <v>0</v>
      </c>
      <c r="BL68">
        <v>0</v>
      </c>
      <c r="BM68">
        <v>-2.3199999999999998</v>
      </c>
      <c r="BN68">
        <v>0</v>
      </c>
      <c r="BO68">
        <v>0</v>
      </c>
      <c r="BP68">
        <v>13911</v>
      </c>
      <c r="BQ68" cm="1">
        <f t="array" ref="BQ68:CH68">VLOOKUP(A68,battedball_pitchers_2019!A:U,{3,4,5,6,7,8,9,10,11,12,13,14,15,16,17,18,19,20},FALSE)</f>
        <v>0.248</v>
      </c>
      <c r="BR68">
        <v>1.58</v>
      </c>
      <c r="BS68">
        <v>0.20100000000000001</v>
      </c>
      <c r="BT68">
        <v>0.48899999999999999</v>
      </c>
      <c r="BU68">
        <v>0.309</v>
      </c>
      <c r="BV68">
        <v>7.0000000000000007E-2</v>
      </c>
      <c r="BW68">
        <v>0.11600000000000001</v>
      </c>
      <c r="BX68">
        <v>32</v>
      </c>
      <c r="BY68">
        <v>5.14</v>
      </c>
      <c r="BZ68">
        <v>317</v>
      </c>
      <c r="CA68">
        <v>581</v>
      </c>
      <c r="CB68">
        <v>898</v>
      </c>
      <c r="CC68">
        <v>0.39400000000000002</v>
      </c>
      <c r="CD68">
        <v>0.33100000000000002</v>
      </c>
      <c r="CE68">
        <v>0.27500000000000002</v>
      </c>
      <c r="CF68">
        <v>0.20399999999999999</v>
      </c>
      <c r="CG68">
        <v>0.47899999999999998</v>
      </c>
      <c r="CH68">
        <v>0.317</v>
      </c>
      <c r="CI68" cm="1">
        <f t="array" ref="CI68:CS68">VLOOKUP(A68,verticalmove_pitchers_2019!A:N,{3,4,5,6,7,8,9,10,11,12,13},FALSE)</f>
        <v>56</v>
      </c>
      <c r="CJ68">
        <v>7.5</v>
      </c>
      <c r="CK68">
        <v>0</v>
      </c>
      <c r="CL68">
        <v>0</v>
      </c>
      <c r="CM68">
        <v>6.8</v>
      </c>
      <c r="CN68">
        <v>3.2</v>
      </c>
      <c r="CO68">
        <v>-0.7</v>
      </c>
      <c r="CP68">
        <v>0</v>
      </c>
      <c r="CQ68">
        <v>0</v>
      </c>
      <c r="CR68">
        <v>-1.4</v>
      </c>
      <c r="CS68">
        <v>0</v>
      </c>
      <c r="CT68" cm="1">
        <f t="array" ref="CT68:DD68">VLOOKUP(A68,velocity_pitchers_2019!A:N,{3,4,5,6,7,8,9,10,11,12,13},FALSE)</f>
        <v>56</v>
      </c>
      <c r="CU68">
        <v>94.5</v>
      </c>
      <c r="CV68">
        <v>0</v>
      </c>
      <c r="CW68">
        <v>0</v>
      </c>
      <c r="CX68">
        <v>92.2</v>
      </c>
      <c r="CY68">
        <v>88.1</v>
      </c>
      <c r="CZ68">
        <v>85.8</v>
      </c>
      <c r="DA68">
        <v>0</v>
      </c>
      <c r="DB68">
        <v>0</v>
      </c>
      <c r="DC68">
        <v>85.5</v>
      </c>
      <c r="DD68">
        <v>0</v>
      </c>
    </row>
    <row r="69" spans="1:108" x14ac:dyDescent="0.3">
      <c r="A69" t="s">
        <v>195</v>
      </c>
      <c r="B69" t="str" cm="1">
        <f t="array" ref="B69:Y69">VLOOKUP(A69,standard_pitchers_2019!A:Y,{2,3,4,5,6,7,8,9,10,11,12,13,14,15,16,17,18,19,20,21,22,23,24,25},FALSE)</f>
        <v>Pirates</v>
      </c>
      <c r="C69">
        <v>4</v>
      </c>
      <c r="D69">
        <v>4</v>
      </c>
      <c r="E69">
        <v>3.99</v>
      </c>
      <c r="F69">
        <v>58</v>
      </c>
      <c r="G69">
        <v>1</v>
      </c>
      <c r="H69">
        <v>0</v>
      </c>
      <c r="I69">
        <v>0</v>
      </c>
      <c r="J69">
        <v>0</v>
      </c>
      <c r="K69">
        <v>3</v>
      </c>
      <c r="L69">
        <v>1</v>
      </c>
      <c r="M69">
        <v>56.1</v>
      </c>
      <c r="N69">
        <v>239</v>
      </c>
      <c r="O69">
        <v>44</v>
      </c>
      <c r="P69">
        <v>27</v>
      </c>
      <c r="Q69">
        <v>25</v>
      </c>
      <c r="R69">
        <v>11</v>
      </c>
      <c r="S69">
        <v>27</v>
      </c>
      <c r="T69">
        <v>1</v>
      </c>
      <c r="U69">
        <v>2</v>
      </c>
      <c r="V69">
        <v>0</v>
      </c>
      <c r="W69">
        <v>1</v>
      </c>
      <c r="X69">
        <v>73</v>
      </c>
      <c r="Y69">
        <v>11903</v>
      </c>
      <c r="Z69" cm="1">
        <f t="array" ref="Z69:AR69">VLOOKUP(A69,advanced_pitchers_2019!A:Y,{3,4,5,6,7,8,9,10,11,12,13,14,15,16,17,18,19,20,21},FALSE)</f>
        <v>11.66</v>
      </c>
      <c r="AA69">
        <v>4.3099999999999996</v>
      </c>
      <c r="AB69">
        <v>2.7</v>
      </c>
      <c r="AC69">
        <v>1.76</v>
      </c>
      <c r="AD69">
        <v>0.30499999999999999</v>
      </c>
      <c r="AE69">
        <v>0.113</v>
      </c>
      <c r="AF69">
        <v>0.192</v>
      </c>
      <c r="AG69">
        <v>0.21</v>
      </c>
      <c r="AH69">
        <v>1.26</v>
      </c>
      <c r="AI69">
        <v>0.26200000000000001</v>
      </c>
      <c r="AJ69">
        <v>0.79900000000000004</v>
      </c>
      <c r="AK69">
        <v>93</v>
      </c>
      <c r="AL69">
        <v>106</v>
      </c>
      <c r="AM69">
        <v>97</v>
      </c>
      <c r="AN69">
        <v>3.99</v>
      </c>
      <c r="AO69">
        <v>4.71</v>
      </c>
      <c r="AP69">
        <v>-0.71</v>
      </c>
      <c r="AQ69">
        <v>4.29</v>
      </c>
      <c r="AR69">
        <v>3.79</v>
      </c>
      <c r="AS69" cm="1">
        <f t="array" ref="AS69:BA69">VLOOKUP(A69,plate_discipline_pitchers_2019!A:L,{3,4,5,6,7,8,9,10,11},FALSE)</f>
        <v>0.32100000000000001</v>
      </c>
      <c r="AT69">
        <v>0.67600000000000005</v>
      </c>
      <c r="AU69">
        <v>0.47</v>
      </c>
      <c r="AV69">
        <v>0.60799999999999998</v>
      </c>
      <c r="AW69">
        <v>0.81299999999999994</v>
      </c>
      <c r="AX69">
        <v>0.73199999999999998</v>
      </c>
      <c r="AY69">
        <v>0.42</v>
      </c>
      <c r="AZ69">
        <v>0.63200000000000001</v>
      </c>
      <c r="BA69">
        <v>0.126</v>
      </c>
      <c r="BB69" cm="1">
        <f t="array" ref="BB69:BP69">VLOOKUP(A69,pitchvalue_pitchers_2019!A:Q,{3,4,5,6,7,8,9,10,11,12,13,14,15,16,17},FALSE)</f>
        <v>7</v>
      </c>
      <c r="BC69">
        <v>-3.3</v>
      </c>
      <c r="BD69">
        <v>0</v>
      </c>
      <c r="BE69">
        <v>0</v>
      </c>
      <c r="BF69">
        <v>-1.7</v>
      </c>
      <c r="BG69">
        <v>0</v>
      </c>
      <c r="BH69">
        <v>0</v>
      </c>
      <c r="BI69">
        <v>0.94</v>
      </c>
      <c r="BJ69">
        <v>-1.6</v>
      </c>
      <c r="BK69">
        <v>0</v>
      </c>
      <c r="BL69">
        <v>0</v>
      </c>
      <c r="BM69">
        <v>-2.64</v>
      </c>
      <c r="BN69">
        <v>0</v>
      </c>
      <c r="BO69">
        <v>0</v>
      </c>
      <c r="BP69">
        <v>11903</v>
      </c>
      <c r="BQ69" cm="1">
        <f t="array" ref="BQ69:CH69">VLOOKUP(A69,battedball_pitchers_2019!A:U,{3,4,5,6,7,8,9,10,11,12,13,14,15,16,17,18,19,20},FALSE)</f>
        <v>0.26200000000000001</v>
      </c>
      <c r="BR69">
        <v>0.77</v>
      </c>
      <c r="BS69">
        <v>0.20899999999999999</v>
      </c>
      <c r="BT69">
        <v>0.34300000000000003</v>
      </c>
      <c r="BU69">
        <v>0.44800000000000001</v>
      </c>
      <c r="BV69">
        <v>8.3000000000000004E-2</v>
      </c>
      <c r="BW69">
        <v>0.183</v>
      </c>
      <c r="BX69">
        <v>28</v>
      </c>
      <c r="BY69">
        <v>4.47</v>
      </c>
      <c r="BZ69">
        <v>363</v>
      </c>
      <c r="CA69">
        <v>653</v>
      </c>
      <c r="CB69">
        <v>1016</v>
      </c>
      <c r="CC69">
        <v>0.34300000000000003</v>
      </c>
      <c r="CD69">
        <v>0.35799999999999998</v>
      </c>
      <c r="CE69">
        <v>0.29899999999999999</v>
      </c>
      <c r="CF69">
        <v>0.19</v>
      </c>
      <c r="CG69">
        <v>0.51800000000000002</v>
      </c>
      <c r="CH69">
        <v>0.29199999999999998</v>
      </c>
      <c r="CI69" cm="1">
        <f t="array" ref="CI69:CS69">VLOOKUP(A69,verticalmove_pitchers_2019!A:N,{3,4,5,6,7,8,9,10,11,12,13},FALSE)</f>
        <v>56.1</v>
      </c>
      <c r="CJ69">
        <v>9.9</v>
      </c>
      <c r="CK69">
        <v>0</v>
      </c>
      <c r="CL69">
        <v>0</v>
      </c>
      <c r="CM69">
        <v>1.3</v>
      </c>
      <c r="CN69">
        <v>7.6</v>
      </c>
      <c r="CO69">
        <v>1.4</v>
      </c>
      <c r="CP69">
        <v>0</v>
      </c>
      <c r="CQ69">
        <v>0</v>
      </c>
      <c r="CR69">
        <v>0</v>
      </c>
      <c r="CS69">
        <v>0</v>
      </c>
      <c r="CT69" cm="1">
        <f t="array" ref="CT69:DD69">VLOOKUP(A69,velocity_pitchers_2019!A:N,{3,4,5,6,7,8,9,10,11,12,13},FALSE)</f>
        <v>56.1</v>
      </c>
      <c r="CU69">
        <v>95.4</v>
      </c>
      <c r="CV69">
        <v>0</v>
      </c>
      <c r="CW69">
        <v>0</v>
      </c>
      <c r="CX69">
        <v>82.3</v>
      </c>
      <c r="CY69">
        <v>86.4</v>
      </c>
      <c r="CZ69">
        <v>82</v>
      </c>
      <c r="DA69">
        <v>0</v>
      </c>
      <c r="DB69">
        <v>0</v>
      </c>
      <c r="DC69">
        <v>0</v>
      </c>
      <c r="DD69">
        <v>0</v>
      </c>
    </row>
    <row r="70" spans="1:108" x14ac:dyDescent="0.3">
      <c r="A70" t="s">
        <v>87</v>
      </c>
      <c r="B70" t="str" cm="1">
        <f t="array" ref="B70:Y70">VLOOKUP(A70,standard_pitchers_2019!A:Y,{2,3,4,5,6,7,8,9,10,11,12,13,14,15,16,17,18,19,20,21,22,23,24,25},FALSE)</f>
        <v>Giants</v>
      </c>
      <c r="C70">
        <v>3</v>
      </c>
      <c r="D70">
        <v>7</v>
      </c>
      <c r="E70">
        <v>2.86</v>
      </c>
      <c r="F70">
        <v>56</v>
      </c>
      <c r="G70">
        <v>0</v>
      </c>
      <c r="H70">
        <v>0</v>
      </c>
      <c r="I70">
        <v>0</v>
      </c>
      <c r="J70">
        <v>0</v>
      </c>
      <c r="K70">
        <v>15</v>
      </c>
      <c r="L70">
        <v>5</v>
      </c>
      <c r="M70">
        <v>56.2</v>
      </c>
      <c r="N70">
        <v>246</v>
      </c>
      <c r="O70">
        <v>41</v>
      </c>
      <c r="P70">
        <v>19</v>
      </c>
      <c r="Q70">
        <v>18</v>
      </c>
      <c r="R70">
        <v>4</v>
      </c>
      <c r="S70">
        <v>33</v>
      </c>
      <c r="T70">
        <v>1</v>
      </c>
      <c r="U70">
        <v>3</v>
      </c>
      <c r="V70">
        <v>3</v>
      </c>
      <c r="W70">
        <v>0</v>
      </c>
      <c r="X70">
        <v>70</v>
      </c>
      <c r="Y70">
        <v>14966</v>
      </c>
      <c r="Z70" cm="1">
        <f t="array" ref="Z70:AR70">VLOOKUP(A70,advanced_pitchers_2019!A:Y,{3,4,5,6,7,8,9,10,11,12,13,14,15,16,17,18,19,20,21},FALSE)</f>
        <v>11.12</v>
      </c>
      <c r="AA70">
        <v>5.24</v>
      </c>
      <c r="AB70">
        <v>2.12</v>
      </c>
      <c r="AC70">
        <v>0.64</v>
      </c>
      <c r="AD70">
        <v>0.28499999999999998</v>
      </c>
      <c r="AE70">
        <v>0.13400000000000001</v>
      </c>
      <c r="AF70">
        <v>0.15</v>
      </c>
      <c r="AG70">
        <v>0.19500000000000001</v>
      </c>
      <c r="AH70">
        <v>1.31</v>
      </c>
      <c r="AI70">
        <v>0.27200000000000002</v>
      </c>
      <c r="AJ70">
        <v>0.81200000000000006</v>
      </c>
      <c r="AK70">
        <v>68</v>
      </c>
      <c r="AL70">
        <v>85</v>
      </c>
      <c r="AM70">
        <v>109</v>
      </c>
      <c r="AN70">
        <v>2.86</v>
      </c>
      <c r="AO70">
        <v>3.57</v>
      </c>
      <c r="AP70">
        <v>-0.71</v>
      </c>
      <c r="AQ70">
        <v>4.83</v>
      </c>
      <c r="AR70">
        <v>4.29</v>
      </c>
      <c r="AS70" cm="1">
        <f t="array" ref="AS70:BA70">VLOOKUP(A70,plate_discipline_pitchers_2019!A:L,{3,4,5,6,7,8,9,10,11},FALSE)</f>
        <v>0.28999999999999998</v>
      </c>
      <c r="AT70">
        <v>0.61899999999999999</v>
      </c>
      <c r="AU70">
        <v>0.42199999999999999</v>
      </c>
      <c r="AV70">
        <v>0.55600000000000005</v>
      </c>
      <c r="AW70">
        <v>0.82899999999999996</v>
      </c>
      <c r="AX70">
        <v>0.71699999999999997</v>
      </c>
      <c r="AY70">
        <v>0.40200000000000002</v>
      </c>
      <c r="AZ70">
        <v>0.58899999999999997</v>
      </c>
      <c r="BA70">
        <v>0.11899999999999999</v>
      </c>
      <c r="BB70" cm="1">
        <f t="array" ref="BB70:BP70">VLOOKUP(A70,pitchvalue_pitchers_2019!A:Q,{3,4,5,6,7,8,9,10,11,12,13,14,15,16,17},FALSE)</f>
        <v>6.8</v>
      </c>
      <c r="BC70">
        <v>2.6</v>
      </c>
      <c r="BD70">
        <v>0</v>
      </c>
      <c r="BE70">
        <v>-0.1</v>
      </c>
      <c r="BF70">
        <v>-1.6</v>
      </c>
      <c r="BG70">
        <v>0</v>
      </c>
      <c r="BH70">
        <v>0</v>
      </c>
      <c r="BI70">
        <v>1.1299999999999999</v>
      </c>
      <c r="BJ70">
        <v>0.79</v>
      </c>
      <c r="BK70">
        <v>0</v>
      </c>
      <c r="BL70">
        <v>-0.46</v>
      </c>
      <c r="BM70">
        <v>-2.2000000000000002</v>
      </c>
      <c r="BN70">
        <v>0</v>
      </c>
      <c r="BO70">
        <v>0</v>
      </c>
      <c r="BP70">
        <v>14966</v>
      </c>
      <c r="BQ70" cm="1">
        <f t="array" ref="BQ70:CH70">VLOOKUP(A70,battedball_pitchers_2019!A:U,{3,4,5,6,7,8,9,10,11,12,13,14,15,16,17,18,19,20},FALSE)</f>
        <v>0.27200000000000002</v>
      </c>
      <c r="BR70">
        <v>0.84</v>
      </c>
      <c r="BS70">
        <v>0.18</v>
      </c>
      <c r="BT70">
        <v>0.374</v>
      </c>
      <c r="BU70">
        <v>0.44600000000000001</v>
      </c>
      <c r="BV70">
        <v>9.7000000000000003E-2</v>
      </c>
      <c r="BW70">
        <v>6.5000000000000002E-2</v>
      </c>
      <c r="BX70">
        <v>22</v>
      </c>
      <c r="BY70">
        <v>3.49</v>
      </c>
      <c r="BZ70">
        <v>406</v>
      </c>
      <c r="CA70">
        <v>632</v>
      </c>
      <c r="CB70">
        <v>1038</v>
      </c>
      <c r="CC70">
        <v>0.371</v>
      </c>
      <c r="CD70">
        <v>0.34300000000000003</v>
      </c>
      <c r="CE70">
        <v>0.28599999999999998</v>
      </c>
      <c r="CF70">
        <v>0.193</v>
      </c>
      <c r="CG70">
        <v>0.45</v>
      </c>
      <c r="CH70">
        <v>0.35699999999999998</v>
      </c>
      <c r="CI70" cm="1">
        <f t="array" ref="CI70:CS70">VLOOKUP(A70,verticalmove_pitchers_2019!A:N,{3,4,5,6,7,8,9,10,11,12,13},FALSE)</f>
        <v>56.2</v>
      </c>
      <c r="CJ70">
        <v>8.6999999999999993</v>
      </c>
      <c r="CK70">
        <v>0</v>
      </c>
      <c r="CL70">
        <v>0</v>
      </c>
      <c r="CM70">
        <v>0</v>
      </c>
      <c r="CN70">
        <v>3.1</v>
      </c>
      <c r="CO70">
        <v>0.1</v>
      </c>
      <c r="CP70">
        <v>0</v>
      </c>
      <c r="CQ70">
        <v>0</v>
      </c>
      <c r="CR70">
        <v>0</v>
      </c>
      <c r="CS70">
        <v>0</v>
      </c>
      <c r="CT70" cm="1">
        <f t="array" ref="CT70:DD70">VLOOKUP(A70,velocity_pitchers_2019!A:N,{3,4,5,6,7,8,9,10,11,12,13},FALSE)</f>
        <v>56.2</v>
      </c>
      <c r="CU70">
        <v>97.5</v>
      </c>
      <c r="CV70">
        <v>0</v>
      </c>
      <c r="CW70">
        <v>0</v>
      </c>
      <c r="CX70">
        <v>0</v>
      </c>
      <c r="CY70">
        <v>90.2</v>
      </c>
      <c r="CZ70">
        <v>83.7</v>
      </c>
      <c r="DA70">
        <v>0</v>
      </c>
      <c r="DB70">
        <v>0</v>
      </c>
      <c r="DC70">
        <v>0</v>
      </c>
      <c r="DD70">
        <v>0</v>
      </c>
    </row>
    <row r="71" spans="1:108" x14ac:dyDescent="0.3">
      <c r="A71" t="s">
        <v>123</v>
      </c>
      <c r="B71" t="str" cm="1">
        <f t="array" ref="B71:Y71">VLOOKUP(A71,standard_pitchers_2019!A:Y,{2,3,4,5,6,7,8,9,10,11,12,13,14,15,16,17,18,19,20,21,22,23,24,25},FALSE)</f>
        <v>- - -</v>
      </c>
      <c r="C71">
        <v>1</v>
      </c>
      <c r="D71">
        <v>3</v>
      </c>
      <c r="E71">
        <v>3.4</v>
      </c>
      <c r="F71">
        <v>58</v>
      </c>
      <c r="G71">
        <v>0</v>
      </c>
      <c r="H71">
        <v>0</v>
      </c>
      <c r="I71">
        <v>0</v>
      </c>
      <c r="J71">
        <v>4</v>
      </c>
      <c r="K71">
        <v>18</v>
      </c>
      <c r="L71">
        <v>2</v>
      </c>
      <c r="M71">
        <v>55.2</v>
      </c>
      <c r="N71">
        <v>216</v>
      </c>
      <c r="O71">
        <v>52</v>
      </c>
      <c r="P71">
        <v>23</v>
      </c>
      <c r="Q71">
        <v>21</v>
      </c>
      <c r="R71">
        <v>9</v>
      </c>
      <c r="S71">
        <v>5</v>
      </c>
      <c r="T71">
        <v>0</v>
      </c>
      <c r="U71">
        <v>0</v>
      </c>
      <c r="V71">
        <v>0</v>
      </c>
      <c r="W71">
        <v>0</v>
      </c>
      <c r="X71">
        <v>65</v>
      </c>
      <c r="Y71">
        <v>11847</v>
      </c>
      <c r="Z71" cm="1">
        <f t="array" ref="Z71:AR71">VLOOKUP(A71,advanced_pitchers_2019!A:Y,{3,4,5,6,7,8,9,10,11,12,13,14,15,16,17,18,19,20,21},FALSE)</f>
        <v>10.51</v>
      </c>
      <c r="AA71">
        <v>0.81</v>
      </c>
      <c r="AB71">
        <v>13</v>
      </c>
      <c r="AC71">
        <v>1.46</v>
      </c>
      <c r="AD71">
        <v>0.30099999999999999</v>
      </c>
      <c r="AE71">
        <v>2.3E-2</v>
      </c>
      <c r="AF71">
        <v>0.27800000000000002</v>
      </c>
      <c r="AG71">
        <v>0.246</v>
      </c>
      <c r="AH71">
        <v>1.02</v>
      </c>
      <c r="AI71">
        <v>0.314</v>
      </c>
      <c r="AJ71">
        <v>0.76600000000000001</v>
      </c>
      <c r="AK71">
        <v>71</v>
      </c>
      <c r="AL71">
        <v>69</v>
      </c>
      <c r="AM71">
        <v>60</v>
      </c>
      <c r="AN71">
        <v>3.4</v>
      </c>
      <c r="AO71">
        <v>3.25</v>
      </c>
      <c r="AP71">
        <v>0.15</v>
      </c>
      <c r="AQ71">
        <v>2.72</v>
      </c>
      <c r="AR71">
        <v>2.65</v>
      </c>
      <c r="AS71" cm="1">
        <f t="array" ref="AS71:BA71">VLOOKUP(A71,plate_discipline_pitchers_2019!A:L,{3,4,5,6,7,8,9,10,11},FALSE)</f>
        <v>0.38300000000000001</v>
      </c>
      <c r="AT71">
        <v>0.71899999999999997</v>
      </c>
      <c r="AU71">
        <v>0.54300000000000004</v>
      </c>
      <c r="AV71">
        <v>0.64700000000000002</v>
      </c>
      <c r="AW71">
        <v>0.84499999999999997</v>
      </c>
      <c r="AX71">
        <v>0.77200000000000002</v>
      </c>
      <c r="AY71">
        <v>0.47699999999999998</v>
      </c>
      <c r="AZ71">
        <v>0.73099999999999998</v>
      </c>
      <c r="BA71">
        <v>0.124</v>
      </c>
      <c r="BB71" cm="1">
        <f t="array" ref="BB71:BP71">VLOOKUP(A71,pitchvalue_pitchers_2019!A:Q,{3,4,5,6,7,8,9,10,11,12,13,14,15,16,17},FALSE)</f>
        <v>6.7</v>
      </c>
      <c r="BC71">
        <v>-2</v>
      </c>
      <c r="BD71">
        <v>-0.6</v>
      </c>
      <c r="BE71">
        <v>0</v>
      </c>
      <c r="BF71">
        <v>0</v>
      </c>
      <c r="BG71">
        <v>4.3</v>
      </c>
      <c r="BH71">
        <v>0</v>
      </c>
      <c r="BI71">
        <v>1.22</v>
      </c>
      <c r="BJ71">
        <v>-2.3199999999999998</v>
      </c>
      <c r="BK71">
        <v>-0.46</v>
      </c>
      <c r="BL71">
        <v>0</v>
      </c>
      <c r="BM71">
        <v>0</v>
      </c>
      <c r="BN71">
        <v>4.05</v>
      </c>
      <c r="BO71">
        <v>0</v>
      </c>
      <c r="BP71">
        <v>11847</v>
      </c>
      <c r="BQ71" cm="1">
        <f t="array" ref="BQ71:CH71">VLOOKUP(A71,battedball_pitchers_2019!A:U,{3,4,5,6,7,8,9,10,11,12,13,14,15,16,17,18,19,20},FALSE)</f>
        <v>0.314</v>
      </c>
      <c r="BR71">
        <v>1.66</v>
      </c>
      <c r="BS71">
        <v>0.19900000000000001</v>
      </c>
      <c r="BT71">
        <v>0.5</v>
      </c>
      <c r="BU71">
        <v>0.30099999999999999</v>
      </c>
      <c r="BV71">
        <v>4.4999999999999998E-2</v>
      </c>
      <c r="BW71">
        <v>0.20499999999999999</v>
      </c>
      <c r="BX71">
        <v>23</v>
      </c>
      <c r="BY71">
        <v>3.72</v>
      </c>
      <c r="BZ71">
        <v>255</v>
      </c>
      <c r="CA71">
        <v>610</v>
      </c>
      <c r="CB71">
        <v>865</v>
      </c>
      <c r="CC71">
        <v>0.33600000000000002</v>
      </c>
      <c r="CD71">
        <v>0.40400000000000003</v>
      </c>
      <c r="CE71">
        <v>0.26</v>
      </c>
      <c r="CF71">
        <v>0.17799999999999999</v>
      </c>
      <c r="CG71">
        <v>0.41799999999999998</v>
      </c>
      <c r="CH71">
        <v>0.40400000000000003</v>
      </c>
      <c r="CI71" cm="1">
        <f t="array" ref="CI71:CS71">VLOOKUP(A71,verticalmove_pitchers_2019!A:N,{3,4,5,6,7,8,9,10,11,12,13},FALSE)</f>
        <v>55.2</v>
      </c>
      <c r="CJ71">
        <v>8.3000000000000007</v>
      </c>
      <c r="CK71">
        <v>2.9</v>
      </c>
      <c r="CL71">
        <v>1.5</v>
      </c>
      <c r="CM71">
        <v>6.1</v>
      </c>
      <c r="CN71">
        <v>0</v>
      </c>
      <c r="CO71">
        <v>-1.8</v>
      </c>
      <c r="CP71">
        <v>0</v>
      </c>
      <c r="CQ71">
        <v>0</v>
      </c>
      <c r="CR71">
        <v>0</v>
      </c>
      <c r="CS71">
        <v>0</v>
      </c>
      <c r="CT71" cm="1">
        <f t="array" ref="CT71:DD71">VLOOKUP(A71,velocity_pitchers_2019!A:N,{3,4,5,6,7,8,9,10,11,12,13},FALSE)</f>
        <v>55.2</v>
      </c>
      <c r="CU71">
        <v>96.2</v>
      </c>
      <c r="CV71">
        <v>91</v>
      </c>
      <c r="CW71">
        <v>89.1</v>
      </c>
      <c r="CX71">
        <v>95.6</v>
      </c>
      <c r="CY71">
        <v>0</v>
      </c>
      <c r="CZ71">
        <v>86.2</v>
      </c>
      <c r="DA71">
        <v>0</v>
      </c>
      <c r="DB71">
        <v>0</v>
      </c>
      <c r="DC71">
        <v>0</v>
      </c>
      <c r="DD71">
        <v>0</v>
      </c>
    </row>
    <row r="72" spans="1:108" x14ac:dyDescent="0.3">
      <c r="A72" t="s">
        <v>49</v>
      </c>
      <c r="B72" t="str" cm="1">
        <f t="array" ref="B72:Y72">VLOOKUP(A72,standard_pitchers_2019!A:Y,{2,3,4,5,6,7,8,9,10,11,12,13,14,15,16,17,18,19,20,21,22,23,24,25},FALSE)</f>
        <v>Cardinals</v>
      </c>
      <c r="C72">
        <v>3</v>
      </c>
      <c r="D72">
        <v>2</v>
      </c>
      <c r="E72">
        <v>2.31</v>
      </c>
      <c r="F72">
        <v>66</v>
      </c>
      <c r="G72">
        <v>0</v>
      </c>
      <c r="H72">
        <v>0</v>
      </c>
      <c r="I72">
        <v>0</v>
      </c>
      <c r="J72">
        <v>1</v>
      </c>
      <c r="K72">
        <v>19</v>
      </c>
      <c r="L72">
        <v>3</v>
      </c>
      <c r="M72">
        <v>74</v>
      </c>
      <c r="N72">
        <v>279</v>
      </c>
      <c r="O72">
        <v>44</v>
      </c>
      <c r="P72">
        <v>19</v>
      </c>
      <c r="Q72">
        <v>19</v>
      </c>
      <c r="R72">
        <v>9</v>
      </c>
      <c r="S72">
        <v>16</v>
      </c>
      <c r="T72">
        <v>2</v>
      </c>
      <c r="U72">
        <v>3</v>
      </c>
      <c r="V72">
        <v>3</v>
      </c>
      <c r="W72">
        <v>1</v>
      </c>
      <c r="X72">
        <v>93</v>
      </c>
      <c r="Y72">
        <v>14986</v>
      </c>
      <c r="Z72" cm="1">
        <f t="array" ref="Z72:AR72">VLOOKUP(A72,advanced_pitchers_2019!A:Y,{3,4,5,6,7,8,9,10,11,12,13,14,15,16,17,18,19,20,21},FALSE)</f>
        <v>11.31</v>
      </c>
      <c r="AA72">
        <v>1.95</v>
      </c>
      <c r="AB72">
        <v>5.81</v>
      </c>
      <c r="AC72">
        <v>1.0900000000000001</v>
      </c>
      <c r="AD72">
        <v>0.33300000000000002</v>
      </c>
      <c r="AE72">
        <v>5.7000000000000002E-2</v>
      </c>
      <c r="AF72">
        <v>0.27600000000000002</v>
      </c>
      <c r="AG72">
        <v>0.16900000000000001</v>
      </c>
      <c r="AH72">
        <v>0.81</v>
      </c>
      <c r="AI72">
        <v>0.222</v>
      </c>
      <c r="AJ72">
        <v>0.873</v>
      </c>
      <c r="AK72">
        <v>55</v>
      </c>
      <c r="AL72">
        <v>70</v>
      </c>
      <c r="AM72">
        <v>81</v>
      </c>
      <c r="AN72">
        <v>2.31</v>
      </c>
      <c r="AO72">
        <v>3.05</v>
      </c>
      <c r="AP72">
        <v>-0.74</v>
      </c>
      <c r="AQ72">
        <v>3.59</v>
      </c>
      <c r="AR72">
        <v>2.89</v>
      </c>
      <c r="AS72" cm="1">
        <f t="array" ref="AS72:BA72">VLOOKUP(A72,plate_discipline_pitchers_2019!A:L,{3,4,5,6,7,8,9,10,11},FALSE)</f>
        <v>0.36199999999999999</v>
      </c>
      <c r="AT72">
        <v>0.68899999999999995</v>
      </c>
      <c r="AU72">
        <v>0.501</v>
      </c>
      <c r="AV72">
        <v>0.48099999999999998</v>
      </c>
      <c r="AW72">
        <v>0.80900000000000005</v>
      </c>
      <c r="AX72">
        <v>0.67300000000000004</v>
      </c>
      <c r="AY72">
        <v>0.42599999999999999</v>
      </c>
      <c r="AZ72">
        <v>0.65600000000000003</v>
      </c>
      <c r="BA72">
        <v>0.16400000000000001</v>
      </c>
      <c r="BB72" cm="1">
        <f t="array" ref="BB72:BP72">VLOOKUP(A72,pitchvalue_pitchers_2019!A:Q,{3,4,5,6,7,8,9,10,11,12,13,14,15,16,17},FALSE)</f>
        <v>6.7</v>
      </c>
      <c r="BC72">
        <v>13.9</v>
      </c>
      <c r="BD72">
        <v>0</v>
      </c>
      <c r="BE72">
        <v>0</v>
      </c>
      <c r="BF72">
        <v>0.5</v>
      </c>
      <c r="BG72">
        <v>0</v>
      </c>
      <c r="BH72">
        <v>0</v>
      </c>
      <c r="BI72">
        <v>1.06</v>
      </c>
      <c r="BJ72">
        <v>2.77</v>
      </c>
      <c r="BK72">
        <v>0</v>
      </c>
      <c r="BL72">
        <v>0</v>
      </c>
      <c r="BM72">
        <v>7.81</v>
      </c>
      <c r="BN72">
        <v>0</v>
      </c>
      <c r="BO72">
        <v>0</v>
      </c>
      <c r="BP72">
        <v>14986</v>
      </c>
      <c r="BQ72" cm="1">
        <f t="array" ref="BQ72:CH72">VLOOKUP(A72,battedball_pitchers_2019!A:U,{3,4,5,6,7,8,9,10,11,12,13,14,15,16,17,18,19,20},FALSE)</f>
        <v>0.222</v>
      </c>
      <c r="BR72">
        <v>0.71</v>
      </c>
      <c r="BS72">
        <v>0.192</v>
      </c>
      <c r="BT72">
        <v>0.33500000000000002</v>
      </c>
      <c r="BU72">
        <v>0.47299999999999998</v>
      </c>
      <c r="BV72">
        <v>0.17699999999999999</v>
      </c>
      <c r="BW72">
        <v>0.114</v>
      </c>
      <c r="BX72">
        <v>31</v>
      </c>
      <c r="BY72">
        <v>3.77</v>
      </c>
      <c r="BZ72">
        <v>361</v>
      </c>
      <c r="CA72">
        <v>780</v>
      </c>
      <c r="CB72">
        <v>1141</v>
      </c>
      <c r="CC72">
        <v>0.35299999999999998</v>
      </c>
      <c r="CD72">
        <v>0.377</v>
      </c>
      <c r="CE72">
        <v>0.26900000000000002</v>
      </c>
      <c r="CF72">
        <v>0.18</v>
      </c>
      <c r="CG72">
        <v>0.45500000000000002</v>
      </c>
      <c r="CH72">
        <v>0.36499999999999999</v>
      </c>
      <c r="CI72" cm="1">
        <f t="array" ref="CI72:CS72">VLOOKUP(A72,verticalmove_pitchers_2019!A:N,{3,4,5,6,7,8,9,10,11,12,13},FALSE)</f>
        <v>74</v>
      </c>
      <c r="CJ72">
        <v>9.6999999999999993</v>
      </c>
      <c r="CK72">
        <v>0</v>
      </c>
      <c r="CL72">
        <v>0</v>
      </c>
      <c r="CM72">
        <v>0</v>
      </c>
      <c r="CN72">
        <v>7</v>
      </c>
      <c r="CO72">
        <v>-0.8</v>
      </c>
      <c r="CP72">
        <v>0</v>
      </c>
      <c r="CQ72">
        <v>0</v>
      </c>
      <c r="CR72">
        <v>0</v>
      </c>
      <c r="CS72">
        <v>0</v>
      </c>
      <c r="CT72" cm="1">
        <f t="array" ref="CT72:DD72">VLOOKUP(A72,velocity_pitchers_2019!A:N,{3,4,5,6,7,8,9,10,11,12,13},FALSE)</f>
        <v>74</v>
      </c>
      <c r="CU72">
        <v>93.8</v>
      </c>
      <c r="CV72">
        <v>0</v>
      </c>
      <c r="CW72">
        <v>0</v>
      </c>
      <c r="CX72">
        <v>0</v>
      </c>
      <c r="CY72">
        <v>86.9</v>
      </c>
      <c r="CZ72">
        <v>85.4</v>
      </c>
      <c r="DA72">
        <v>0</v>
      </c>
      <c r="DB72">
        <v>0</v>
      </c>
      <c r="DC72">
        <v>0</v>
      </c>
      <c r="DD72">
        <v>0</v>
      </c>
    </row>
    <row r="73" spans="1:108" x14ac:dyDescent="0.3">
      <c r="A73" t="s">
        <v>69</v>
      </c>
      <c r="B73" t="str" cm="1">
        <f t="array" ref="B73:Y73">VLOOKUP(A73,standard_pitchers_2019!A:Y,{2,3,4,5,6,7,8,9,10,11,12,13,14,15,16,17,18,19,20,21,22,23,24,25},FALSE)</f>
        <v>Twins</v>
      </c>
      <c r="C73">
        <v>2</v>
      </c>
      <c r="D73">
        <v>4</v>
      </c>
      <c r="E73">
        <v>2.61</v>
      </c>
      <c r="F73">
        <v>60</v>
      </c>
      <c r="G73">
        <v>0</v>
      </c>
      <c r="H73">
        <v>0</v>
      </c>
      <c r="I73">
        <v>0</v>
      </c>
      <c r="J73">
        <v>30</v>
      </c>
      <c r="K73">
        <v>10</v>
      </c>
      <c r="L73">
        <v>6</v>
      </c>
      <c r="M73">
        <v>69</v>
      </c>
      <c r="N73">
        <v>278</v>
      </c>
      <c r="O73">
        <v>58</v>
      </c>
      <c r="P73">
        <v>20</v>
      </c>
      <c r="Q73">
        <v>20</v>
      </c>
      <c r="R73">
        <v>8</v>
      </c>
      <c r="S73">
        <v>11</v>
      </c>
      <c r="T73">
        <v>2</v>
      </c>
      <c r="U73">
        <v>6</v>
      </c>
      <c r="V73">
        <v>2</v>
      </c>
      <c r="W73">
        <v>0</v>
      </c>
      <c r="X73">
        <v>90</v>
      </c>
      <c r="Y73">
        <v>13449</v>
      </c>
      <c r="Z73" cm="1">
        <f t="array" ref="Z73:AR73">VLOOKUP(A73,advanced_pitchers_2019!A:Y,{3,4,5,6,7,8,9,10,11,12,13,14,15,16,17,18,19,20,21},FALSE)</f>
        <v>11.74</v>
      </c>
      <c r="AA73">
        <v>1.43</v>
      </c>
      <c r="AB73">
        <v>8.18</v>
      </c>
      <c r="AC73">
        <v>1.04</v>
      </c>
      <c r="AD73">
        <v>0.32400000000000001</v>
      </c>
      <c r="AE73">
        <v>0.04</v>
      </c>
      <c r="AF73">
        <v>0.28399999999999997</v>
      </c>
      <c r="AG73">
        <v>0.222</v>
      </c>
      <c r="AH73">
        <v>1</v>
      </c>
      <c r="AI73">
        <v>0.307</v>
      </c>
      <c r="AJ73">
        <v>0.86199999999999999</v>
      </c>
      <c r="AK73">
        <v>56</v>
      </c>
      <c r="AL73">
        <v>62</v>
      </c>
      <c r="AM73">
        <v>62</v>
      </c>
      <c r="AN73">
        <v>2.61</v>
      </c>
      <c r="AO73">
        <v>2.85</v>
      </c>
      <c r="AP73">
        <v>-0.24</v>
      </c>
      <c r="AQ73">
        <v>2.84</v>
      </c>
      <c r="AR73">
        <v>2.63</v>
      </c>
      <c r="AS73" cm="1">
        <f t="array" ref="AS73:BA73">VLOOKUP(A73,plate_discipline_pitchers_2019!A:L,{3,4,5,6,7,8,9,10,11},FALSE)</f>
        <v>0.3</v>
      </c>
      <c r="AT73">
        <v>0.61599999999999999</v>
      </c>
      <c r="AU73">
        <v>0.45300000000000001</v>
      </c>
      <c r="AV73">
        <v>0.60599999999999998</v>
      </c>
      <c r="AW73">
        <v>0.83599999999999997</v>
      </c>
      <c r="AX73">
        <v>0.75700000000000001</v>
      </c>
      <c r="AY73">
        <v>0.48399999999999999</v>
      </c>
      <c r="AZ73">
        <v>0.68</v>
      </c>
      <c r="BA73">
        <v>0.11</v>
      </c>
      <c r="BB73" cm="1">
        <f t="array" ref="BB73:BP73">VLOOKUP(A73,pitchvalue_pitchers_2019!A:Q,{3,4,5,6,7,8,9,10,11,12,13,14,15,16,17},FALSE)</f>
        <v>6.5</v>
      </c>
      <c r="BC73">
        <v>7.4</v>
      </c>
      <c r="BD73">
        <v>0</v>
      </c>
      <c r="BE73">
        <v>-0.6</v>
      </c>
      <c r="BF73">
        <v>0</v>
      </c>
      <c r="BG73">
        <v>0</v>
      </c>
      <c r="BH73">
        <v>0</v>
      </c>
      <c r="BI73">
        <v>1.22</v>
      </c>
      <c r="BJ73">
        <v>1.52</v>
      </c>
      <c r="BK73">
        <v>0</v>
      </c>
      <c r="BL73">
        <v>-1.38</v>
      </c>
      <c r="BM73">
        <v>0</v>
      </c>
      <c r="BN73">
        <v>0</v>
      </c>
      <c r="BO73">
        <v>0</v>
      </c>
      <c r="BP73">
        <v>13449</v>
      </c>
      <c r="BQ73" cm="1">
        <f t="array" ref="BQ73:CH73">VLOOKUP(A73,battedball_pitchers_2019!A:U,{3,4,5,6,7,8,9,10,11,12,13,14,15,16,17,18,19,20},FALSE)</f>
        <v>0.307</v>
      </c>
      <c r="BR73">
        <v>1.62</v>
      </c>
      <c r="BS73">
        <v>0.18099999999999999</v>
      </c>
      <c r="BT73">
        <v>0.50600000000000001</v>
      </c>
      <c r="BU73">
        <v>0.313</v>
      </c>
      <c r="BV73">
        <v>5.8000000000000003E-2</v>
      </c>
      <c r="BW73">
        <v>0.154</v>
      </c>
      <c r="BX73">
        <v>20</v>
      </c>
      <c r="BY73">
        <v>2.61</v>
      </c>
      <c r="BZ73">
        <v>329</v>
      </c>
      <c r="CA73">
        <v>736</v>
      </c>
      <c r="CB73">
        <v>1065</v>
      </c>
      <c r="CC73">
        <v>0.33900000000000002</v>
      </c>
      <c r="CD73">
        <v>0.36799999999999999</v>
      </c>
      <c r="CE73">
        <v>0.29199999999999998</v>
      </c>
      <c r="CF73">
        <v>0.193</v>
      </c>
      <c r="CG73">
        <v>0.49099999999999999</v>
      </c>
      <c r="CH73">
        <v>0.316</v>
      </c>
      <c r="CI73" cm="1">
        <f t="array" ref="CI73:CS73">VLOOKUP(A73,verticalmove_pitchers_2019!A:N,{3,4,5,6,7,8,9,10,11,12,13},FALSE)</f>
        <v>69</v>
      </c>
      <c r="CJ73">
        <v>6.9</v>
      </c>
      <c r="CK73">
        <v>0</v>
      </c>
      <c r="CL73">
        <v>0</v>
      </c>
      <c r="CM73">
        <v>3.7</v>
      </c>
      <c r="CN73">
        <v>0</v>
      </c>
      <c r="CO73">
        <v>1.4</v>
      </c>
      <c r="CP73">
        <v>-0.5</v>
      </c>
      <c r="CQ73">
        <v>0</v>
      </c>
      <c r="CR73">
        <v>0</v>
      </c>
      <c r="CS73">
        <v>0</v>
      </c>
      <c r="CT73" cm="1">
        <f t="array" ref="CT73:DD73">VLOOKUP(A73,velocity_pitchers_2019!A:N,{3,4,5,6,7,8,9,10,11,12,13},FALSE)</f>
        <v>69</v>
      </c>
      <c r="CU73">
        <v>95.4</v>
      </c>
      <c r="CV73">
        <v>0</v>
      </c>
      <c r="CW73">
        <v>0</v>
      </c>
      <c r="CX73">
        <v>95</v>
      </c>
      <c r="CY73">
        <v>0</v>
      </c>
      <c r="CZ73">
        <v>83.7</v>
      </c>
      <c r="DA73">
        <v>81</v>
      </c>
      <c r="DB73">
        <v>0</v>
      </c>
      <c r="DC73">
        <v>0</v>
      </c>
      <c r="DD73">
        <v>0</v>
      </c>
    </row>
    <row r="74" spans="1:108" x14ac:dyDescent="0.3">
      <c r="A74" t="s">
        <v>256</v>
      </c>
      <c r="B74" t="str" cm="1">
        <f t="array" ref="B74:Y74">VLOOKUP(A74,standard_pitchers_2019!A:Y,{2,3,4,5,6,7,8,9,10,11,12,13,14,15,16,17,18,19,20,21,22,23,24,25},FALSE)</f>
        <v>Marlins</v>
      </c>
      <c r="C74">
        <v>10</v>
      </c>
      <c r="D74">
        <v>11</v>
      </c>
      <c r="E74">
        <v>4.5199999999999996</v>
      </c>
      <c r="F74">
        <v>28</v>
      </c>
      <c r="G74">
        <v>28</v>
      </c>
      <c r="H74">
        <v>0</v>
      </c>
      <c r="I74">
        <v>0</v>
      </c>
      <c r="J74">
        <v>0</v>
      </c>
      <c r="K74">
        <v>0</v>
      </c>
      <c r="L74">
        <v>0</v>
      </c>
      <c r="M74">
        <v>153.1</v>
      </c>
      <c r="N74">
        <v>646</v>
      </c>
      <c r="O74">
        <v>128</v>
      </c>
      <c r="P74">
        <v>82</v>
      </c>
      <c r="Q74">
        <v>77</v>
      </c>
      <c r="R74">
        <v>33</v>
      </c>
      <c r="S74">
        <v>60</v>
      </c>
      <c r="T74">
        <v>2</v>
      </c>
      <c r="U74">
        <v>6</v>
      </c>
      <c r="V74">
        <v>6</v>
      </c>
      <c r="W74">
        <v>1</v>
      </c>
      <c r="X74">
        <v>168</v>
      </c>
      <c r="Y74">
        <v>14875</v>
      </c>
      <c r="Z74" cm="1">
        <f t="array" ref="Z74:AR74">VLOOKUP(A74,advanced_pitchers_2019!A:Y,{3,4,5,6,7,8,9,10,11,12,13,14,15,16,17,18,19,20,21},FALSE)</f>
        <v>9.86</v>
      </c>
      <c r="AA74">
        <v>3.52</v>
      </c>
      <c r="AB74">
        <v>2.8</v>
      </c>
      <c r="AC74">
        <v>1.94</v>
      </c>
      <c r="AD74">
        <v>0.26</v>
      </c>
      <c r="AE74">
        <v>9.2999999999999999E-2</v>
      </c>
      <c r="AF74">
        <v>0.16700000000000001</v>
      </c>
      <c r="AG74">
        <v>0.221</v>
      </c>
      <c r="AH74">
        <v>1.23</v>
      </c>
      <c r="AI74">
        <v>0.251</v>
      </c>
      <c r="AJ74">
        <v>0.75800000000000001</v>
      </c>
      <c r="AK74">
        <v>108</v>
      </c>
      <c r="AL74">
        <v>119</v>
      </c>
      <c r="AM74">
        <v>114</v>
      </c>
      <c r="AN74">
        <v>4.5199999999999996</v>
      </c>
      <c r="AO74">
        <v>5.1100000000000003</v>
      </c>
      <c r="AP74">
        <v>-0.59</v>
      </c>
      <c r="AQ74">
        <v>5.05</v>
      </c>
      <c r="AR74">
        <v>4.58</v>
      </c>
      <c r="AS74" cm="1">
        <f t="array" ref="AS74:BA74">VLOOKUP(A74,plate_discipline_pitchers_2019!A:L,{3,4,5,6,7,8,9,10,11},FALSE)</f>
        <v>0.32900000000000001</v>
      </c>
      <c r="AT74">
        <v>0.73199999999999998</v>
      </c>
      <c r="AU74">
        <v>0.49299999999999999</v>
      </c>
      <c r="AV74">
        <v>0.65600000000000003</v>
      </c>
      <c r="AW74">
        <v>0.8</v>
      </c>
      <c r="AX74">
        <v>0.74299999999999999</v>
      </c>
      <c r="AY74">
        <v>0.40500000000000003</v>
      </c>
      <c r="AZ74">
        <v>0.59799999999999998</v>
      </c>
      <c r="BA74">
        <v>0.127</v>
      </c>
      <c r="BB74" cm="1">
        <f t="array" ref="BB74:BP74">VLOOKUP(A74,pitchvalue_pitchers_2019!A:Q,{3,4,5,6,7,8,9,10,11,12,13,14,15,16,17},FALSE)</f>
        <v>6.2</v>
      </c>
      <c r="BC74">
        <v>-2.4</v>
      </c>
      <c r="BD74">
        <v>0</v>
      </c>
      <c r="BE74">
        <v>0</v>
      </c>
      <c r="BF74">
        <v>-3.2</v>
      </c>
      <c r="BG74">
        <v>0</v>
      </c>
      <c r="BH74">
        <v>0</v>
      </c>
      <c r="BI74">
        <v>0.44</v>
      </c>
      <c r="BJ74">
        <v>-0.28999999999999998</v>
      </c>
      <c r="BK74">
        <v>0</v>
      </c>
      <c r="BL74">
        <v>0</v>
      </c>
      <c r="BM74">
        <v>-0.82</v>
      </c>
      <c r="BN74">
        <v>0</v>
      </c>
      <c r="BO74">
        <v>0</v>
      </c>
      <c r="BP74">
        <v>14875</v>
      </c>
      <c r="BQ74" cm="1">
        <f t="array" ref="BQ74:CH74">VLOOKUP(A74,battedball_pitchers_2019!A:U,{3,4,5,6,7,8,9,10,11,12,13,14,15,16,17,18,19,20},FALSE)</f>
        <v>0.251</v>
      </c>
      <c r="BR74">
        <v>0.5</v>
      </c>
      <c r="BS74">
        <v>0.214</v>
      </c>
      <c r="BT74">
        <v>0.26100000000000001</v>
      </c>
      <c r="BU74">
        <v>0.52500000000000002</v>
      </c>
      <c r="BV74">
        <v>0.13300000000000001</v>
      </c>
      <c r="BW74">
        <v>0.156</v>
      </c>
      <c r="BX74">
        <v>88</v>
      </c>
      <c r="BY74">
        <v>5.17</v>
      </c>
      <c r="BZ74">
        <v>941</v>
      </c>
      <c r="CA74">
        <v>1720</v>
      </c>
      <c r="CB74">
        <v>2661</v>
      </c>
      <c r="CC74">
        <v>0.4</v>
      </c>
      <c r="CD74">
        <v>0.318</v>
      </c>
      <c r="CE74">
        <v>0.28199999999999997</v>
      </c>
      <c r="CF74">
        <v>0.16700000000000001</v>
      </c>
      <c r="CG74">
        <v>0.45900000000000002</v>
      </c>
      <c r="CH74">
        <v>0.374</v>
      </c>
      <c r="CI74" cm="1">
        <f t="array" ref="CI74:CS74">VLOOKUP(A74,verticalmove_pitchers_2019!A:N,{3,4,5,6,7,8,9,10,11,12,13},FALSE)</f>
        <v>153.1</v>
      </c>
      <c r="CJ74">
        <v>8.6999999999999993</v>
      </c>
      <c r="CK74">
        <v>0</v>
      </c>
      <c r="CL74">
        <v>0</v>
      </c>
      <c r="CM74">
        <v>0</v>
      </c>
      <c r="CN74">
        <v>5.0999999999999996</v>
      </c>
      <c r="CO74">
        <v>1.3</v>
      </c>
      <c r="CP74">
        <v>0</v>
      </c>
      <c r="CQ74">
        <v>0</v>
      </c>
      <c r="CR74">
        <v>0</v>
      </c>
      <c r="CS74">
        <v>0</v>
      </c>
      <c r="CT74" cm="1">
        <f t="array" ref="CT74:DD74">VLOOKUP(A74,velocity_pitchers_2019!A:N,{3,4,5,6,7,8,9,10,11,12,13},FALSE)</f>
        <v>153.1</v>
      </c>
      <c r="CU74">
        <v>91.7</v>
      </c>
      <c r="CV74">
        <v>0</v>
      </c>
      <c r="CW74">
        <v>0</v>
      </c>
      <c r="CX74">
        <v>0</v>
      </c>
      <c r="CY74">
        <v>82.8</v>
      </c>
      <c r="CZ74">
        <v>83.6</v>
      </c>
      <c r="DA74">
        <v>0</v>
      </c>
      <c r="DB74">
        <v>0</v>
      </c>
      <c r="DC74">
        <v>0</v>
      </c>
      <c r="DD74">
        <v>0</v>
      </c>
    </row>
    <row r="75" spans="1:108" x14ac:dyDescent="0.3">
      <c r="A75" t="s">
        <v>305</v>
      </c>
      <c r="B75" t="str" cm="1">
        <f t="array" ref="B75:Y75">VLOOKUP(A75,standard_pitchers_2019!A:Y,{2,3,4,5,6,7,8,9,10,11,12,13,14,15,16,17,18,19,20,21,22,23,24,25},FALSE)</f>
        <v>Angels</v>
      </c>
      <c r="C75">
        <v>4</v>
      </c>
      <c r="D75">
        <v>6</v>
      </c>
      <c r="E75">
        <v>4.91</v>
      </c>
      <c r="F75">
        <v>18</v>
      </c>
      <c r="G75">
        <v>18</v>
      </c>
      <c r="H75">
        <v>0</v>
      </c>
      <c r="I75">
        <v>0</v>
      </c>
      <c r="J75">
        <v>0</v>
      </c>
      <c r="K75">
        <v>0</v>
      </c>
      <c r="L75">
        <v>0</v>
      </c>
      <c r="M75">
        <v>95.1</v>
      </c>
      <c r="N75">
        <v>409</v>
      </c>
      <c r="O75">
        <v>93</v>
      </c>
      <c r="P75">
        <v>53</v>
      </c>
      <c r="Q75">
        <v>52</v>
      </c>
      <c r="R75">
        <v>20</v>
      </c>
      <c r="S75">
        <v>30</v>
      </c>
      <c r="T75">
        <v>1</v>
      </c>
      <c r="U75">
        <v>7</v>
      </c>
      <c r="V75">
        <v>4</v>
      </c>
      <c r="W75">
        <v>0</v>
      </c>
      <c r="X75">
        <v>118</v>
      </c>
      <c r="Y75">
        <v>15423</v>
      </c>
      <c r="Z75" cm="1">
        <f t="array" ref="Z75:AR75">VLOOKUP(A75,advanced_pitchers_2019!A:Y,{3,4,5,6,7,8,9,10,11,12,13,14,15,16,17,18,19,20,21},FALSE)</f>
        <v>11.14</v>
      </c>
      <c r="AA75">
        <v>2.83</v>
      </c>
      <c r="AB75">
        <v>3.93</v>
      </c>
      <c r="AC75">
        <v>1.89</v>
      </c>
      <c r="AD75">
        <v>0.28899999999999998</v>
      </c>
      <c r="AE75">
        <v>7.2999999999999995E-2</v>
      </c>
      <c r="AF75">
        <v>0.215</v>
      </c>
      <c r="AG75">
        <v>0.25</v>
      </c>
      <c r="AH75">
        <v>1.29</v>
      </c>
      <c r="AI75">
        <v>0.312</v>
      </c>
      <c r="AJ75">
        <v>0.755</v>
      </c>
      <c r="AK75">
        <v>109</v>
      </c>
      <c r="AL75">
        <v>101</v>
      </c>
      <c r="AM75">
        <v>91</v>
      </c>
      <c r="AN75">
        <v>4.91</v>
      </c>
      <c r="AO75">
        <v>4.63</v>
      </c>
      <c r="AP75">
        <v>0.28000000000000003</v>
      </c>
      <c r="AQ75">
        <v>4.18</v>
      </c>
      <c r="AR75">
        <v>3.87</v>
      </c>
      <c r="AS75" cm="1">
        <f t="array" ref="AS75:BA75">VLOOKUP(A75,plate_discipline_pitchers_2019!A:L,{3,4,5,6,7,8,9,10,11},FALSE)</f>
        <v>0.33100000000000002</v>
      </c>
      <c r="AT75">
        <v>0.68</v>
      </c>
      <c r="AU75">
        <v>0.48399999999999999</v>
      </c>
      <c r="AV75">
        <v>0.53200000000000003</v>
      </c>
      <c r="AW75">
        <v>0.81699999999999995</v>
      </c>
      <c r="AX75">
        <v>0.70799999999999996</v>
      </c>
      <c r="AY75">
        <v>0.439</v>
      </c>
      <c r="AZ75">
        <v>0.63100000000000001</v>
      </c>
      <c r="BA75">
        <v>0.14199999999999999</v>
      </c>
      <c r="BB75" cm="1">
        <f t="array" ref="BB75:BP75">VLOOKUP(A75,pitchvalue_pitchers_2019!A:Q,{3,4,5,6,7,8,9,10,11,12,13,14,15,16,17},FALSE)</f>
        <v>6.2</v>
      </c>
      <c r="BC75">
        <v>-3.9</v>
      </c>
      <c r="BD75">
        <v>0</v>
      </c>
      <c r="BE75">
        <v>0</v>
      </c>
      <c r="BF75">
        <v>-3.4</v>
      </c>
      <c r="BG75">
        <v>0</v>
      </c>
      <c r="BH75">
        <v>0</v>
      </c>
      <c r="BI75">
        <v>0.63</v>
      </c>
      <c r="BJ75">
        <v>-0.85</v>
      </c>
      <c r="BK75">
        <v>0</v>
      </c>
      <c r="BL75">
        <v>0</v>
      </c>
      <c r="BM75">
        <v>-1.34</v>
      </c>
      <c r="BN75">
        <v>0</v>
      </c>
      <c r="BO75">
        <v>0</v>
      </c>
      <c r="BP75">
        <v>15423</v>
      </c>
      <c r="BQ75" cm="1">
        <f t="array" ref="BQ75:CH75">VLOOKUP(A75,battedball_pitchers_2019!A:U,{3,4,5,6,7,8,9,10,11,12,13,14,15,16,17,18,19,20},FALSE)</f>
        <v>0.312</v>
      </c>
      <c r="BR75">
        <v>0.77</v>
      </c>
      <c r="BS75">
        <v>0.22800000000000001</v>
      </c>
      <c r="BT75">
        <v>0.33600000000000002</v>
      </c>
      <c r="BU75">
        <v>0.436</v>
      </c>
      <c r="BV75">
        <v>9.1999999999999998E-2</v>
      </c>
      <c r="BW75">
        <v>0.183</v>
      </c>
      <c r="BX75">
        <v>59</v>
      </c>
      <c r="BY75">
        <v>5.57</v>
      </c>
      <c r="BZ75">
        <v>597</v>
      </c>
      <c r="CA75">
        <v>1092</v>
      </c>
      <c r="CB75">
        <v>1689</v>
      </c>
      <c r="CC75">
        <v>0.38200000000000001</v>
      </c>
      <c r="CD75">
        <v>0.33900000000000002</v>
      </c>
      <c r="CE75">
        <v>0.28000000000000003</v>
      </c>
      <c r="CF75">
        <v>0.15</v>
      </c>
      <c r="CG75">
        <v>0.374</v>
      </c>
      <c r="CH75">
        <v>0.47599999999999998</v>
      </c>
      <c r="CI75" cm="1">
        <f t="array" ref="CI75:CS75">VLOOKUP(A75,verticalmove_pitchers_2019!A:N,{3,4,5,6,7,8,9,10,11,12,13},FALSE)</f>
        <v>95.1</v>
      </c>
      <c r="CJ75">
        <v>0</v>
      </c>
      <c r="CK75">
        <v>0</v>
      </c>
      <c r="CL75">
        <v>0</v>
      </c>
      <c r="CM75">
        <v>8.4</v>
      </c>
      <c r="CN75">
        <v>3.8</v>
      </c>
      <c r="CO75">
        <v>0</v>
      </c>
      <c r="CP75">
        <v>-3.3</v>
      </c>
      <c r="CQ75">
        <v>0</v>
      </c>
      <c r="CR75">
        <v>0</v>
      </c>
      <c r="CS75">
        <v>0</v>
      </c>
      <c r="CT75" cm="1">
        <f t="array" ref="CT75:DD75">VLOOKUP(A75,velocity_pitchers_2019!A:N,{3,4,5,6,7,8,9,10,11,12,13},FALSE)</f>
        <v>95.1</v>
      </c>
      <c r="CU75">
        <v>0</v>
      </c>
      <c r="CV75">
        <v>0</v>
      </c>
      <c r="CW75">
        <v>0</v>
      </c>
      <c r="CX75">
        <v>92.7</v>
      </c>
      <c r="CY75">
        <v>84.8</v>
      </c>
      <c r="CZ75">
        <v>0</v>
      </c>
      <c r="DA75">
        <v>79.5</v>
      </c>
      <c r="DB75">
        <v>0</v>
      </c>
      <c r="DC75">
        <v>0</v>
      </c>
      <c r="DD75">
        <v>0</v>
      </c>
    </row>
    <row r="76" spans="1:108" x14ac:dyDescent="0.3">
      <c r="A76" t="s">
        <v>60</v>
      </c>
      <c r="B76" t="str" cm="1">
        <f t="array" ref="B76:Y76">VLOOKUP(A76,standard_pitchers_2019!A:Y,{2,3,4,5,6,7,8,9,10,11,12,13,14,15,16,17,18,19,20,21,22,23,24,25},FALSE)</f>
        <v>- - -</v>
      </c>
      <c r="C76">
        <v>9</v>
      </c>
      <c r="D76">
        <v>3</v>
      </c>
      <c r="E76">
        <v>2.4700000000000002</v>
      </c>
      <c r="F76">
        <v>69</v>
      </c>
      <c r="G76">
        <v>1</v>
      </c>
      <c r="H76">
        <v>0</v>
      </c>
      <c r="I76">
        <v>0</v>
      </c>
      <c r="J76">
        <v>8</v>
      </c>
      <c r="K76">
        <v>11</v>
      </c>
      <c r="L76">
        <v>4</v>
      </c>
      <c r="M76">
        <v>73</v>
      </c>
      <c r="N76">
        <v>304</v>
      </c>
      <c r="O76">
        <v>56</v>
      </c>
      <c r="P76">
        <v>25</v>
      </c>
      <c r="Q76">
        <v>20</v>
      </c>
      <c r="R76">
        <v>8</v>
      </c>
      <c r="S76">
        <v>27</v>
      </c>
      <c r="T76">
        <v>2</v>
      </c>
      <c r="U76">
        <v>4</v>
      </c>
      <c r="V76">
        <v>2</v>
      </c>
      <c r="W76">
        <v>0</v>
      </c>
      <c r="X76">
        <v>71</v>
      </c>
      <c r="Y76">
        <v>7146</v>
      </c>
      <c r="Z76" cm="1">
        <f t="array" ref="Z76:AR76">VLOOKUP(A76,advanced_pitchers_2019!A:Y,{3,4,5,6,7,8,9,10,11,12,13,14,15,16,17,18,19,20,21},FALSE)</f>
        <v>8.75</v>
      </c>
      <c r="AA76">
        <v>3.33</v>
      </c>
      <c r="AB76">
        <v>2.63</v>
      </c>
      <c r="AC76">
        <v>0.99</v>
      </c>
      <c r="AD76">
        <v>0.23400000000000001</v>
      </c>
      <c r="AE76">
        <v>8.8999999999999996E-2</v>
      </c>
      <c r="AF76">
        <v>0.14499999999999999</v>
      </c>
      <c r="AG76">
        <v>0.20499999999999999</v>
      </c>
      <c r="AH76">
        <v>1.1399999999999999</v>
      </c>
      <c r="AI76">
        <v>0.247</v>
      </c>
      <c r="AJ76">
        <v>0.81799999999999995</v>
      </c>
      <c r="AK76">
        <v>54</v>
      </c>
      <c r="AL76">
        <v>86</v>
      </c>
      <c r="AM76">
        <v>112</v>
      </c>
      <c r="AN76">
        <v>2.4700000000000002</v>
      </c>
      <c r="AO76">
        <v>3.97</v>
      </c>
      <c r="AP76">
        <v>-1.5</v>
      </c>
      <c r="AQ76">
        <v>5.08</v>
      </c>
      <c r="AR76">
        <v>4.3099999999999996</v>
      </c>
      <c r="AS76" cm="1">
        <f t="array" ref="AS76:BA76">VLOOKUP(A76,plate_discipline_pitchers_2019!A:L,{3,4,5,6,7,8,9,10,11},FALSE)</f>
        <v>0.307</v>
      </c>
      <c r="AT76">
        <v>0.71399999999999997</v>
      </c>
      <c r="AU76">
        <v>0.49399999999999999</v>
      </c>
      <c r="AV76">
        <v>0.67300000000000004</v>
      </c>
      <c r="AW76">
        <v>0.86199999999999999</v>
      </c>
      <c r="AX76">
        <v>0.79900000000000004</v>
      </c>
      <c r="AY76">
        <v>0.46</v>
      </c>
      <c r="AZ76">
        <v>0.63800000000000001</v>
      </c>
      <c r="BA76">
        <v>9.9000000000000005E-2</v>
      </c>
      <c r="BB76" cm="1">
        <f t="array" ref="BB76:BP76">VLOOKUP(A76,pitchvalue_pitchers_2019!A:Q,{3,4,5,6,7,8,9,10,11,12,13,14,15,16,17},FALSE)</f>
        <v>6.1</v>
      </c>
      <c r="BC76">
        <v>2.2999999999999998</v>
      </c>
      <c r="BD76">
        <v>0</v>
      </c>
      <c r="BE76">
        <v>0</v>
      </c>
      <c r="BF76">
        <v>2.4</v>
      </c>
      <c r="BG76">
        <v>0</v>
      </c>
      <c r="BH76">
        <v>0</v>
      </c>
      <c r="BI76">
        <v>0.71</v>
      </c>
      <c r="BJ76">
        <v>0.81</v>
      </c>
      <c r="BK76">
        <v>0</v>
      </c>
      <c r="BL76">
        <v>0</v>
      </c>
      <c r="BM76">
        <v>3.28</v>
      </c>
      <c r="BN76">
        <v>0</v>
      </c>
      <c r="BO76">
        <v>0</v>
      </c>
      <c r="BP76">
        <v>7146</v>
      </c>
      <c r="BQ76" cm="1">
        <f t="array" ref="BQ76:CH76">VLOOKUP(A76,battedball_pitchers_2019!A:U,{3,4,5,6,7,8,9,10,11,12,13,14,15,16,17,18,19,20},FALSE)</f>
        <v>0.247</v>
      </c>
      <c r="BR76">
        <v>0.8</v>
      </c>
      <c r="BS76">
        <v>0.161</v>
      </c>
      <c r="BT76">
        <v>0.372</v>
      </c>
      <c r="BU76">
        <v>0.46700000000000003</v>
      </c>
      <c r="BV76">
        <v>0.129</v>
      </c>
      <c r="BW76">
        <v>8.5999999999999993E-2</v>
      </c>
      <c r="BX76">
        <v>35</v>
      </c>
      <c r="BY76">
        <v>4.32</v>
      </c>
      <c r="BZ76">
        <v>416</v>
      </c>
      <c r="CA76">
        <v>801</v>
      </c>
      <c r="CB76">
        <v>1217</v>
      </c>
      <c r="CC76">
        <v>0.376</v>
      </c>
      <c r="CD76">
        <v>0.34699999999999998</v>
      </c>
      <c r="CE76">
        <v>0.27700000000000002</v>
      </c>
      <c r="CF76">
        <v>0.183</v>
      </c>
      <c r="CG76">
        <v>0.43099999999999999</v>
      </c>
      <c r="CH76">
        <v>0.38600000000000001</v>
      </c>
      <c r="CI76" cm="1">
        <f t="array" ref="CI76:CS76">VLOOKUP(A76,verticalmove_pitchers_2019!A:N,{3,4,5,6,7,8,9,10,11,12,13},FALSE)</f>
        <v>73</v>
      </c>
      <c r="CJ76">
        <v>8.4</v>
      </c>
      <c r="CK76">
        <v>0</v>
      </c>
      <c r="CL76">
        <v>0</v>
      </c>
      <c r="CM76">
        <v>5.3</v>
      </c>
      <c r="CN76">
        <v>5.9</v>
      </c>
      <c r="CO76">
        <v>0.4</v>
      </c>
      <c r="CP76">
        <v>0</v>
      </c>
      <c r="CQ76">
        <v>0</v>
      </c>
      <c r="CR76">
        <v>0</v>
      </c>
      <c r="CS76">
        <v>0</v>
      </c>
      <c r="CT76" cm="1">
        <f t="array" ref="CT76:DD76">VLOOKUP(A76,velocity_pitchers_2019!A:N,{3,4,5,6,7,8,9,10,11,12,13},FALSE)</f>
        <v>73</v>
      </c>
      <c r="CU76">
        <v>96.4</v>
      </c>
      <c r="CV76">
        <v>0</v>
      </c>
      <c r="CW76">
        <v>0</v>
      </c>
      <c r="CX76">
        <v>95.9</v>
      </c>
      <c r="CY76">
        <v>89</v>
      </c>
      <c r="CZ76">
        <v>86.9</v>
      </c>
      <c r="DA76">
        <v>0</v>
      </c>
      <c r="DB76">
        <v>0</v>
      </c>
      <c r="DC76">
        <v>0</v>
      </c>
      <c r="DD76">
        <v>0</v>
      </c>
    </row>
    <row r="77" spans="1:108" x14ac:dyDescent="0.3">
      <c r="A77" t="s">
        <v>25</v>
      </c>
      <c r="B77" t="str" cm="1">
        <f t="array" ref="B77:Y77">VLOOKUP(A77,standard_pitchers_2019!A:Y,{2,3,4,5,6,7,8,9,10,11,12,13,14,15,16,17,18,19,20,21,22,23,24,25},FALSE)</f>
        <v>Padres</v>
      </c>
      <c r="C77">
        <v>0</v>
      </c>
      <c r="D77">
        <v>5</v>
      </c>
      <c r="E77">
        <v>1.19</v>
      </c>
      <c r="F77">
        <v>60</v>
      </c>
      <c r="G77">
        <v>0</v>
      </c>
      <c r="H77">
        <v>0</v>
      </c>
      <c r="I77">
        <v>0</v>
      </c>
      <c r="J77">
        <v>41</v>
      </c>
      <c r="K77">
        <v>0</v>
      </c>
      <c r="L77">
        <v>3</v>
      </c>
      <c r="M77">
        <v>60.2</v>
      </c>
      <c r="N77">
        <v>243</v>
      </c>
      <c r="O77">
        <v>41</v>
      </c>
      <c r="P77">
        <v>14</v>
      </c>
      <c r="Q77">
        <v>8</v>
      </c>
      <c r="R77">
        <v>2</v>
      </c>
      <c r="S77">
        <v>13</v>
      </c>
      <c r="T77">
        <v>1</v>
      </c>
      <c r="U77">
        <v>7</v>
      </c>
      <c r="V77">
        <v>2</v>
      </c>
      <c r="W77">
        <v>0</v>
      </c>
      <c r="X77">
        <v>101</v>
      </c>
      <c r="Y77">
        <v>9073</v>
      </c>
      <c r="Z77" cm="1">
        <f t="array" ref="Z77:AR77">VLOOKUP(A77,advanced_pitchers_2019!A:Y,{3,4,5,6,7,8,9,10,11,12,13,14,15,16,17,18,19,20,21},FALSE)</f>
        <v>14.98</v>
      </c>
      <c r="AA77">
        <v>1.93</v>
      </c>
      <c r="AB77">
        <v>7.77</v>
      </c>
      <c r="AC77">
        <v>0.3</v>
      </c>
      <c r="AD77">
        <v>0.41599999999999998</v>
      </c>
      <c r="AE77">
        <v>5.2999999999999999E-2</v>
      </c>
      <c r="AF77">
        <v>0.36199999999999999</v>
      </c>
      <c r="AG77">
        <v>0.184</v>
      </c>
      <c r="AH77">
        <v>0.89</v>
      </c>
      <c r="AI77">
        <v>0.32500000000000001</v>
      </c>
      <c r="AJ77">
        <v>0.80800000000000005</v>
      </c>
      <c r="AK77">
        <v>28</v>
      </c>
      <c r="AL77">
        <v>29</v>
      </c>
      <c r="AM77">
        <v>50</v>
      </c>
      <c r="AN77">
        <v>1.19</v>
      </c>
      <c r="AO77">
        <v>1.3</v>
      </c>
      <c r="AP77">
        <v>-0.12</v>
      </c>
      <c r="AQ77">
        <v>2.25</v>
      </c>
      <c r="AR77">
        <v>2.0499999999999998</v>
      </c>
      <c r="AS77" cm="1">
        <f t="array" ref="AS77:BA77">VLOOKUP(A77,plate_discipline_pitchers_2019!A:L,{3,4,5,6,7,8,9,10,11},FALSE)</f>
        <v>0.34699999999999998</v>
      </c>
      <c r="AT77">
        <v>0.70599999999999996</v>
      </c>
      <c r="AU77">
        <v>0.49299999999999999</v>
      </c>
      <c r="AV77">
        <v>0.59</v>
      </c>
      <c r="AW77">
        <v>0.747</v>
      </c>
      <c r="AX77">
        <v>0.68200000000000005</v>
      </c>
      <c r="AY77">
        <v>0.40600000000000003</v>
      </c>
      <c r="AZ77">
        <v>0.61299999999999999</v>
      </c>
      <c r="BA77">
        <v>0.157</v>
      </c>
      <c r="BB77" cm="1">
        <f t="array" ref="BB77:BP77">VLOOKUP(A77,pitchvalue_pitchers_2019!A:Q,{3,4,5,6,7,8,9,10,11,12,13,14,15,16,17},FALSE)</f>
        <v>6.1</v>
      </c>
      <c r="BC77">
        <v>-0.7</v>
      </c>
      <c r="BD77">
        <v>0</v>
      </c>
      <c r="BE77">
        <v>0</v>
      </c>
      <c r="BF77">
        <v>0</v>
      </c>
      <c r="BG77">
        <v>12</v>
      </c>
      <c r="BH77">
        <v>0</v>
      </c>
      <c r="BI77">
        <v>1.04</v>
      </c>
      <c r="BJ77">
        <v>-8.1199999999999992</v>
      </c>
      <c r="BK77">
        <v>0</v>
      </c>
      <c r="BL77">
        <v>-3.89</v>
      </c>
      <c r="BM77">
        <v>0</v>
      </c>
      <c r="BN77">
        <v>2.8</v>
      </c>
      <c r="BO77">
        <v>0</v>
      </c>
      <c r="BP77">
        <v>9073</v>
      </c>
      <c r="BQ77" cm="1">
        <f t="array" ref="BQ77:CH77">VLOOKUP(A77,battedball_pitchers_2019!A:U,{3,4,5,6,7,8,9,10,11,12,13,14,15,16,17,18,19,20},FALSE)</f>
        <v>0.32500000000000001</v>
      </c>
      <c r="BR77">
        <v>1.38</v>
      </c>
      <c r="BS77">
        <v>0.17399999999999999</v>
      </c>
      <c r="BT77">
        <v>0.47899999999999998</v>
      </c>
      <c r="BU77">
        <v>0.34699999999999998</v>
      </c>
      <c r="BV77">
        <v>7.0999999999999994E-2</v>
      </c>
      <c r="BW77">
        <v>4.8000000000000001E-2</v>
      </c>
      <c r="BX77">
        <v>1</v>
      </c>
      <c r="BY77">
        <v>0.15</v>
      </c>
      <c r="BZ77">
        <v>344</v>
      </c>
      <c r="CA77">
        <v>677</v>
      </c>
      <c r="CB77">
        <v>1021</v>
      </c>
      <c r="CC77">
        <v>0.42599999999999999</v>
      </c>
      <c r="CD77">
        <v>0.33600000000000002</v>
      </c>
      <c r="CE77">
        <v>0.23799999999999999</v>
      </c>
      <c r="CF77">
        <v>0.189</v>
      </c>
      <c r="CG77">
        <v>0.38500000000000001</v>
      </c>
      <c r="CH77">
        <v>0.42599999999999999</v>
      </c>
      <c r="CI77" cm="1">
        <f t="array" ref="CI77:CS77">VLOOKUP(A77,verticalmove_pitchers_2019!A:N,{3,4,5,6,7,8,9,10,11,12,13},FALSE)</f>
        <v>60.2</v>
      </c>
      <c r="CJ77">
        <v>8</v>
      </c>
      <c r="CK77">
        <v>0</v>
      </c>
      <c r="CL77">
        <v>-0.5</v>
      </c>
      <c r="CM77">
        <v>0</v>
      </c>
      <c r="CN77">
        <v>0</v>
      </c>
      <c r="CO77">
        <v>1.2</v>
      </c>
      <c r="CP77">
        <v>0</v>
      </c>
      <c r="CQ77">
        <v>0</v>
      </c>
      <c r="CR77">
        <v>0</v>
      </c>
      <c r="CS77">
        <v>0</v>
      </c>
      <c r="CT77" cm="1">
        <f t="array" ref="CT77:DD77">VLOOKUP(A77,velocity_pitchers_2019!A:N,{3,4,5,6,7,8,9,10,11,12,13},FALSE)</f>
        <v>60.2</v>
      </c>
      <c r="CU77">
        <v>93.7</v>
      </c>
      <c r="CV77">
        <v>0</v>
      </c>
      <c r="CW77">
        <v>86.6</v>
      </c>
      <c r="CX77">
        <v>0</v>
      </c>
      <c r="CY77">
        <v>0</v>
      </c>
      <c r="CZ77">
        <v>85.4</v>
      </c>
      <c r="DA77">
        <v>0</v>
      </c>
      <c r="DB77">
        <v>0</v>
      </c>
      <c r="DC77">
        <v>0</v>
      </c>
      <c r="DD77">
        <v>0</v>
      </c>
    </row>
    <row r="78" spans="1:108" x14ac:dyDescent="0.3">
      <c r="A78" t="s">
        <v>37</v>
      </c>
      <c r="B78" t="str" cm="1">
        <f t="array" ref="B78:Y78">VLOOKUP(A78,standard_pitchers_2019!A:Y,{2,3,4,5,6,7,8,9,10,11,12,13,14,15,16,17,18,19,20,21,22,23,24,25},FALSE)</f>
        <v>Red Sox</v>
      </c>
      <c r="C78">
        <v>10</v>
      </c>
      <c r="D78">
        <v>1</v>
      </c>
      <c r="E78">
        <v>1.88</v>
      </c>
      <c r="F78">
        <v>73</v>
      </c>
      <c r="G78">
        <v>0</v>
      </c>
      <c r="H78">
        <v>0</v>
      </c>
      <c r="I78">
        <v>0</v>
      </c>
      <c r="J78">
        <v>16</v>
      </c>
      <c r="K78">
        <v>15</v>
      </c>
      <c r="L78">
        <v>6</v>
      </c>
      <c r="M78">
        <v>71.2</v>
      </c>
      <c r="N78">
        <v>286</v>
      </c>
      <c r="O78">
        <v>29</v>
      </c>
      <c r="P78">
        <v>18</v>
      </c>
      <c r="Q78">
        <v>15</v>
      </c>
      <c r="R78">
        <v>1</v>
      </c>
      <c r="S78">
        <v>45</v>
      </c>
      <c r="T78">
        <v>4</v>
      </c>
      <c r="U78">
        <v>2</v>
      </c>
      <c r="V78">
        <v>4</v>
      </c>
      <c r="W78">
        <v>1</v>
      </c>
      <c r="X78">
        <v>104</v>
      </c>
      <c r="Y78">
        <v>11428</v>
      </c>
      <c r="Z78" cm="1">
        <f t="array" ref="Z78:AR78">VLOOKUP(A78,advanced_pitchers_2019!A:Y,{3,4,5,6,7,8,9,10,11,12,13,14,15,16,17,18,19,20,21},FALSE)</f>
        <v>13.06</v>
      </c>
      <c r="AA78">
        <v>5.65</v>
      </c>
      <c r="AB78">
        <v>2.31</v>
      </c>
      <c r="AC78">
        <v>0.13</v>
      </c>
      <c r="AD78">
        <v>0.36399999999999999</v>
      </c>
      <c r="AE78">
        <v>0.157</v>
      </c>
      <c r="AF78">
        <v>0.20599999999999999</v>
      </c>
      <c r="AG78">
        <v>0.121</v>
      </c>
      <c r="AH78">
        <v>1.03</v>
      </c>
      <c r="AI78">
        <v>0.20899999999999999</v>
      </c>
      <c r="AJ78">
        <v>0.77700000000000002</v>
      </c>
      <c r="AK78">
        <v>39</v>
      </c>
      <c r="AL78">
        <v>55</v>
      </c>
      <c r="AM78">
        <v>73</v>
      </c>
      <c r="AN78">
        <v>1.88</v>
      </c>
      <c r="AO78">
        <v>2.46</v>
      </c>
      <c r="AP78">
        <v>-0.57999999999999996</v>
      </c>
      <c r="AQ78">
        <v>3.33</v>
      </c>
      <c r="AR78">
        <v>3.78</v>
      </c>
      <c r="AS78" cm="1">
        <f t="array" ref="AS78:BA78">VLOOKUP(A78,plate_discipline_pitchers_2019!A:L,{3,4,5,6,7,8,9,10,11},FALSE)</f>
        <v>0.29899999999999999</v>
      </c>
      <c r="AT78">
        <v>0.54100000000000004</v>
      </c>
      <c r="AU78">
        <v>0.39</v>
      </c>
      <c r="AV78">
        <v>0.498</v>
      </c>
      <c r="AW78">
        <v>0.83299999999999996</v>
      </c>
      <c r="AX78">
        <v>0.67200000000000004</v>
      </c>
      <c r="AY78">
        <v>0.375</v>
      </c>
      <c r="AZ78">
        <v>0.58399999999999996</v>
      </c>
      <c r="BA78">
        <v>0.128</v>
      </c>
      <c r="BB78" cm="1">
        <f t="array" ref="BB78:BP78">VLOOKUP(A78,pitchvalue_pitchers_2019!A:Q,{3,4,5,6,7,8,9,10,11,12,13,14,15,16,17},FALSE)</f>
        <v>6</v>
      </c>
      <c r="BC78">
        <v>0</v>
      </c>
      <c r="BD78">
        <v>6.8</v>
      </c>
      <c r="BE78">
        <v>12.4</v>
      </c>
      <c r="BF78">
        <v>0</v>
      </c>
      <c r="BG78">
        <v>0</v>
      </c>
      <c r="BH78">
        <v>0</v>
      </c>
      <c r="BI78">
        <v>1.42</v>
      </c>
      <c r="BJ78">
        <v>0</v>
      </c>
      <c r="BK78">
        <v>2.84</v>
      </c>
      <c r="BL78">
        <v>2.12</v>
      </c>
      <c r="BM78">
        <v>0</v>
      </c>
      <c r="BN78">
        <v>0</v>
      </c>
      <c r="BO78">
        <v>0</v>
      </c>
      <c r="BP78">
        <v>11428</v>
      </c>
      <c r="BQ78" cm="1">
        <f t="array" ref="BQ78:CH78">VLOOKUP(A78,battedball_pitchers_2019!A:U,{3,4,5,6,7,8,9,10,11,12,13,14,15,16,17,18,19,20},FALSE)</f>
        <v>0.20899999999999999</v>
      </c>
      <c r="BR78">
        <v>1.79</v>
      </c>
      <c r="BS78">
        <v>0.20300000000000001</v>
      </c>
      <c r="BT78">
        <v>0.51100000000000001</v>
      </c>
      <c r="BU78">
        <v>0.28599999999999998</v>
      </c>
      <c r="BV78">
        <v>2.5999999999999999E-2</v>
      </c>
      <c r="BW78">
        <v>2.5999999999999999E-2</v>
      </c>
      <c r="BX78">
        <v>38</v>
      </c>
      <c r="BY78">
        <v>4.7699999999999996</v>
      </c>
      <c r="BZ78">
        <v>499</v>
      </c>
      <c r="CA78">
        <v>745</v>
      </c>
      <c r="CB78">
        <v>1244</v>
      </c>
      <c r="CC78">
        <v>0.45200000000000001</v>
      </c>
      <c r="CD78">
        <v>0.30399999999999999</v>
      </c>
      <c r="CE78">
        <v>0.24399999999999999</v>
      </c>
      <c r="CF78">
        <v>0.14799999999999999</v>
      </c>
      <c r="CG78">
        <v>0.47399999999999998</v>
      </c>
      <c r="CH78">
        <v>0.378</v>
      </c>
      <c r="CI78" cm="1">
        <f t="array" ref="CI78:CS78">VLOOKUP(A78,verticalmove_pitchers_2019!A:N,{3,4,5,6,7,8,9,10,11,12,13},FALSE)</f>
        <v>71.2</v>
      </c>
      <c r="CJ78">
        <v>9.6</v>
      </c>
      <c r="CK78">
        <v>1.2</v>
      </c>
      <c r="CL78">
        <v>0</v>
      </c>
      <c r="CM78">
        <v>0</v>
      </c>
      <c r="CN78">
        <v>0</v>
      </c>
      <c r="CO78">
        <v>2.1</v>
      </c>
      <c r="CP78">
        <v>-10.5</v>
      </c>
      <c r="CQ78">
        <v>0</v>
      </c>
      <c r="CR78">
        <v>0</v>
      </c>
      <c r="CS78">
        <v>0</v>
      </c>
      <c r="CT78" cm="1">
        <f t="array" ref="CT78:DD78">VLOOKUP(A78,velocity_pitchers_2019!A:N,{3,4,5,6,7,8,9,10,11,12,13},FALSE)</f>
        <v>71.2</v>
      </c>
      <c r="CU78">
        <v>93.2</v>
      </c>
      <c r="CV78">
        <v>87.3</v>
      </c>
      <c r="CW78">
        <v>0</v>
      </c>
      <c r="CX78">
        <v>0</v>
      </c>
      <c r="CY78">
        <v>0</v>
      </c>
      <c r="CZ78">
        <v>88.1</v>
      </c>
      <c r="DA78">
        <v>80.900000000000006</v>
      </c>
      <c r="DB78">
        <v>0</v>
      </c>
      <c r="DC78">
        <v>0</v>
      </c>
      <c r="DD78">
        <v>0</v>
      </c>
    </row>
    <row r="79" spans="1:108" x14ac:dyDescent="0.3">
      <c r="A79" t="s">
        <v>274</v>
      </c>
      <c r="B79" t="str" cm="1">
        <f t="array" ref="B79:Y79">VLOOKUP(A79,standard_pitchers_2019!A:Y,{2,3,4,5,6,7,8,9,10,11,12,13,14,15,16,17,18,19,20,21,22,23,24,25},FALSE)</f>
        <v>- - -</v>
      </c>
      <c r="C79">
        <v>3</v>
      </c>
      <c r="D79">
        <v>1</v>
      </c>
      <c r="E79">
        <v>4.66</v>
      </c>
      <c r="F79">
        <v>51</v>
      </c>
      <c r="G79">
        <v>0</v>
      </c>
      <c r="H79">
        <v>0</v>
      </c>
      <c r="I79">
        <v>0</v>
      </c>
      <c r="J79">
        <v>2</v>
      </c>
      <c r="K79">
        <v>5</v>
      </c>
      <c r="L79">
        <v>0</v>
      </c>
      <c r="M79">
        <v>67.2</v>
      </c>
      <c r="N79">
        <v>287</v>
      </c>
      <c r="O79">
        <v>67</v>
      </c>
      <c r="P79">
        <v>36</v>
      </c>
      <c r="Q79">
        <v>35</v>
      </c>
      <c r="R79">
        <v>10</v>
      </c>
      <c r="S79">
        <v>17</v>
      </c>
      <c r="T79">
        <v>3</v>
      </c>
      <c r="U79">
        <v>1</v>
      </c>
      <c r="V79">
        <v>3</v>
      </c>
      <c r="W79">
        <v>0</v>
      </c>
      <c r="X79">
        <v>57</v>
      </c>
      <c r="Y79">
        <v>7407</v>
      </c>
      <c r="Z79" cm="1">
        <f t="array" ref="Z79:AR79">VLOOKUP(A79,advanced_pitchers_2019!A:Y,{3,4,5,6,7,8,9,10,11,12,13,14,15,16,17,18,19,20,21},FALSE)</f>
        <v>7.58</v>
      </c>
      <c r="AA79">
        <v>2.2599999999999998</v>
      </c>
      <c r="AB79">
        <v>3.35</v>
      </c>
      <c r="AC79">
        <v>1.33</v>
      </c>
      <c r="AD79">
        <v>0.19900000000000001</v>
      </c>
      <c r="AE79">
        <v>5.8999999999999997E-2</v>
      </c>
      <c r="AF79">
        <v>0.13900000000000001</v>
      </c>
      <c r="AG79">
        <v>0.249</v>
      </c>
      <c r="AH79">
        <v>1.24</v>
      </c>
      <c r="AI79">
        <v>0.28199999999999997</v>
      </c>
      <c r="AJ79">
        <v>0.69</v>
      </c>
      <c r="AK79">
        <v>103</v>
      </c>
      <c r="AL79">
        <v>94</v>
      </c>
      <c r="AM79">
        <v>117</v>
      </c>
      <c r="AN79">
        <v>4.66</v>
      </c>
      <c r="AO79">
        <v>4.25</v>
      </c>
      <c r="AP79">
        <v>0.41</v>
      </c>
      <c r="AQ79">
        <v>5.21</v>
      </c>
      <c r="AR79">
        <v>4.46</v>
      </c>
      <c r="AS79" cm="1">
        <f t="array" ref="AS79:BA79">VLOOKUP(A79,plate_discipline_pitchers_2019!A:L,{3,4,5,6,7,8,9,10,11},FALSE)</f>
        <v>0.34100000000000003</v>
      </c>
      <c r="AT79">
        <v>0.72</v>
      </c>
      <c r="AU79">
        <v>0.53</v>
      </c>
      <c r="AV79">
        <v>0.69599999999999995</v>
      </c>
      <c r="AW79">
        <v>0.89400000000000002</v>
      </c>
      <c r="AX79">
        <v>0.83</v>
      </c>
      <c r="AY79">
        <v>0.498</v>
      </c>
      <c r="AZ79">
        <v>0.63100000000000001</v>
      </c>
      <c r="BA79">
        <v>0.09</v>
      </c>
      <c r="BB79" cm="1">
        <f t="array" ref="BB79:BP79">VLOOKUP(A79,pitchvalue_pitchers_2019!A:Q,{3,4,5,6,7,8,9,10,11,12,13,14,15,16,17},FALSE)</f>
        <v>5.9</v>
      </c>
      <c r="BC79">
        <v>1.6</v>
      </c>
      <c r="BD79">
        <v>0</v>
      </c>
      <c r="BE79">
        <v>-1.1000000000000001</v>
      </c>
      <c r="BF79">
        <v>-2.2999999999999998</v>
      </c>
      <c r="BG79">
        <v>0</v>
      </c>
      <c r="BH79">
        <v>0</v>
      </c>
      <c r="BI79">
        <v>0.93</v>
      </c>
      <c r="BJ79">
        <v>0.59</v>
      </c>
      <c r="BK79">
        <v>0</v>
      </c>
      <c r="BL79">
        <v>-1.46</v>
      </c>
      <c r="BM79">
        <v>-2.4500000000000002</v>
      </c>
      <c r="BN79">
        <v>0</v>
      </c>
      <c r="BO79">
        <v>0</v>
      </c>
      <c r="BP79">
        <v>7407</v>
      </c>
      <c r="BQ79" cm="1">
        <f t="array" ref="BQ79:CH79">VLOOKUP(A79,battedball_pitchers_2019!A:U,{3,4,5,6,7,8,9,10,11,12,13,14,15,16,17,18,19,20},FALSE)</f>
        <v>0.28199999999999997</v>
      </c>
      <c r="BR79">
        <v>0.71</v>
      </c>
      <c r="BS79">
        <v>0.19600000000000001</v>
      </c>
      <c r="BT79">
        <v>0.33500000000000002</v>
      </c>
      <c r="BU79">
        <v>0.46899999999999997</v>
      </c>
      <c r="BV79">
        <v>9.1999999999999998E-2</v>
      </c>
      <c r="BW79">
        <v>0.10199999999999999</v>
      </c>
      <c r="BX79">
        <v>33</v>
      </c>
      <c r="BY79">
        <v>4.3899999999999997</v>
      </c>
      <c r="BZ79">
        <v>322</v>
      </c>
      <c r="CA79">
        <v>754</v>
      </c>
      <c r="CB79">
        <v>1076</v>
      </c>
      <c r="CC79">
        <v>0.33</v>
      </c>
      <c r="CD79">
        <v>0.34399999999999997</v>
      </c>
      <c r="CE79">
        <v>0.32500000000000001</v>
      </c>
      <c r="CF79">
        <v>0.156</v>
      </c>
      <c r="CG79">
        <v>0.47599999999999998</v>
      </c>
      <c r="CH79">
        <v>0.36799999999999999</v>
      </c>
      <c r="CI79" cm="1">
        <f t="array" ref="CI79:CS79">VLOOKUP(A79,verticalmove_pitchers_2019!A:N,{3,4,5,6,7,8,9,10,11,12,13},FALSE)</f>
        <v>67.2</v>
      </c>
      <c r="CJ79">
        <v>10</v>
      </c>
      <c r="CK79">
        <v>4.7</v>
      </c>
      <c r="CL79">
        <v>0</v>
      </c>
      <c r="CM79">
        <v>10.6</v>
      </c>
      <c r="CN79">
        <v>6.3</v>
      </c>
      <c r="CO79">
        <v>1.3</v>
      </c>
      <c r="CP79">
        <v>-5.3</v>
      </c>
      <c r="CQ79">
        <v>0</v>
      </c>
      <c r="CR79">
        <v>0</v>
      </c>
      <c r="CS79">
        <v>0</v>
      </c>
      <c r="CT79" cm="1">
        <f t="array" ref="CT79:DD79">VLOOKUP(A79,velocity_pitchers_2019!A:N,{3,4,5,6,7,8,9,10,11,12,13},FALSE)</f>
        <v>67.2</v>
      </c>
      <c r="CU79">
        <v>92.9</v>
      </c>
      <c r="CV79">
        <v>88</v>
      </c>
      <c r="CW79">
        <v>0</v>
      </c>
      <c r="CX79">
        <v>93.3</v>
      </c>
      <c r="CY79">
        <v>83.6</v>
      </c>
      <c r="CZ79">
        <v>85.5</v>
      </c>
      <c r="DA79">
        <v>79.599999999999994</v>
      </c>
      <c r="DB79">
        <v>0</v>
      </c>
      <c r="DC79">
        <v>0</v>
      </c>
      <c r="DD79">
        <v>0</v>
      </c>
    </row>
    <row r="80" spans="1:108" x14ac:dyDescent="0.3">
      <c r="A80" t="s">
        <v>332</v>
      </c>
      <c r="B80" t="str" cm="1">
        <f t="array" ref="B80:Y80">VLOOKUP(A80,standard_pitchers_2019!A:Y,{2,3,4,5,6,7,8,9,10,11,12,13,14,15,16,17,18,19,20,21,22,23,24,25},FALSE)</f>
        <v>Orioles</v>
      </c>
      <c r="C80">
        <v>3</v>
      </c>
      <c r="D80">
        <v>0</v>
      </c>
      <c r="E80">
        <v>5.37</v>
      </c>
      <c r="F80">
        <v>53</v>
      </c>
      <c r="G80">
        <v>1</v>
      </c>
      <c r="H80">
        <v>0</v>
      </c>
      <c r="I80">
        <v>0</v>
      </c>
      <c r="J80">
        <v>4</v>
      </c>
      <c r="K80">
        <v>5</v>
      </c>
      <c r="L80">
        <v>1</v>
      </c>
      <c r="M80">
        <v>55.1</v>
      </c>
      <c r="N80">
        <v>235</v>
      </c>
      <c r="O80">
        <v>65</v>
      </c>
      <c r="P80">
        <v>34</v>
      </c>
      <c r="Q80">
        <v>33</v>
      </c>
      <c r="R80">
        <v>6</v>
      </c>
      <c r="S80">
        <v>8</v>
      </c>
      <c r="T80">
        <v>2</v>
      </c>
      <c r="U80">
        <v>4</v>
      </c>
      <c r="V80">
        <v>1</v>
      </c>
      <c r="W80">
        <v>0</v>
      </c>
      <c r="X80">
        <v>30</v>
      </c>
      <c r="Y80">
        <v>7803</v>
      </c>
      <c r="Z80" cm="1">
        <f t="array" ref="Z80:AR80">VLOOKUP(A80,advanced_pitchers_2019!A:Y,{3,4,5,6,7,8,9,10,11,12,13,14,15,16,17,18,19,20,21},FALSE)</f>
        <v>4.88</v>
      </c>
      <c r="AA80">
        <v>1.3</v>
      </c>
      <c r="AB80">
        <v>3.75</v>
      </c>
      <c r="AC80">
        <v>0.98</v>
      </c>
      <c r="AD80">
        <v>0.128</v>
      </c>
      <c r="AE80">
        <v>3.4000000000000002E-2</v>
      </c>
      <c r="AF80">
        <v>9.4E-2</v>
      </c>
      <c r="AG80">
        <v>0.29099999999999998</v>
      </c>
      <c r="AH80">
        <v>1.32</v>
      </c>
      <c r="AI80">
        <v>0.316</v>
      </c>
      <c r="AJ80">
        <v>0.627</v>
      </c>
      <c r="AK80">
        <v>114</v>
      </c>
      <c r="AL80">
        <v>88</v>
      </c>
      <c r="AM80">
        <v>91</v>
      </c>
      <c r="AN80">
        <v>5.37</v>
      </c>
      <c r="AO80">
        <v>4.1900000000000004</v>
      </c>
      <c r="AP80">
        <v>1.18</v>
      </c>
      <c r="AQ80">
        <v>4.18</v>
      </c>
      <c r="AR80">
        <v>3.98</v>
      </c>
      <c r="AS80" cm="1">
        <f t="array" ref="AS80:BA80">VLOOKUP(A80,plate_discipline_pitchers_2019!A:L,{3,4,5,6,7,8,9,10,11},FALSE)</f>
        <v>0.33300000000000002</v>
      </c>
      <c r="AT80">
        <v>0.71899999999999997</v>
      </c>
      <c r="AU80">
        <v>0.51600000000000001</v>
      </c>
      <c r="AV80">
        <v>0.71599999999999997</v>
      </c>
      <c r="AW80">
        <v>0.90700000000000003</v>
      </c>
      <c r="AX80">
        <v>0.84199999999999997</v>
      </c>
      <c r="AY80">
        <v>0.47199999999999998</v>
      </c>
      <c r="AZ80">
        <v>0.621</v>
      </c>
      <c r="BA80">
        <v>8.1000000000000003E-2</v>
      </c>
      <c r="BB80" cm="1">
        <f t="array" ref="BB80:BP80">VLOOKUP(A80,pitchvalue_pitchers_2019!A:Q,{3,4,5,6,7,8,9,10,11,12,13,14,15,16,17},FALSE)</f>
        <v>5.8</v>
      </c>
      <c r="BC80">
        <v>-1.9</v>
      </c>
      <c r="BD80">
        <v>-3</v>
      </c>
      <c r="BE80">
        <v>0</v>
      </c>
      <c r="BF80">
        <v>-2.6</v>
      </c>
      <c r="BG80">
        <v>0</v>
      </c>
      <c r="BH80">
        <v>0</v>
      </c>
      <c r="BI80">
        <v>1.17</v>
      </c>
      <c r="BJ80">
        <v>-4.03</v>
      </c>
      <c r="BK80">
        <v>-1.63</v>
      </c>
      <c r="BL80">
        <v>0</v>
      </c>
      <c r="BM80">
        <v>-6.95</v>
      </c>
      <c r="BN80">
        <v>0</v>
      </c>
      <c r="BO80">
        <v>0</v>
      </c>
      <c r="BP80">
        <v>7803</v>
      </c>
      <c r="BQ80" cm="1">
        <f t="array" ref="BQ80:CH80">VLOOKUP(A80,battedball_pitchers_2019!A:U,{3,4,5,6,7,8,9,10,11,12,13,14,15,16,17,18,19,20},FALSE)</f>
        <v>0.316</v>
      </c>
      <c r="BR80">
        <v>2.95</v>
      </c>
      <c r="BS80">
        <v>0.19800000000000001</v>
      </c>
      <c r="BT80">
        <v>0.59899999999999998</v>
      </c>
      <c r="BU80">
        <v>0.20300000000000001</v>
      </c>
      <c r="BV80">
        <v>0.10299999999999999</v>
      </c>
      <c r="BW80">
        <v>0.154</v>
      </c>
      <c r="BX80">
        <v>33</v>
      </c>
      <c r="BY80">
        <v>5.37</v>
      </c>
      <c r="BZ80">
        <v>246</v>
      </c>
      <c r="CA80">
        <v>516</v>
      </c>
      <c r="CB80">
        <v>762</v>
      </c>
      <c r="CC80">
        <v>0.42</v>
      </c>
      <c r="CD80">
        <v>0.35799999999999998</v>
      </c>
      <c r="CE80">
        <v>0.223</v>
      </c>
      <c r="CF80">
        <v>0.16600000000000001</v>
      </c>
      <c r="CG80">
        <v>0.56000000000000005</v>
      </c>
      <c r="CH80">
        <v>0.27500000000000002</v>
      </c>
      <c r="CI80" cm="1">
        <f t="array" ref="CI80:CS80">VLOOKUP(A80,verticalmove_pitchers_2019!A:N,{3,4,5,6,7,8,9,10,11,12,13},FALSE)</f>
        <v>55.1</v>
      </c>
      <c r="CJ80">
        <v>3.8</v>
      </c>
      <c r="CK80">
        <v>2.9</v>
      </c>
      <c r="CL80">
        <v>0</v>
      </c>
      <c r="CM80">
        <v>1.7</v>
      </c>
      <c r="CN80">
        <v>2.1</v>
      </c>
      <c r="CO80">
        <v>-2</v>
      </c>
      <c r="CP80">
        <v>0</v>
      </c>
      <c r="CQ80">
        <v>0</v>
      </c>
      <c r="CR80">
        <v>0</v>
      </c>
      <c r="CS80">
        <v>0</v>
      </c>
      <c r="CT80" cm="1">
        <f t="array" ref="CT80:DD80">VLOOKUP(A80,velocity_pitchers_2019!A:N,{3,4,5,6,7,8,9,10,11,12,13},FALSE)</f>
        <v>55.1</v>
      </c>
      <c r="CU80">
        <v>88.9</v>
      </c>
      <c r="CV80">
        <v>87.8</v>
      </c>
      <c r="CW80">
        <v>0</v>
      </c>
      <c r="CX80">
        <v>89.4</v>
      </c>
      <c r="CY80">
        <v>81.7</v>
      </c>
      <c r="CZ80">
        <v>79.900000000000006</v>
      </c>
      <c r="DA80">
        <v>0</v>
      </c>
      <c r="DB80">
        <v>0</v>
      </c>
      <c r="DC80">
        <v>0</v>
      </c>
      <c r="DD80">
        <v>0</v>
      </c>
    </row>
    <row r="81" spans="1:108" x14ac:dyDescent="0.3">
      <c r="A81" t="s">
        <v>90</v>
      </c>
      <c r="B81" t="str" cm="1">
        <f t="array" ref="B81:Y81">VLOOKUP(A81,standard_pitchers_2019!A:Y,{2,3,4,5,6,7,8,9,10,11,12,13,14,15,16,17,18,19,20,21,22,23,24,25},FALSE)</f>
        <v>Indians</v>
      </c>
      <c r="C81">
        <v>1</v>
      </c>
      <c r="D81">
        <v>0</v>
      </c>
      <c r="E81">
        <v>2.9</v>
      </c>
      <c r="F81">
        <v>53</v>
      </c>
      <c r="G81">
        <v>3</v>
      </c>
      <c r="H81">
        <v>0</v>
      </c>
      <c r="I81">
        <v>0</v>
      </c>
      <c r="J81">
        <v>0</v>
      </c>
      <c r="K81">
        <v>8</v>
      </c>
      <c r="L81">
        <v>0</v>
      </c>
      <c r="M81">
        <v>62</v>
      </c>
      <c r="N81">
        <v>241</v>
      </c>
      <c r="O81">
        <v>38</v>
      </c>
      <c r="P81">
        <v>20</v>
      </c>
      <c r="Q81">
        <v>20</v>
      </c>
      <c r="R81">
        <v>8</v>
      </c>
      <c r="S81">
        <v>15</v>
      </c>
      <c r="T81">
        <v>0</v>
      </c>
      <c r="U81">
        <v>7</v>
      </c>
      <c r="V81">
        <v>3</v>
      </c>
      <c r="W81">
        <v>0</v>
      </c>
      <c r="X81">
        <v>64</v>
      </c>
      <c r="Y81">
        <v>5640</v>
      </c>
      <c r="Z81" cm="1">
        <f t="array" ref="Z81:AR81">VLOOKUP(A81,advanced_pitchers_2019!A:Y,{3,4,5,6,7,8,9,10,11,12,13,14,15,16,17,18,19,20,21},FALSE)</f>
        <v>9.2899999999999991</v>
      </c>
      <c r="AA81">
        <v>2.1800000000000002</v>
      </c>
      <c r="AB81">
        <v>4.2699999999999996</v>
      </c>
      <c r="AC81">
        <v>1.1599999999999999</v>
      </c>
      <c r="AD81">
        <v>0.26600000000000001</v>
      </c>
      <c r="AE81">
        <v>6.2E-2</v>
      </c>
      <c r="AF81">
        <v>0.20300000000000001</v>
      </c>
      <c r="AG81">
        <v>0.17399999999999999</v>
      </c>
      <c r="AH81">
        <v>0.85</v>
      </c>
      <c r="AI81">
        <v>0.20399999999999999</v>
      </c>
      <c r="AJ81">
        <v>0.82</v>
      </c>
      <c r="AK81">
        <v>60</v>
      </c>
      <c r="AL81">
        <v>85</v>
      </c>
      <c r="AM81">
        <v>108</v>
      </c>
      <c r="AN81">
        <v>2.9</v>
      </c>
      <c r="AO81">
        <v>3.89</v>
      </c>
      <c r="AP81">
        <v>-0.99</v>
      </c>
      <c r="AQ81">
        <v>4.9400000000000004</v>
      </c>
      <c r="AR81">
        <v>3.82</v>
      </c>
      <c r="AS81" cm="1">
        <f t="array" ref="AS81:BA81">VLOOKUP(A81,plate_discipline_pitchers_2019!A:L,{3,4,5,6,7,8,9,10,11},FALSE)</f>
        <v>0.34100000000000003</v>
      </c>
      <c r="AT81">
        <v>0.73</v>
      </c>
      <c r="AU81">
        <v>0.504</v>
      </c>
      <c r="AV81">
        <v>0.60199999999999998</v>
      </c>
      <c r="AW81">
        <v>0.80400000000000005</v>
      </c>
      <c r="AX81">
        <v>0.72499999999999998</v>
      </c>
      <c r="AY81">
        <v>0.41799999999999998</v>
      </c>
      <c r="AZ81">
        <v>0.65100000000000002</v>
      </c>
      <c r="BA81">
        <v>0.13900000000000001</v>
      </c>
      <c r="BB81" cm="1">
        <f t="array" ref="BB81:BP81">VLOOKUP(A81,pitchvalue_pitchers_2019!A:Q,{3,4,5,6,7,8,9,10,11,12,13,14,15,16,17},FALSE)</f>
        <v>5.7</v>
      </c>
      <c r="BC81">
        <v>0</v>
      </c>
      <c r="BD81">
        <v>0.1</v>
      </c>
      <c r="BE81">
        <v>0.4</v>
      </c>
      <c r="BF81">
        <v>8.5</v>
      </c>
      <c r="BG81">
        <v>-1.6</v>
      </c>
      <c r="BH81">
        <v>0</v>
      </c>
      <c r="BI81">
        <v>1.49</v>
      </c>
      <c r="BJ81">
        <v>0</v>
      </c>
      <c r="BK81">
        <v>0.24</v>
      </c>
      <c r="BL81">
        <v>1.1200000000000001</v>
      </c>
      <c r="BM81">
        <v>2.96</v>
      </c>
      <c r="BN81">
        <v>-0.85</v>
      </c>
      <c r="BO81">
        <v>0</v>
      </c>
      <c r="BP81">
        <v>5640</v>
      </c>
      <c r="BQ81" cm="1">
        <f t="array" ref="BQ81:CH81">VLOOKUP(A81,battedball_pitchers_2019!A:U,{3,4,5,6,7,8,9,10,11,12,13,14,15,16,17,18,19,20},FALSE)</f>
        <v>0.20399999999999999</v>
      </c>
      <c r="BR81">
        <v>0.56000000000000005</v>
      </c>
      <c r="BS81">
        <v>0.125</v>
      </c>
      <c r="BT81">
        <v>0.316</v>
      </c>
      <c r="BU81">
        <v>0.55900000000000005</v>
      </c>
      <c r="BV81">
        <v>0.14099999999999999</v>
      </c>
      <c r="BW81">
        <v>9.4E-2</v>
      </c>
      <c r="BX81">
        <v>23</v>
      </c>
      <c r="BY81">
        <v>3.34</v>
      </c>
      <c r="BZ81">
        <v>320</v>
      </c>
      <c r="CA81">
        <v>617</v>
      </c>
      <c r="CB81">
        <v>937</v>
      </c>
      <c r="CC81">
        <v>0.48399999999999999</v>
      </c>
      <c r="CD81">
        <v>0.245</v>
      </c>
      <c r="CE81">
        <v>0.27100000000000002</v>
      </c>
      <c r="CF81">
        <v>0.245</v>
      </c>
      <c r="CG81">
        <v>0.44500000000000001</v>
      </c>
      <c r="CH81">
        <v>0.31</v>
      </c>
      <c r="CI81" cm="1">
        <f t="array" ref="CI81:CS81">VLOOKUP(A81,verticalmove_pitchers_2019!A:N,{3,4,5,6,7,8,9,10,11,12,13},FALSE)</f>
        <v>62</v>
      </c>
      <c r="CJ81">
        <v>10.7</v>
      </c>
      <c r="CK81">
        <v>0</v>
      </c>
      <c r="CL81">
        <v>-1.6</v>
      </c>
      <c r="CM81">
        <v>8</v>
      </c>
      <c r="CN81">
        <v>8.1999999999999993</v>
      </c>
      <c r="CO81">
        <v>1.8</v>
      </c>
      <c r="CP81">
        <v>-8.4</v>
      </c>
      <c r="CQ81">
        <v>0</v>
      </c>
      <c r="CR81">
        <v>0</v>
      </c>
      <c r="CS81">
        <v>0</v>
      </c>
      <c r="CT81" cm="1">
        <f t="array" ref="CT81:DD81">VLOOKUP(A81,velocity_pitchers_2019!A:N,{3,4,5,6,7,8,9,10,11,12,13},FALSE)</f>
        <v>62</v>
      </c>
      <c r="CU81">
        <v>90.2</v>
      </c>
      <c r="CV81">
        <v>0</v>
      </c>
      <c r="CW81">
        <v>81.900000000000006</v>
      </c>
      <c r="CX81">
        <v>90</v>
      </c>
      <c r="CY81">
        <v>78.599999999999994</v>
      </c>
      <c r="CZ81">
        <v>83.4</v>
      </c>
      <c r="DA81">
        <v>74.5</v>
      </c>
      <c r="DB81">
        <v>0</v>
      </c>
      <c r="DC81">
        <v>0</v>
      </c>
      <c r="DD81">
        <v>0</v>
      </c>
    </row>
    <row r="82" spans="1:108" x14ac:dyDescent="0.3">
      <c r="A82" t="s">
        <v>47</v>
      </c>
      <c r="B82" t="str" cm="1">
        <f t="array" ref="B82:Y82">VLOOKUP(A82,standard_pitchers_2019!A:Y,{2,3,4,5,6,7,8,9,10,11,12,13,14,15,16,17,18,19,20,21,22,23,24,25},FALSE)</f>
        <v>- - -</v>
      </c>
      <c r="C82">
        <v>0</v>
      </c>
      <c r="D82">
        <v>3</v>
      </c>
      <c r="E82">
        <v>2.2999999999999998</v>
      </c>
      <c r="F82">
        <v>65</v>
      </c>
      <c r="G82">
        <v>0</v>
      </c>
      <c r="H82">
        <v>0</v>
      </c>
      <c r="I82">
        <v>0</v>
      </c>
      <c r="J82">
        <v>23</v>
      </c>
      <c r="K82">
        <v>10</v>
      </c>
      <c r="L82">
        <v>5</v>
      </c>
      <c r="M82">
        <v>62.2</v>
      </c>
      <c r="N82">
        <v>252</v>
      </c>
      <c r="O82">
        <v>46</v>
      </c>
      <c r="P82">
        <v>22</v>
      </c>
      <c r="Q82">
        <v>16</v>
      </c>
      <c r="R82">
        <v>8</v>
      </c>
      <c r="S82">
        <v>17</v>
      </c>
      <c r="T82">
        <v>1</v>
      </c>
      <c r="U82">
        <v>3</v>
      </c>
      <c r="V82">
        <v>0</v>
      </c>
      <c r="W82">
        <v>0</v>
      </c>
      <c r="X82">
        <v>64</v>
      </c>
      <c r="Y82">
        <v>10756</v>
      </c>
      <c r="Z82" cm="1">
        <f t="array" ref="Z82:AR82">VLOOKUP(A82,advanced_pitchers_2019!A:Y,{3,4,5,6,7,8,9,10,11,12,13,14,15,16,17,18,19,20,21},FALSE)</f>
        <v>9.19</v>
      </c>
      <c r="AA82">
        <v>2.44</v>
      </c>
      <c r="AB82">
        <v>3.76</v>
      </c>
      <c r="AC82">
        <v>1.1499999999999999</v>
      </c>
      <c r="AD82">
        <v>0.254</v>
      </c>
      <c r="AE82">
        <v>6.7000000000000004E-2</v>
      </c>
      <c r="AF82">
        <v>0.187</v>
      </c>
      <c r="AG82">
        <v>0.19800000000000001</v>
      </c>
      <c r="AH82">
        <v>1.01</v>
      </c>
      <c r="AI82">
        <v>0.23799999999999999</v>
      </c>
      <c r="AJ82">
        <v>0.80300000000000005</v>
      </c>
      <c r="AK82">
        <v>51</v>
      </c>
      <c r="AL82">
        <v>84</v>
      </c>
      <c r="AM82">
        <v>88</v>
      </c>
      <c r="AN82">
        <v>2.2999999999999998</v>
      </c>
      <c r="AO82">
        <v>3.79</v>
      </c>
      <c r="AP82">
        <v>-1.49</v>
      </c>
      <c r="AQ82">
        <v>3.97</v>
      </c>
      <c r="AR82">
        <v>3.68</v>
      </c>
      <c r="AS82" cm="1">
        <f t="array" ref="AS82:BA82">VLOOKUP(A82,plate_discipline_pitchers_2019!A:L,{3,4,5,6,7,8,9,10,11},FALSE)</f>
        <v>0.29899999999999999</v>
      </c>
      <c r="AT82">
        <v>0.65300000000000002</v>
      </c>
      <c r="AU82">
        <v>0.45700000000000002</v>
      </c>
      <c r="AV82">
        <v>0.60499999999999998</v>
      </c>
      <c r="AW82">
        <v>0.83</v>
      </c>
      <c r="AX82">
        <v>0.749</v>
      </c>
      <c r="AY82">
        <v>0.44700000000000001</v>
      </c>
      <c r="AZ82">
        <v>0.66300000000000003</v>
      </c>
      <c r="BA82">
        <v>0.115</v>
      </c>
      <c r="BB82" cm="1">
        <f t="array" ref="BB82:BP82">VLOOKUP(A82,pitchvalue_pitchers_2019!A:Q,{3,4,5,6,7,8,9,10,11,12,13,14,15,16,17},FALSE)</f>
        <v>5.7</v>
      </c>
      <c r="BC82">
        <v>-2.5</v>
      </c>
      <c r="BD82">
        <v>7.5</v>
      </c>
      <c r="BE82">
        <v>0</v>
      </c>
      <c r="BF82">
        <v>0.1</v>
      </c>
      <c r="BG82">
        <v>0</v>
      </c>
      <c r="BH82">
        <v>0</v>
      </c>
      <c r="BI82">
        <v>1.28</v>
      </c>
      <c r="BJ82">
        <v>-1.24</v>
      </c>
      <c r="BK82">
        <v>2.54</v>
      </c>
      <c r="BL82">
        <v>0</v>
      </c>
      <c r="BM82">
        <v>1.85</v>
      </c>
      <c r="BN82">
        <v>0</v>
      </c>
      <c r="BO82">
        <v>0</v>
      </c>
      <c r="BP82">
        <v>10756</v>
      </c>
      <c r="BQ82" cm="1">
        <f t="array" ref="BQ82:CH82">VLOOKUP(A82,battedball_pitchers_2019!A:U,{3,4,5,6,7,8,9,10,11,12,13,14,15,16,17,18,19,20},FALSE)</f>
        <v>0.23799999999999999</v>
      </c>
      <c r="BR82">
        <v>1.33</v>
      </c>
      <c r="BS82">
        <v>0.187</v>
      </c>
      <c r="BT82">
        <v>0.46400000000000002</v>
      </c>
      <c r="BU82">
        <v>0.34899999999999998</v>
      </c>
      <c r="BV82">
        <v>0.10299999999999999</v>
      </c>
      <c r="BW82">
        <v>0.13800000000000001</v>
      </c>
      <c r="BX82">
        <v>14</v>
      </c>
      <c r="BY82">
        <v>2.0099999999999998</v>
      </c>
      <c r="BZ82">
        <v>326</v>
      </c>
      <c r="CA82">
        <v>623</v>
      </c>
      <c r="CB82">
        <v>949</v>
      </c>
      <c r="CC82">
        <v>0.38100000000000001</v>
      </c>
      <c r="CD82">
        <v>0.38700000000000001</v>
      </c>
      <c r="CE82">
        <v>0.23200000000000001</v>
      </c>
      <c r="CF82">
        <v>0.13700000000000001</v>
      </c>
      <c r="CG82">
        <v>0.49399999999999999</v>
      </c>
      <c r="CH82">
        <v>0.36899999999999999</v>
      </c>
      <c r="CI82" cm="1">
        <f t="array" ref="CI82:CS82">VLOOKUP(A82,verticalmove_pitchers_2019!A:N,{3,4,5,6,7,8,9,10,11,12,13},FALSE)</f>
        <v>62.2</v>
      </c>
      <c r="CJ82">
        <v>7.8</v>
      </c>
      <c r="CK82">
        <v>3.8</v>
      </c>
      <c r="CL82">
        <v>0</v>
      </c>
      <c r="CM82">
        <v>4.8</v>
      </c>
      <c r="CN82">
        <v>0.1</v>
      </c>
      <c r="CO82">
        <v>0.7</v>
      </c>
      <c r="CP82">
        <v>0</v>
      </c>
      <c r="CQ82">
        <v>0</v>
      </c>
      <c r="CR82">
        <v>0</v>
      </c>
      <c r="CS82">
        <v>0</v>
      </c>
      <c r="CT82" cm="1">
        <f t="array" ref="CT82:DD82">VLOOKUP(A82,velocity_pitchers_2019!A:N,{3,4,5,6,7,8,9,10,11,12,13},FALSE)</f>
        <v>62.2</v>
      </c>
      <c r="CU82">
        <v>93.9</v>
      </c>
      <c r="CV82">
        <v>87.8</v>
      </c>
      <c r="CW82">
        <v>0</v>
      </c>
      <c r="CX82">
        <v>92.8</v>
      </c>
      <c r="CY82">
        <v>85.9</v>
      </c>
      <c r="CZ82">
        <v>80.400000000000006</v>
      </c>
      <c r="DA82">
        <v>0</v>
      </c>
      <c r="DB82">
        <v>0</v>
      </c>
      <c r="DC82">
        <v>0</v>
      </c>
      <c r="DD82">
        <v>0</v>
      </c>
    </row>
    <row r="83" spans="1:108" x14ac:dyDescent="0.3">
      <c r="A83" t="s">
        <v>44</v>
      </c>
      <c r="B83" t="str" cm="1">
        <f t="array" ref="B83:Y83">VLOOKUP(A83,standard_pitchers_2019!A:Y,{2,3,4,5,6,7,8,9,10,11,12,13,14,15,16,17,18,19,20,21,22,23,24,25},FALSE)</f>
        <v>Yankees</v>
      </c>
      <c r="C83">
        <v>3</v>
      </c>
      <c r="D83">
        <v>2</v>
      </c>
      <c r="E83">
        <v>2.21</v>
      </c>
      <c r="F83">
        <v>60</v>
      </c>
      <c r="G83">
        <v>0</v>
      </c>
      <c r="H83">
        <v>0</v>
      </c>
      <c r="I83">
        <v>0</v>
      </c>
      <c r="J83">
        <v>37</v>
      </c>
      <c r="K83">
        <v>0</v>
      </c>
      <c r="L83">
        <v>5</v>
      </c>
      <c r="M83">
        <v>57</v>
      </c>
      <c r="N83">
        <v>235</v>
      </c>
      <c r="O83">
        <v>38</v>
      </c>
      <c r="P83">
        <v>18</v>
      </c>
      <c r="Q83">
        <v>14</v>
      </c>
      <c r="R83">
        <v>3</v>
      </c>
      <c r="S83">
        <v>25</v>
      </c>
      <c r="T83">
        <v>0</v>
      </c>
      <c r="U83">
        <v>1</v>
      </c>
      <c r="V83">
        <v>6</v>
      </c>
      <c r="W83">
        <v>0</v>
      </c>
      <c r="X83">
        <v>85</v>
      </c>
      <c r="Y83">
        <v>10233</v>
      </c>
      <c r="Z83" cm="1">
        <f t="array" ref="Z83:AR83">VLOOKUP(A83,advanced_pitchers_2019!A:Y,{3,4,5,6,7,8,9,10,11,12,13,14,15,16,17,18,19,20,21},FALSE)</f>
        <v>13.42</v>
      </c>
      <c r="AA83">
        <v>3.95</v>
      </c>
      <c r="AB83">
        <v>3.4</v>
      </c>
      <c r="AC83">
        <v>0.47</v>
      </c>
      <c r="AD83">
        <v>0.36199999999999999</v>
      </c>
      <c r="AE83">
        <v>0.106</v>
      </c>
      <c r="AF83">
        <v>0.255</v>
      </c>
      <c r="AG83">
        <v>0.182</v>
      </c>
      <c r="AH83">
        <v>1.1100000000000001</v>
      </c>
      <c r="AI83">
        <v>0.28899999999999998</v>
      </c>
      <c r="AJ83">
        <v>0.76900000000000002</v>
      </c>
      <c r="AK83">
        <v>48</v>
      </c>
      <c r="AL83">
        <v>49</v>
      </c>
      <c r="AM83">
        <v>63</v>
      </c>
      <c r="AN83">
        <v>2.21</v>
      </c>
      <c r="AO83">
        <v>2.2799999999999998</v>
      </c>
      <c r="AP83">
        <v>-7.0000000000000007E-2</v>
      </c>
      <c r="AQ83">
        <v>2.86</v>
      </c>
      <c r="AR83">
        <v>3.1</v>
      </c>
      <c r="AS83" cm="1">
        <f t="array" ref="AS83:BA83">VLOOKUP(A83,plate_discipline_pitchers_2019!A:L,{3,4,5,6,7,8,9,10,11},FALSE)</f>
        <v>0.32900000000000001</v>
      </c>
      <c r="AT83">
        <v>0.65500000000000003</v>
      </c>
      <c r="AU83">
        <v>0.47099999999999997</v>
      </c>
      <c r="AV83">
        <v>0.56799999999999995</v>
      </c>
      <c r="AW83">
        <v>0.78800000000000003</v>
      </c>
      <c r="AX83">
        <v>0.70199999999999996</v>
      </c>
      <c r="AY83">
        <v>0.437</v>
      </c>
      <c r="AZ83">
        <v>0.59099999999999997</v>
      </c>
      <c r="BA83">
        <v>0.14099999999999999</v>
      </c>
      <c r="BB83" cm="1">
        <f t="array" ref="BB83:BP83">VLOOKUP(A83,pitchvalue_pitchers_2019!A:Q,{3,4,5,6,7,8,9,10,11,12,13,14,15,16,17},FALSE)</f>
        <v>5.6</v>
      </c>
      <c r="BC83">
        <v>8.1999999999999993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0.83</v>
      </c>
      <c r="BJ83">
        <v>2.65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10233</v>
      </c>
      <c r="BQ83" cm="1">
        <f t="array" ref="BQ83:CH83">VLOOKUP(A83,battedball_pitchers_2019!A:U,{3,4,5,6,7,8,9,10,11,12,13,14,15,16,17,18,19,20},FALSE)</f>
        <v>0.28899999999999998</v>
      </c>
      <c r="BR83">
        <v>1.42</v>
      </c>
      <c r="BS83">
        <v>0.28100000000000003</v>
      </c>
      <c r="BT83">
        <v>0.42099999999999999</v>
      </c>
      <c r="BU83">
        <v>0.29799999999999999</v>
      </c>
      <c r="BV83">
        <v>0.16700000000000001</v>
      </c>
      <c r="BW83">
        <v>8.3000000000000004E-2</v>
      </c>
      <c r="BX83">
        <v>8</v>
      </c>
      <c r="BY83">
        <v>1.26</v>
      </c>
      <c r="BZ83">
        <v>350</v>
      </c>
      <c r="CA83">
        <v>639</v>
      </c>
      <c r="CB83">
        <v>989</v>
      </c>
      <c r="CC83">
        <v>0.42299999999999999</v>
      </c>
      <c r="CD83">
        <v>0.33300000000000002</v>
      </c>
      <c r="CE83">
        <v>0.24399999999999999</v>
      </c>
      <c r="CF83">
        <v>0.187</v>
      </c>
      <c r="CG83">
        <v>0.47199999999999998</v>
      </c>
      <c r="CH83">
        <v>0.34100000000000003</v>
      </c>
      <c r="CI83" cm="1">
        <f t="array" ref="CI83:CS83">VLOOKUP(A83,verticalmove_pitchers_2019!A:N,{3,4,5,6,7,8,9,10,11,12,13},FALSE)</f>
        <v>57</v>
      </c>
      <c r="CJ83">
        <v>10.1</v>
      </c>
      <c r="CK83">
        <v>0</v>
      </c>
      <c r="CL83">
        <v>0</v>
      </c>
      <c r="CM83">
        <v>8.6</v>
      </c>
      <c r="CN83">
        <v>5.4</v>
      </c>
      <c r="CO83">
        <v>-0.1</v>
      </c>
      <c r="CP83">
        <v>0</v>
      </c>
      <c r="CQ83">
        <v>0</v>
      </c>
      <c r="CR83">
        <v>0</v>
      </c>
      <c r="CS83">
        <v>0</v>
      </c>
      <c r="CT83" cm="1">
        <f t="array" ref="CT83:DD83">VLOOKUP(A83,velocity_pitchers_2019!A:N,{3,4,5,6,7,8,9,10,11,12,13},FALSE)</f>
        <v>57</v>
      </c>
      <c r="CU83">
        <v>98.2</v>
      </c>
      <c r="CV83">
        <v>0</v>
      </c>
      <c r="CW83">
        <v>0</v>
      </c>
      <c r="CX83">
        <v>100.5</v>
      </c>
      <c r="CY83">
        <v>88</v>
      </c>
      <c r="CZ83">
        <v>85.4</v>
      </c>
      <c r="DA83">
        <v>0</v>
      </c>
      <c r="DB83">
        <v>0</v>
      </c>
      <c r="DC83">
        <v>0</v>
      </c>
      <c r="DD83">
        <v>0</v>
      </c>
    </row>
    <row r="84" spans="1:108" x14ac:dyDescent="0.3">
      <c r="A84" t="s">
        <v>265</v>
      </c>
      <c r="B84" t="str" cm="1">
        <f t="array" ref="B84:Y84">VLOOKUP(A84,standard_pitchers_2019!A:Y,{2,3,4,5,6,7,8,9,10,11,12,13,14,15,16,17,18,19,20,21,22,23,24,25},FALSE)</f>
        <v>- - -</v>
      </c>
      <c r="C84">
        <v>13</v>
      </c>
      <c r="D84">
        <v>9</v>
      </c>
      <c r="E84">
        <v>4.57</v>
      </c>
      <c r="F84">
        <v>31</v>
      </c>
      <c r="G84">
        <v>31</v>
      </c>
      <c r="H84">
        <v>0</v>
      </c>
      <c r="I84">
        <v>0</v>
      </c>
      <c r="J84">
        <v>0</v>
      </c>
      <c r="K84">
        <v>0</v>
      </c>
      <c r="L84">
        <v>0</v>
      </c>
      <c r="M84">
        <v>163.1</v>
      </c>
      <c r="N84">
        <v>696</v>
      </c>
      <c r="O84">
        <v>162</v>
      </c>
      <c r="P84">
        <v>84</v>
      </c>
      <c r="Q84">
        <v>83</v>
      </c>
      <c r="R84">
        <v>21</v>
      </c>
      <c r="S84">
        <v>53</v>
      </c>
      <c r="T84">
        <v>1</v>
      </c>
      <c r="U84">
        <v>4</v>
      </c>
      <c r="V84">
        <v>4</v>
      </c>
      <c r="W84">
        <v>1</v>
      </c>
      <c r="X84">
        <v>149</v>
      </c>
      <c r="Y84">
        <v>8362</v>
      </c>
      <c r="Z84" cm="1">
        <f t="array" ref="Z84:AR84">VLOOKUP(A84,advanced_pitchers_2019!A:Y,{3,4,5,6,7,8,9,10,11,12,13,14,15,16,17,18,19,20,21},FALSE)</f>
        <v>8.2100000000000009</v>
      </c>
      <c r="AA84">
        <v>2.92</v>
      </c>
      <c r="AB84">
        <v>2.81</v>
      </c>
      <c r="AC84">
        <v>1.1599999999999999</v>
      </c>
      <c r="AD84">
        <v>0.214</v>
      </c>
      <c r="AE84">
        <v>7.5999999999999998E-2</v>
      </c>
      <c r="AF84">
        <v>0.13800000000000001</v>
      </c>
      <c r="AG84">
        <v>0.254</v>
      </c>
      <c r="AH84">
        <v>1.32</v>
      </c>
      <c r="AI84">
        <v>0.30099999999999999</v>
      </c>
      <c r="AJ84">
        <v>0.71199999999999997</v>
      </c>
      <c r="AK84">
        <v>99</v>
      </c>
      <c r="AL84">
        <v>92</v>
      </c>
      <c r="AM84">
        <v>97</v>
      </c>
      <c r="AN84">
        <v>4.57</v>
      </c>
      <c r="AO84">
        <v>4.1100000000000003</v>
      </c>
      <c r="AP84">
        <v>0.47</v>
      </c>
      <c r="AQ84">
        <v>4.43</v>
      </c>
      <c r="AR84">
        <v>4.5999999999999996</v>
      </c>
      <c r="AS84" cm="1">
        <f t="array" ref="AS84:BA84">VLOOKUP(A84,plate_discipline_pitchers_2019!A:L,{3,4,5,6,7,8,9,10,11},FALSE)</f>
        <v>0.32</v>
      </c>
      <c r="AT84">
        <v>0.70499999999999996</v>
      </c>
      <c r="AU84">
        <v>0.48399999999999999</v>
      </c>
      <c r="AV84">
        <v>0.63800000000000001</v>
      </c>
      <c r="AW84">
        <v>0.86199999999999999</v>
      </c>
      <c r="AX84">
        <v>0.77700000000000002</v>
      </c>
      <c r="AY84">
        <v>0.42599999999999999</v>
      </c>
      <c r="AZ84">
        <v>0.63600000000000001</v>
      </c>
      <c r="BA84">
        <v>0.108</v>
      </c>
      <c r="BB84" cm="1">
        <f t="array" ref="BB84:BP84">VLOOKUP(A84,pitchvalue_pitchers_2019!A:Q,{3,4,5,6,7,8,9,10,11,12,13,14,15,16,17},FALSE)</f>
        <v>5.5</v>
      </c>
      <c r="BC84">
        <v>0.4</v>
      </c>
      <c r="BD84">
        <v>-2</v>
      </c>
      <c r="BE84">
        <v>-2.7</v>
      </c>
      <c r="BF84">
        <v>0</v>
      </c>
      <c r="BG84">
        <v>4.5</v>
      </c>
      <c r="BH84">
        <v>0</v>
      </c>
      <c r="BI84">
        <v>0.39</v>
      </c>
      <c r="BJ84">
        <v>0.12</v>
      </c>
      <c r="BK84">
        <v>-7.23</v>
      </c>
      <c r="BL84">
        <v>-1.07</v>
      </c>
      <c r="BM84">
        <v>0</v>
      </c>
      <c r="BN84">
        <v>0.61</v>
      </c>
      <c r="BO84">
        <v>0</v>
      </c>
      <c r="BP84">
        <v>8362</v>
      </c>
      <c r="BQ84" cm="1">
        <f t="array" ref="BQ84:CH84">VLOOKUP(A84,battedball_pitchers_2019!A:U,{3,4,5,6,7,8,9,10,11,12,13,14,15,16,17,18,19,20},FALSE)</f>
        <v>0.30099999999999999</v>
      </c>
      <c r="BR84">
        <v>1.3</v>
      </c>
      <c r="BS84">
        <v>0.217</v>
      </c>
      <c r="BT84">
        <v>0.443</v>
      </c>
      <c r="BU84">
        <v>0.34</v>
      </c>
      <c r="BV84">
        <v>0.11600000000000001</v>
      </c>
      <c r="BW84">
        <v>0.128</v>
      </c>
      <c r="BX84">
        <v>117</v>
      </c>
      <c r="BY84">
        <v>6.45</v>
      </c>
      <c r="BZ84">
        <v>1003</v>
      </c>
      <c r="CA84">
        <v>1833</v>
      </c>
      <c r="CB84">
        <v>2836</v>
      </c>
      <c r="CC84">
        <v>0.39600000000000002</v>
      </c>
      <c r="CD84">
        <v>0.33900000000000002</v>
      </c>
      <c r="CE84">
        <v>0.26500000000000001</v>
      </c>
      <c r="CF84">
        <v>0.14599999999999999</v>
      </c>
      <c r="CG84">
        <v>0.42499999999999999</v>
      </c>
      <c r="CH84">
        <v>0.42899999999999999</v>
      </c>
      <c r="CI84" cm="1">
        <f t="array" ref="CI84:CS84">VLOOKUP(A84,verticalmove_pitchers_2019!A:N,{3,4,5,6,7,8,9,10,11,12,13},FALSE)</f>
        <v>163.1</v>
      </c>
      <c r="CJ84">
        <v>8.1999999999999993</v>
      </c>
      <c r="CK84">
        <v>0</v>
      </c>
      <c r="CL84">
        <v>1.5</v>
      </c>
      <c r="CM84">
        <v>6</v>
      </c>
      <c r="CN84">
        <v>0</v>
      </c>
      <c r="CO84">
        <v>2.7</v>
      </c>
      <c r="CP84">
        <v>-5.7</v>
      </c>
      <c r="CQ84">
        <v>0</v>
      </c>
      <c r="CR84">
        <v>0</v>
      </c>
      <c r="CS84">
        <v>0</v>
      </c>
      <c r="CT84" cm="1">
        <f t="array" ref="CT84:DD84">VLOOKUP(A84,velocity_pitchers_2019!A:N,{3,4,5,6,7,8,9,10,11,12,13},FALSE)</f>
        <v>163.1</v>
      </c>
      <c r="CU84">
        <v>93.4</v>
      </c>
      <c r="CV84">
        <v>0</v>
      </c>
      <c r="CW84">
        <v>84.5</v>
      </c>
      <c r="CX84">
        <v>93.4</v>
      </c>
      <c r="CY84">
        <v>0</v>
      </c>
      <c r="CZ84">
        <v>87.4</v>
      </c>
      <c r="DA84">
        <v>78.7</v>
      </c>
      <c r="DB84">
        <v>0</v>
      </c>
      <c r="DC84">
        <v>0</v>
      </c>
      <c r="DD84">
        <v>0</v>
      </c>
    </row>
    <row r="85" spans="1:108" x14ac:dyDescent="0.3">
      <c r="A85" t="s">
        <v>59</v>
      </c>
      <c r="B85" t="str" cm="1">
        <f t="array" ref="B85:Y85">VLOOKUP(A85,standard_pitchers_2019!A:Y,{2,3,4,5,6,7,8,9,10,11,12,13,14,15,16,17,18,19,20,21,22,23,24,25},FALSE)</f>
        <v>Dodgers</v>
      </c>
      <c r="C85">
        <v>4</v>
      </c>
      <c r="D85">
        <v>1</v>
      </c>
      <c r="E85">
        <v>2.4500000000000002</v>
      </c>
      <c r="F85">
        <v>13</v>
      </c>
      <c r="G85">
        <v>13</v>
      </c>
      <c r="H85">
        <v>0</v>
      </c>
      <c r="I85">
        <v>0</v>
      </c>
      <c r="J85">
        <v>0</v>
      </c>
      <c r="K85">
        <v>0</v>
      </c>
      <c r="L85">
        <v>0</v>
      </c>
      <c r="M85">
        <v>58.2</v>
      </c>
      <c r="N85">
        <v>242</v>
      </c>
      <c r="O85">
        <v>48</v>
      </c>
      <c r="P85">
        <v>20</v>
      </c>
      <c r="Q85">
        <v>16</v>
      </c>
      <c r="R85">
        <v>10</v>
      </c>
      <c r="S85">
        <v>18</v>
      </c>
      <c r="T85">
        <v>2</v>
      </c>
      <c r="U85">
        <v>4</v>
      </c>
      <c r="V85">
        <v>0</v>
      </c>
      <c r="W85">
        <v>0</v>
      </c>
      <c r="X85">
        <v>72</v>
      </c>
      <c r="Y85">
        <v>4806</v>
      </c>
      <c r="Z85" cm="1">
        <f t="array" ref="Z85:AR85">VLOOKUP(A85,advanced_pitchers_2019!A:Y,{3,4,5,6,7,8,9,10,11,12,13,14,15,16,17,18,19,20,21},FALSE)</f>
        <v>11.05</v>
      </c>
      <c r="AA85">
        <v>2.76</v>
      </c>
      <c r="AB85">
        <v>4</v>
      </c>
      <c r="AC85">
        <v>1.53</v>
      </c>
      <c r="AD85">
        <v>0.29799999999999999</v>
      </c>
      <c r="AE85">
        <v>7.3999999999999996E-2</v>
      </c>
      <c r="AF85">
        <v>0.223</v>
      </c>
      <c r="AG85">
        <v>0.218</v>
      </c>
      <c r="AH85">
        <v>1.1299999999999999</v>
      </c>
      <c r="AI85">
        <v>0.27500000000000002</v>
      </c>
      <c r="AJ85">
        <v>0.89300000000000002</v>
      </c>
      <c r="AK85">
        <v>58</v>
      </c>
      <c r="AL85">
        <v>94</v>
      </c>
      <c r="AM85">
        <v>77</v>
      </c>
      <c r="AN85">
        <v>2.4500000000000002</v>
      </c>
      <c r="AO85">
        <v>4.0999999999999996</v>
      </c>
      <c r="AP85">
        <v>-1.65</v>
      </c>
      <c r="AQ85">
        <v>3.41</v>
      </c>
      <c r="AR85">
        <v>3.64</v>
      </c>
      <c r="AS85" cm="1">
        <f t="array" ref="AS85:BA85">VLOOKUP(A85,plate_discipline_pitchers_2019!A:L,{3,4,5,6,7,8,9,10,11},FALSE)</f>
        <v>0.30299999999999999</v>
      </c>
      <c r="AT85">
        <v>0.65</v>
      </c>
      <c r="AU85">
        <v>0.47399999999999998</v>
      </c>
      <c r="AV85">
        <v>0.67600000000000005</v>
      </c>
      <c r="AW85">
        <v>0.81899999999999995</v>
      </c>
      <c r="AX85">
        <v>0.77300000000000002</v>
      </c>
      <c r="AY85">
        <v>0.49399999999999999</v>
      </c>
      <c r="AZ85">
        <v>0.64900000000000002</v>
      </c>
      <c r="BA85">
        <v>0.108</v>
      </c>
      <c r="BB85" cm="1">
        <f t="array" ref="BB85:BP85">VLOOKUP(A85,pitchvalue_pitchers_2019!A:Q,{3,4,5,6,7,8,9,10,11,12,13,14,15,16,17},FALSE)</f>
        <v>5.5</v>
      </c>
      <c r="BC85">
        <v>-0.4</v>
      </c>
      <c r="BD85">
        <v>-0.5</v>
      </c>
      <c r="BE85">
        <v>2.2999999999999998</v>
      </c>
      <c r="BF85">
        <v>0</v>
      </c>
      <c r="BG85">
        <v>0.1</v>
      </c>
      <c r="BH85">
        <v>0</v>
      </c>
      <c r="BI85">
        <v>1.07</v>
      </c>
      <c r="BJ85">
        <v>-1.65</v>
      </c>
      <c r="BK85">
        <v>-15.17</v>
      </c>
      <c r="BL85">
        <v>0.54</v>
      </c>
      <c r="BM85">
        <v>-0.68</v>
      </c>
      <c r="BN85">
        <v>2.4500000000000002</v>
      </c>
      <c r="BO85">
        <v>0</v>
      </c>
      <c r="BP85">
        <v>4806</v>
      </c>
      <c r="BQ85" cm="1">
        <f t="array" ref="BQ85:CH85">VLOOKUP(A85,battedball_pitchers_2019!A:U,{3,4,5,6,7,8,9,10,11,12,13,14,15,16,17,18,19,20},FALSE)</f>
        <v>0.27500000000000002</v>
      </c>
      <c r="BR85">
        <v>1.56</v>
      </c>
      <c r="BS85">
        <v>0.184</v>
      </c>
      <c r="BT85">
        <v>0.496</v>
      </c>
      <c r="BU85">
        <v>0.31900000000000001</v>
      </c>
      <c r="BV85">
        <v>0.13300000000000001</v>
      </c>
      <c r="BW85">
        <v>0.222</v>
      </c>
      <c r="BX85">
        <v>32</v>
      </c>
      <c r="BY85">
        <v>4.91</v>
      </c>
      <c r="BZ85">
        <v>302</v>
      </c>
      <c r="CA85">
        <v>664</v>
      </c>
      <c r="CB85">
        <v>966</v>
      </c>
      <c r="CC85">
        <v>0.45300000000000001</v>
      </c>
      <c r="CD85">
        <v>0.29099999999999998</v>
      </c>
      <c r="CE85">
        <v>0.25700000000000001</v>
      </c>
      <c r="CF85">
        <v>0.17599999999999999</v>
      </c>
      <c r="CG85">
        <v>0.45300000000000001</v>
      </c>
      <c r="CH85">
        <v>0.372</v>
      </c>
      <c r="CI85" cm="1">
        <f t="array" ref="CI85:CS85">VLOOKUP(A85,verticalmove_pitchers_2019!A:N,{3,4,5,6,7,8,9,10,11,12,13},FALSE)</f>
        <v>58.2</v>
      </c>
      <c r="CJ85">
        <v>9.8000000000000007</v>
      </c>
      <c r="CK85">
        <v>3.5</v>
      </c>
      <c r="CL85">
        <v>0</v>
      </c>
      <c r="CM85">
        <v>4.8</v>
      </c>
      <c r="CN85">
        <v>4</v>
      </c>
      <c r="CO85">
        <v>0</v>
      </c>
      <c r="CP85">
        <v>-9.3000000000000007</v>
      </c>
      <c r="CQ85">
        <v>-9.5</v>
      </c>
      <c r="CR85">
        <v>0</v>
      </c>
      <c r="CS85">
        <v>0</v>
      </c>
      <c r="CT85" cm="1">
        <f t="array" ref="CT85:DD85">VLOOKUP(A85,velocity_pitchers_2019!A:N,{3,4,5,6,7,8,9,10,11,12,13},FALSE)</f>
        <v>58.2</v>
      </c>
      <c r="CU85">
        <v>90.6</v>
      </c>
      <c r="CV85">
        <v>85.2</v>
      </c>
      <c r="CW85">
        <v>0</v>
      </c>
      <c r="CX85">
        <v>88.5</v>
      </c>
      <c r="CY85">
        <v>83</v>
      </c>
      <c r="CZ85">
        <v>0</v>
      </c>
      <c r="DA85">
        <v>74.5</v>
      </c>
      <c r="DB85">
        <v>65</v>
      </c>
      <c r="DC85">
        <v>0</v>
      </c>
      <c r="DD85">
        <v>0</v>
      </c>
    </row>
    <row r="86" spans="1:108" x14ac:dyDescent="0.3">
      <c r="A86" t="s">
        <v>289</v>
      </c>
      <c r="B86" t="str" cm="1">
        <f t="array" ref="B86:Y86">VLOOKUP(A86,standard_pitchers_2019!A:Y,{2,3,4,5,6,7,8,9,10,11,12,13,14,15,16,17,18,19,20,21,22,23,24,25},FALSE)</f>
        <v>Rockies</v>
      </c>
      <c r="C86">
        <v>12</v>
      </c>
      <c r="D86">
        <v>5</v>
      </c>
      <c r="E86">
        <v>4.76</v>
      </c>
      <c r="F86">
        <v>28</v>
      </c>
      <c r="G86">
        <v>28</v>
      </c>
      <c r="H86">
        <v>1</v>
      </c>
      <c r="I86">
        <v>1</v>
      </c>
      <c r="J86">
        <v>0</v>
      </c>
      <c r="K86">
        <v>0</v>
      </c>
      <c r="L86">
        <v>0</v>
      </c>
      <c r="M86">
        <v>174</v>
      </c>
      <c r="N86">
        <v>721</v>
      </c>
      <c r="O86">
        <v>174</v>
      </c>
      <c r="P86">
        <v>96</v>
      </c>
      <c r="Q86">
        <v>92</v>
      </c>
      <c r="R86">
        <v>29</v>
      </c>
      <c r="S86">
        <v>35</v>
      </c>
      <c r="T86">
        <v>0</v>
      </c>
      <c r="U86">
        <v>5</v>
      </c>
      <c r="V86">
        <v>14</v>
      </c>
      <c r="W86">
        <v>1</v>
      </c>
      <c r="X86">
        <v>175</v>
      </c>
      <c r="Y86">
        <v>15038</v>
      </c>
      <c r="Z86" cm="1">
        <f t="array" ref="Z86:AR86">VLOOKUP(A86,advanced_pitchers_2019!A:Y,{3,4,5,6,7,8,9,10,11,12,13,14,15,16,17,18,19,20,21},FALSE)</f>
        <v>9.0500000000000007</v>
      </c>
      <c r="AA86">
        <v>1.81</v>
      </c>
      <c r="AB86">
        <v>5</v>
      </c>
      <c r="AC86">
        <v>1.5</v>
      </c>
      <c r="AD86">
        <v>0.24299999999999999</v>
      </c>
      <c r="AE86">
        <v>4.9000000000000002E-2</v>
      </c>
      <c r="AF86">
        <v>0.19400000000000001</v>
      </c>
      <c r="AG86">
        <v>0.25600000000000001</v>
      </c>
      <c r="AH86">
        <v>1.2</v>
      </c>
      <c r="AI86">
        <v>0.30399999999999999</v>
      </c>
      <c r="AJ86">
        <v>0.68100000000000005</v>
      </c>
      <c r="AK86">
        <v>94</v>
      </c>
      <c r="AL86">
        <v>86</v>
      </c>
      <c r="AM86">
        <v>80</v>
      </c>
      <c r="AN86">
        <v>4.76</v>
      </c>
      <c r="AO86">
        <v>4.0599999999999996</v>
      </c>
      <c r="AP86">
        <v>0.7</v>
      </c>
      <c r="AQ86">
        <v>3.54</v>
      </c>
      <c r="AR86">
        <v>3.85</v>
      </c>
      <c r="AS86" cm="1">
        <f t="array" ref="AS86:BA86">VLOOKUP(A86,plate_discipline_pitchers_2019!A:L,{3,4,5,6,7,8,9,10,11},FALSE)</f>
        <v>0.32900000000000001</v>
      </c>
      <c r="AT86">
        <v>0.67500000000000004</v>
      </c>
      <c r="AU86">
        <v>0.49</v>
      </c>
      <c r="AV86">
        <v>0.52300000000000002</v>
      </c>
      <c r="AW86">
        <v>0.86299999999999999</v>
      </c>
      <c r="AX86">
        <v>0.74099999999999999</v>
      </c>
      <c r="AY86">
        <v>0.46600000000000003</v>
      </c>
      <c r="AZ86">
        <v>0.63800000000000001</v>
      </c>
      <c r="BA86">
        <v>0.127</v>
      </c>
      <c r="BB86" cm="1">
        <f t="array" ref="BB86:BP86">VLOOKUP(A86,pitchvalue_pitchers_2019!A:Q,{3,4,5,6,7,8,9,10,11,12,13,14,15,16,17},FALSE)</f>
        <v>5.4</v>
      </c>
      <c r="BC86">
        <v>-8.1999999999999993</v>
      </c>
      <c r="BD86">
        <v>0</v>
      </c>
      <c r="BE86">
        <v>13.7</v>
      </c>
      <c r="BF86">
        <v>-4.9000000000000004</v>
      </c>
      <c r="BG86">
        <v>0</v>
      </c>
      <c r="BH86">
        <v>0</v>
      </c>
      <c r="BI86">
        <v>0.4</v>
      </c>
      <c r="BJ86">
        <v>-1.53</v>
      </c>
      <c r="BK86">
        <v>0</v>
      </c>
      <c r="BL86">
        <v>2.17</v>
      </c>
      <c r="BM86">
        <v>-5.81</v>
      </c>
      <c r="BN86">
        <v>0</v>
      </c>
      <c r="BO86">
        <v>0</v>
      </c>
      <c r="BP86">
        <v>15038</v>
      </c>
      <c r="BQ86" cm="1">
        <f t="array" ref="BQ86:CH86">VLOOKUP(A86,battedball_pitchers_2019!A:U,{3,4,5,6,7,8,9,10,11,12,13,14,15,16,17,18,19,20},FALSE)</f>
        <v>0.30399999999999999</v>
      </c>
      <c r="BR86">
        <v>1.69</v>
      </c>
      <c r="BS86">
        <v>0.22</v>
      </c>
      <c r="BT86">
        <v>0.49</v>
      </c>
      <c r="BU86">
        <v>0.28999999999999998</v>
      </c>
      <c r="BV86">
        <v>4.2000000000000003E-2</v>
      </c>
      <c r="BW86">
        <v>0.20100000000000001</v>
      </c>
      <c r="BX86">
        <v>124</v>
      </c>
      <c r="BY86">
        <v>6.41</v>
      </c>
      <c r="BZ86">
        <v>868</v>
      </c>
      <c r="CA86">
        <v>1748</v>
      </c>
      <c r="CB86">
        <v>2616</v>
      </c>
      <c r="CC86">
        <v>0.33400000000000002</v>
      </c>
      <c r="CD86">
        <v>0.374</v>
      </c>
      <c r="CE86">
        <v>0.29199999999999998</v>
      </c>
      <c r="CF86">
        <v>0.13200000000000001</v>
      </c>
      <c r="CG86">
        <v>0.48799999999999999</v>
      </c>
      <c r="CH86">
        <v>0.379</v>
      </c>
      <c r="CI86" cm="1">
        <f t="array" ref="CI86:CS86">VLOOKUP(A86,verticalmove_pitchers_2019!A:N,{3,4,5,6,7,8,9,10,11,12,13},FALSE)</f>
        <v>174</v>
      </c>
      <c r="CJ86">
        <v>7.2</v>
      </c>
      <c r="CK86">
        <v>0</v>
      </c>
      <c r="CL86">
        <v>0</v>
      </c>
      <c r="CM86">
        <v>4.2</v>
      </c>
      <c r="CN86">
        <v>4.7</v>
      </c>
      <c r="CO86">
        <v>1.6</v>
      </c>
      <c r="CP86">
        <v>-2.2000000000000002</v>
      </c>
      <c r="CQ86">
        <v>0</v>
      </c>
      <c r="CR86">
        <v>0</v>
      </c>
      <c r="CS86">
        <v>0</v>
      </c>
      <c r="CT86" cm="1">
        <f t="array" ref="CT86:DD86">VLOOKUP(A86,velocity_pitchers_2019!A:N,{3,4,5,6,7,8,9,10,11,12,13},FALSE)</f>
        <v>174</v>
      </c>
      <c r="CU86">
        <v>95.7</v>
      </c>
      <c r="CV86">
        <v>0</v>
      </c>
      <c r="CW86">
        <v>0</v>
      </c>
      <c r="CX86">
        <v>94.5</v>
      </c>
      <c r="CY86">
        <v>88.2</v>
      </c>
      <c r="CZ86">
        <v>87.3</v>
      </c>
      <c r="DA86">
        <v>84.8</v>
      </c>
      <c r="DB86">
        <v>0</v>
      </c>
      <c r="DC86">
        <v>0</v>
      </c>
      <c r="DD86">
        <v>0</v>
      </c>
    </row>
    <row r="87" spans="1:108" x14ac:dyDescent="0.3">
      <c r="A87" t="s">
        <v>343</v>
      </c>
      <c r="B87" t="str" cm="1">
        <f t="array" ref="B87:Y87">VLOOKUP(A87,standard_pitchers_2019!A:Y,{2,3,4,5,6,7,8,9,10,11,12,13,14,15,16,17,18,19,20,21,22,23,24,25},FALSE)</f>
        <v>Red Sox</v>
      </c>
      <c r="C87">
        <v>14</v>
      </c>
      <c r="D87">
        <v>12</v>
      </c>
      <c r="E87">
        <v>5.52</v>
      </c>
      <c r="F87">
        <v>32</v>
      </c>
      <c r="G87">
        <v>32</v>
      </c>
      <c r="H87">
        <v>0</v>
      </c>
      <c r="I87">
        <v>0</v>
      </c>
      <c r="J87">
        <v>0</v>
      </c>
      <c r="K87">
        <v>0</v>
      </c>
      <c r="L87">
        <v>0</v>
      </c>
      <c r="M87">
        <v>174.1</v>
      </c>
      <c r="N87">
        <v>768</v>
      </c>
      <c r="O87">
        <v>198</v>
      </c>
      <c r="P87">
        <v>114</v>
      </c>
      <c r="Q87">
        <v>107</v>
      </c>
      <c r="R87">
        <v>31</v>
      </c>
      <c r="S87">
        <v>45</v>
      </c>
      <c r="T87">
        <v>2</v>
      </c>
      <c r="U87">
        <v>6</v>
      </c>
      <c r="V87">
        <v>5</v>
      </c>
      <c r="W87">
        <v>2</v>
      </c>
      <c r="X87">
        <v>143</v>
      </c>
      <c r="Y87">
        <v>2717</v>
      </c>
      <c r="Z87" cm="1">
        <f t="array" ref="Z87:AR87">VLOOKUP(A87,advanced_pitchers_2019!A:Y,{3,4,5,6,7,8,9,10,11,12,13,14,15,16,17,18,19,20,21},FALSE)</f>
        <v>7.38</v>
      </c>
      <c r="AA87">
        <v>2.3199999999999998</v>
      </c>
      <c r="AB87">
        <v>3.18</v>
      </c>
      <c r="AC87">
        <v>1.6</v>
      </c>
      <c r="AD87">
        <v>0.186</v>
      </c>
      <c r="AE87">
        <v>5.8999999999999997E-2</v>
      </c>
      <c r="AF87">
        <v>0.128</v>
      </c>
      <c r="AG87">
        <v>0.27600000000000002</v>
      </c>
      <c r="AH87">
        <v>1.39</v>
      </c>
      <c r="AI87">
        <v>0.308</v>
      </c>
      <c r="AJ87">
        <v>0.65700000000000003</v>
      </c>
      <c r="AK87">
        <v>114</v>
      </c>
      <c r="AL87">
        <v>105</v>
      </c>
      <c r="AM87">
        <v>112</v>
      </c>
      <c r="AN87">
        <v>5.52</v>
      </c>
      <c r="AO87">
        <v>4.76</v>
      </c>
      <c r="AP87">
        <v>0.76</v>
      </c>
      <c r="AQ87">
        <v>5.14</v>
      </c>
      <c r="AR87">
        <v>4.8600000000000003</v>
      </c>
      <c r="AS87" cm="1">
        <f t="array" ref="AS87:BA87">VLOOKUP(A87,plate_discipline_pitchers_2019!A:L,{3,4,5,6,7,8,9,10,11},FALSE)</f>
        <v>0.32200000000000001</v>
      </c>
      <c r="AT87">
        <v>0.69099999999999995</v>
      </c>
      <c r="AU87">
        <v>0.49</v>
      </c>
      <c r="AV87">
        <v>0.75800000000000001</v>
      </c>
      <c r="AW87">
        <v>0.88100000000000001</v>
      </c>
      <c r="AX87">
        <v>0.83699999999999997</v>
      </c>
      <c r="AY87">
        <v>0.45500000000000002</v>
      </c>
      <c r="AZ87">
        <v>0.67600000000000005</v>
      </c>
      <c r="BA87">
        <v>0.08</v>
      </c>
      <c r="BB87" cm="1">
        <f t="array" ref="BB87:BP87">VLOOKUP(A87,pitchvalue_pitchers_2019!A:Q,{3,4,5,6,7,8,9,10,11,12,13,14,15,16,17},FALSE)</f>
        <v>5.4</v>
      </c>
      <c r="BC87">
        <v>-8.1999999999999993</v>
      </c>
      <c r="BD87">
        <v>0</v>
      </c>
      <c r="BE87">
        <v>-2.7</v>
      </c>
      <c r="BF87">
        <v>-8.1999999999999993</v>
      </c>
      <c r="BG87">
        <v>0</v>
      </c>
      <c r="BH87">
        <v>0</v>
      </c>
      <c r="BI87">
        <v>0.32</v>
      </c>
      <c r="BJ87">
        <v>-1.49</v>
      </c>
      <c r="BK87">
        <v>0</v>
      </c>
      <c r="BL87">
        <v>-0.72</v>
      </c>
      <c r="BM87">
        <v>-2.23</v>
      </c>
      <c r="BN87">
        <v>0</v>
      </c>
      <c r="BO87">
        <v>0</v>
      </c>
      <c r="BP87">
        <v>2717</v>
      </c>
      <c r="BQ87" cm="1">
        <f t="array" ref="BQ87:CH87">VLOOKUP(A87,battedball_pitchers_2019!A:U,{3,4,5,6,7,8,9,10,11,12,13,14,15,16,17,18,19,20},FALSE)</f>
        <v>0.308</v>
      </c>
      <c r="BR87">
        <v>0.92</v>
      </c>
      <c r="BS87">
        <v>0.20399999999999999</v>
      </c>
      <c r="BT87">
        <v>0.38100000000000001</v>
      </c>
      <c r="BU87">
        <v>0.41499999999999998</v>
      </c>
      <c r="BV87">
        <v>9.7000000000000003E-2</v>
      </c>
      <c r="BW87">
        <v>0.13100000000000001</v>
      </c>
      <c r="BX87">
        <v>145</v>
      </c>
      <c r="BY87">
        <v>7.49</v>
      </c>
      <c r="BZ87">
        <v>977</v>
      </c>
      <c r="CA87">
        <v>1983</v>
      </c>
      <c r="CB87">
        <v>2960</v>
      </c>
      <c r="CC87">
        <v>0.42599999999999999</v>
      </c>
      <c r="CD87">
        <v>0.35099999999999998</v>
      </c>
      <c r="CE87">
        <v>0.223</v>
      </c>
      <c r="CF87">
        <v>0.20100000000000001</v>
      </c>
      <c r="CG87">
        <v>0.45700000000000002</v>
      </c>
      <c r="CH87">
        <v>0.34200000000000003</v>
      </c>
      <c r="CI87" cm="1">
        <f t="array" ref="CI87:CS87">VLOOKUP(A87,verticalmove_pitchers_2019!A:N,{3,4,5,6,7,8,9,10,11,12,13},FALSE)</f>
        <v>174.1</v>
      </c>
      <c r="CJ87">
        <v>8.1999999999999993</v>
      </c>
      <c r="CK87">
        <v>0</v>
      </c>
      <c r="CL87">
        <v>7.8</v>
      </c>
      <c r="CM87">
        <v>3.8</v>
      </c>
      <c r="CN87">
        <v>3.5</v>
      </c>
      <c r="CO87">
        <v>1.7</v>
      </c>
      <c r="CP87">
        <v>-5.0999999999999996</v>
      </c>
      <c r="CQ87">
        <v>0</v>
      </c>
      <c r="CR87">
        <v>0</v>
      </c>
      <c r="CS87">
        <v>0</v>
      </c>
      <c r="CT87" cm="1">
        <f t="array" ref="CT87:DD87">VLOOKUP(A87,velocity_pitchers_2019!A:N,{3,4,5,6,7,8,9,10,11,12,13},FALSE)</f>
        <v>174.1</v>
      </c>
      <c r="CU87">
        <v>91.2</v>
      </c>
      <c r="CV87">
        <v>0</v>
      </c>
      <c r="CW87">
        <v>93.1</v>
      </c>
      <c r="CX87">
        <v>89.9</v>
      </c>
      <c r="CY87">
        <v>81.3</v>
      </c>
      <c r="CZ87">
        <v>84.5</v>
      </c>
      <c r="DA87">
        <v>74.900000000000006</v>
      </c>
      <c r="DB87">
        <v>0</v>
      </c>
      <c r="DC87">
        <v>0</v>
      </c>
      <c r="DD87">
        <v>0</v>
      </c>
    </row>
    <row r="88" spans="1:108" x14ac:dyDescent="0.3">
      <c r="A88" t="s">
        <v>264</v>
      </c>
      <c r="B88" t="str" cm="1">
        <f t="array" ref="B88:Y88">VLOOKUP(A88,standard_pitchers_2019!A:Y,{2,3,4,5,6,7,8,9,10,11,12,13,14,15,16,17,18,19,20,21,22,23,24,25},FALSE)</f>
        <v>Orioles</v>
      </c>
      <c r="C88">
        <v>2</v>
      </c>
      <c r="D88">
        <v>6</v>
      </c>
      <c r="E88">
        <v>4.57</v>
      </c>
      <c r="F88">
        <v>58</v>
      </c>
      <c r="G88">
        <v>0</v>
      </c>
      <c r="H88">
        <v>0</v>
      </c>
      <c r="I88">
        <v>0</v>
      </c>
      <c r="J88">
        <v>11</v>
      </c>
      <c r="K88">
        <v>7</v>
      </c>
      <c r="L88">
        <v>8</v>
      </c>
      <c r="M88">
        <v>63</v>
      </c>
      <c r="N88">
        <v>260</v>
      </c>
      <c r="O88">
        <v>49</v>
      </c>
      <c r="P88">
        <v>35</v>
      </c>
      <c r="Q88">
        <v>32</v>
      </c>
      <c r="R88">
        <v>13</v>
      </c>
      <c r="S88">
        <v>26</v>
      </c>
      <c r="T88">
        <v>1</v>
      </c>
      <c r="U88">
        <v>2</v>
      </c>
      <c r="V88">
        <v>5</v>
      </c>
      <c r="W88">
        <v>0</v>
      </c>
      <c r="X88">
        <v>86</v>
      </c>
      <c r="Y88">
        <v>10430</v>
      </c>
      <c r="Z88" cm="1">
        <f t="array" ref="Z88:AR88">VLOOKUP(A88,advanced_pitchers_2019!A:Y,{3,4,5,6,7,8,9,10,11,12,13,14,15,16,17,18,19,20,21},FALSE)</f>
        <v>12.29</v>
      </c>
      <c r="AA88">
        <v>3.71</v>
      </c>
      <c r="AB88">
        <v>3.31</v>
      </c>
      <c r="AC88">
        <v>1.86</v>
      </c>
      <c r="AD88">
        <v>0.33100000000000002</v>
      </c>
      <c r="AE88">
        <v>0.1</v>
      </c>
      <c r="AF88">
        <v>0.23100000000000001</v>
      </c>
      <c r="AG88">
        <v>0.21099999999999999</v>
      </c>
      <c r="AH88">
        <v>1.19</v>
      </c>
      <c r="AI88">
        <v>0.27100000000000002</v>
      </c>
      <c r="AJ88">
        <v>0.71399999999999997</v>
      </c>
      <c r="AK88">
        <v>97</v>
      </c>
      <c r="AL88">
        <v>94</v>
      </c>
      <c r="AM88">
        <v>79</v>
      </c>
      <c r="AN88">
        <v>4.57</v>
      </c>
      <c r="AO88">
        <v>4.5</v>
      </c>
      <c r="AP88">
        <v>7.0000000000000007E-2</v>
      </c>
      <c r="AQ88">
        <v>3.62</v>
      </c>
      <c r="AR88">
        <v>3.34</v>
      </c>
      <c r="AS88" cm="1">
        <f t="array" ref="AS88:BA88">VLOOKUP(A88,plate_discipline_pitchers_2019!A:L,{3,4,5,6,7,8,9,10,11},FALSE)</f>
        <v>0.32300000000000001</v>
      </c>
      <c r="AT88">
        <v>0.72299999999999998</v>
      </c>
      <c r="AU88">
        <v>0.5</v>
      </c>
      <c r="AV88">
        <v>0.57399999999999995</v>
      </c>
      <c r="AW88">
        <v>0.745</v>
      </c>
      <c r="AX88">
        <v>0.68300000000000005</v>
      </c>
      <c r="AY88">
        <v>0.442</v>
      </c>
      <c r="AZ88">
        <v>0.56899999999999995</v>
      </c>
      <c r="BA88">
        <v>0.158</v>
      </c>
      <c r="BB88" cm="1">
        <f t="array" ref="BB88:BP88">VLOOKUP(A88,pitchvalue_pitchers_2019!A:Q,{3,4,5,6,7,8,9,10,11,12,13,14,15,16,17},FALSE)</f>
        <v>5.0999999999999996</v>
      </c>
      <c r="BC88">
        <v>-1.4</v>
      </c>
      <c r="BD88">
        <v>0</v>
      </c>
      <c r="BE88">
        <v>0</v>
      </c>
      <c r="BF88">
        <v>-0.8</v>
      </c>
      <c r="BG88">
        <v>0</v>
      </c>
      <c r="BH88">
        <v>0</v>
      </c>
      <c r="BI88">
        <v>0.67</v>
      </c>
      <c r="BJ88">
        <v>-0.82</v>
      </c>
      <c r="BK88">
        <v>0</v>
      </c>
      <c r="BL88">
        <v>0</v>
      </c>
      <c r="BM88">
        <v>-0.5</v>
      </c>
      <c r="BN88">
        <v>0</v>
      </c>
      <c r="BO88">
        <v>0</v>
      </c>
      <c r="BP88">
        <v>10430</v>
      </c>
      <c r="BQ88" cm="1">
        <f t="array" ref="BQ88:CH88">VLOOKUP(A88,battedball_pitchers_2019!A:U,{3,4,5,6,7,8,9,10,11,12,13,14,15,16,17,18,19,20},FALSE)</f>
        <v>0.27100000000000002</v>
      </c>
      <c r="BR88">
        <v>0.96</v>
      </c>
      <c r="BS88">
        <v>0.22800000000000001</v>
      </c>
      <c r="BT88">
        <v>0.379</v>
      </c>
      <c r="BU88">
        <v>0.39300000000000002</v>
      </c>
      <c r="BV88">
        <v>7.0000000000000007E-2</v>
      </c>
      <c r="BW88">
        <v>0.22800000000000001</v>
      </c>
      <c r="BX88">
        <v>35</v>
      </c>
      <c r="BY88">
        <v>5</v>
      </c>
      <c r="BZ88">
        <v>387</v>
      </c>
      <c r="CA88">
        <v>705</v>
      </c>
      <c r="CB88">
        <v>1092</v>
      </c>
      <c r="CC88">
        <v>0.34899999999999998</v>
      </c>
      <c r="CD88">
        <v>0.33600000000000002</v>
      </c>
      <c r="CE88">
        <v>0.315</v>
      </c>
      <c r="CF88">
        <v>0.158</v>
      </c>
      <c r="CG88">
        <v>0.53400000000000003</v>
      </c>
      <c r="CH88">
        <v>0.308</v>
      </c>
      <c r="CI88" cm="1">
        <f t="array" ref="CI88:CS88">VLOOKUP(A88,verticalmove_pitchers_2019!A:N,{3,4,5,6,7,8,9,10,11,12,13},FALSE)</f>
        <v>63</v>
      </c>
      <c r="CJ88">
        <v>6.6</v>
      </c>
      <c r="CK88">
        <v>0</v>
      </c>
      <c r="CL88">
        <v>0</v>
      </c>
      <c r="CM88">
        <v>0</v>
      </c>
      <c r="CN88">
        <v>-2.7</v>
      </c>
      <c r="CO88">
        <v>2</v>
      </c>
      <c r="CP88">
        <v>0</v>
      </c>
      <c r="CQ88">
        <v>0</v>
      </c>
      <c r="CR88">
        <v>0</v>
      </c>
      <c r="CS88">
        <v>0</v>
      </c>
      <c r="CT88" cm="1">
        <f t="array" ref="CT88:DD88">VLOOKUP(A88,velocity_pitchers_2019!A:N,{3,4,5,6,7,8,9,10,11,12,13},FALSE)</f>
        <v>63</v>
      </c>
      <c r="CU88">
        <v>95.7</v>
      </c>
      <c r="CV88">
        <v>0</v>
      </c>
      <c r="CW88">
        <v>0</v>
      </c>
      <c r="CX88">
        <v>0</v>
      </c>
      <c r="CY88">
        <v>85.1</v>
      </c>
      <c r="CZ88">
        <v>87.6</v>
      </c>
      <c r="DA88">
        <v>0</v>
      </c>
      <c r="DB88">
        <v>0</v>
      </c>
      <c r="DC88">
        <v>0</v>
      </c>
      <c r="DD88">
        <v>0</v>
      </c>
    </row>
    <row r="89" spans="1:108" x14ac:dyDescent="0.3">
      <c r="A89" t="s">
        <v>191</v>
      </c>
      <c r="B89" t="str" cm="1">
        <f t="array" ref="B89:Y89">VLOOKUP(A89,standard_pitchers_2019!A:Y,{2,3,4,5,6,7,8,9,10,11,12,13,14,15,16,17,18,19,20,21,22,23,24,25},FALSE)</f>
        <v>Angels</v>
      </c>
      <c r="C89">
        <v>6</v>
      </c>
      <c r="D89">
        <v>7</v>
      </c>
      <c r="E89">
        <v>3.98</v>
      </c>
      <c r="F89">
        <v>72</v>
      </c>
      <c r="G89">
        <v>0</v>
      </c>
      <c r="H89">
        <v>0</v>
      </c>
      <c r="I89">
        <v>0</v>
      </c>
      <c r="J89">
        <v>2</v>
      </c>
      <c r="K89">
        <v>26</v>
      </c>
      <c r="L89">
        <v>4</v>
      </c>
      <c r="M89">
        <v>72.099999999999994</v>
      </c>
      <c r="N89">
        <v>309</v>
      </c>
      <c r="O89">
        <v>69</v>
      </c>
      <c r="P89">
        <v>34</v>
      </c>
      <c r="Q89">
        <v>32</v>
      </c>
      <c r="R89">
        <v>8</v>
      </c>
      <c r="S89">
        <v>23</v>
      </c>
      <c r="T89">
        <v>0</v>
      </c>
      <c r="U89">
        <v>5</v>
      </c>
      <c r="V89">
        <v>6</v>
      </c>
      <c r="W89">
        <v>0</v>
      </c>
      <c r="X89">
        <v>84</v>
      </c>
      <c r="Y89">
        <v>14719</v>
      </c>
      <c r="Z89" cm="1">
        <f t="array" ref="Z89:AR89">VLOOKUP(A89,advanced_pitchers_2019!A:Y,{3,4,5,6,7,8,9,10,11,12,13,14,15,16,17,18,19,20,21},FALSE)</f>
        <v>10.45</v>
      </c>
      <c r="AA89">
        <v>2.86</v>
      </c>
      <c r="AB89">
        <v>3.65</v>
      </c>
      <c r="AC89">
        <v>1</v>
      </c>
      <c r="AD89">
        <v>0.27200000000000002</v>
      </c>
      <c r="AE89">
        <v>7.3999999999999996E-2</v>
      </c>
      <c r="AF89">
        <v>0.19700000000000001</v>
      </c>
      <c r="AG89">
        <v>0.246</v>
      </c>
      <c r="AH89">
        <v>1.27</v>
      </c>
      <c r="AI89">
        <v>0.32300000000000001</v>
      </c>
      <c r="AJ89">
        <v>0.73399999999999999</v>
      </c>
      <c r="AK89">
        <v>88</v>
      </c>
      <c r="AL89">
        <v>77</v>
      </c>
      <c r="AM89">
        <v>85</v>
      </c>
      <c r="AN89">
        <v>3.98</v>
      </c>
      <c r="AO89">
        <v>3.49</v>
      </c>
      <c r="AP89">
        <v>0.49</v>
      </c>
      <c r="AQ89">
        <v>3.9</v>
      </c>
      <c r="AR89">
        <v>3.58</v>
      </c>
      <c r="AS89" cm="1">
        <f t="array" ref="AS89:BA89">VLOOKUP(A89,plate_discipline_pitchers_2019!A:L,{3,4,5,6,7,8,9,10,11},FALSE)</f>
        <v>0.3</v>
      </c>
      <c r="AT89">
        <v>0.65700000000000003</v>
      </c>
      <c r="AU89">
        <v>0.46400000000000002</v>
      </c>
      <c r="AV89">
        <v>0.54800000000000004</v>
      </c>
      <c r="AW89">
        <v>0.84799999999999998</v>
      </c>
      <c r="AX89">
        <v>0.74299999999999999</v>
      </c>
      <c r="AY89">
        <v>0.45900000000000002</v>
      </c>
      <c r="AZ89">
        <v>0.58899999999999997</v>
      </c>
      <c r="BA89">
        <v>0.11899999999999999</v>
      </c>
      <c r="BB89" cm="1">
        <f t="array" ref="BB89:BP89">VLOOKUP(A89,pitchvalue_pitchers_2019!A:Q,{3,4,5,6,7,8,9,10,11,12,13,14,15,16,17},FALSE)</f>
        <v>4.8</v>
      </c>
      <c r="BC89">
        <v>0</v>
      </c>
      <c r="BD89">
        <v>0</v>
      </c>
      <c r="BE89">
        <v>3.2</v>
      </c>
      <c r="BF89">
        <v>-1.9</v>
      </c>
      <c r="BG89">
        <v>0</v>
      </c>
      <c r="BH89">
        <v>0</v>
      </c>
      <c r="BI89">
        <v>0.68</v>
      </c>
      <c r="BJ89">
        <v>0</v>
      </c>
      <c r="BK89">
        <v>0</v>
      </c>
      <c r="BL89">
        <v>0.87</v>
      </c>
      <c r="BM89">
        <v>-1.17</v>
      </c>
      <c r="BN89">
        <v>0</v>
      </c>
      <c r="BO89">
        <v>0</v>
      </c>
      <c r="BP89">
        <v>14719</v>
      </c>
      <c r="BQ89" cm="1">
        <f t="array" ref="BQ89:CH89">VLOOKUP(A89,battedball_pitchers_2019!A:U,{3,4,5,6,7,8,9,10,11,12,13,14,15,16,17,18,19,20},FALSE)</f>
        <v>0.32300000000000001</v>
      </c>
      <c r="BR89">
        <v>1.34</v>
      </c>
      <c r="BS89">
        <v>0.20300000000000001</v>
      </c>
      <c r="BT89">
        <v>0.45700000000000002</v>
      </c>
      <c r="BU89">
        <v>0.34</v>
      </c>
      <c r="BV89">
        <v>0.11899999999999999</v>
      </c>
      <c r="BW89">
        <v>0.11899999999999999</v>
      </c>
      <c r="BX89">
        <v>51</v>
      </c>
      <c r="BY89">
        <v>6.35</v>
      </c>
      <c r="BZ89">
        <v>431</v>
      </c>
      <c r="CA89">
        <v>794</v>
      </c>
      <c r="CB89">
        <v>1225</v>
      </c>
      <c r="CC89">
        <v>0.35</v>
      </c>
      <c r="CD89">
        <v>0.27900000000000003</v>
      </c>
      <c r="CE89">
        <v>0.371</v>
      </c>
      <c r="CF89">
        <v>0.13200000000000001</v>
      </c>
      <c r="CG89">
        <v>0.39100000000000001</v>
      </c>
      <c r="CH89">
        <v>0.47699999999999998</v>
      </c>
      <c r="CI89" cm="1">
        <f t="array" ref="CI89:CS89">VLOOKUP(A89,verticalmove_pitchers_2019!A:N,{3,4,5,6,7,8,9,10,11,12,13},FALSE)</f>
        <v>72.099999999999994</v>
      </c>
      <c r="CJ89">
        <v>7.6</v>
      </c>
      <c r="CK89">
        <v>0</v>
      </c>
      <c r="CL89">
        <v>0</v>
      </c>
      <c r="CM89">
        <v>3.1</v>
      </c>
      <c r="CN89">
        <v>1.5</v>
      </c>
      <c r="CO89">
        <v>-2.2000000000000002</v>
      </c>
      <c r="CP89">
        <v>0</v>
      </c>
      <c r="CQ89">
        <v>0</v>
      </c>
      <c r="CR89">
        <v>0</v>
      </c>
      <c r="CS89">
        <v>0</v>
      </c>
      <c r="CT89" cm="1">
        <f t="array" ref="CT89:DD89">VLOOKUP(A89,velocity_pitchers_2019!A:N,{3,4,5,6,7,8,9,10,11,12,13},FALSE)</f>
        <v>72.099999999999994</v>
      </c>
      <c r="CU89">
        <v>97.4</v>
      </c>
      <c r="CV89">
        <v>0</v>
      </c>
      <c r="CW89">
        <v>0</v>
      </c>
      <c r="CX89">
        <v>96.1</v>
      </c>
      <c r="CY89">
        <v>87.8</v>
      </c>
      <c r="CZ89">
        <v>84</v>
      </c>
      <c r="DA89">
        <v>0</v>
      </c>
      <c r="DB89">
        <v>0</v>
      </c>
      <c r="DC89">
        <v>0</v>
      </c>
      <c r="DD89">
        <v>0</v>
      </c>
    </row>
    <row r="90" spans="1:108" x14ac:dyDescent="0.3">
      <c r="A90" t="s">
        <v>183</v>
      </c>
      <c r="B90" t="str" cm="1">
        <f t="array" ref="B90:Y90">VLOOKUP(A90,standard_pitchers_2019!A:Y,{2,3,4,5,6,7,8,9,10,11,12,13,14,15,16,17,18,19,20,21,22,23,24,25},FALSE)</f>
        <v>Reds</v>
      </c>
      <c r="C90">
        <v>9</v>
      </c>
      <c r="D90">
        <v>9</v>
      </c>
      <c r="E90">
        <v>3.89</v>
      </c>
      <c r="F90">
        <v>31</v>
      </c>
      <c r="G90">
        <v>31</v>
      </c>
      <c r="H90">
        <v>0</v>
      </c>
      <c r="I90">
        <v>0</v>
      </c>
      <c r="J90">
        <v>0</v>
      </c>
      <c r="K90">
        <v>0</v>
      </c>
      <c r="L90">
        <v>0</v>
      </c>
      <c r="M90">
        <v>166.2</v>
      </c>
      <c r="N90">
        <v>696</v>
      </c>
      <c r="O90">
        <v>151</v>
      </c>
      <c r="P90">
        <v>77</v>
      </c>
      <c r="Q90">
        <v>72</v>
      </c>
      <c r="R90">
        <v>29</v>
      </c>
      <c r="S90">
        <v>49</v>
      </c>
      <c r="T90">
        <v>5</v>
      </c>
      <c r="U90">
        <v>4</v>
      </c>
      <c r="V90">
        <v>2</v>
      </c>
      <c r="W90">
        <v>1</v>
      </c>
      <c r="X90">
        <v>167</v>
      </c>
      <c r="Y90">
        <v>13050</v>
      </c>
      <c r="Z90" cm="1">
        <f t="array" ref="Z90:AR90">VLOOKUP(A90,advanced_pitchers_2019!A:Y,{3,4,5,6,7,8,9,10,11,12,13,14,15,16,17,18,19,20,21},FALSE)</f>
        <v>9.02</v>
      </c>
      <c r="AA90">
        <v>2.65</v>
      </c>
      <c r="AB90">
        <v>3.41</v>
      </c>
      <c r="AC90">
        <v>1.57</v>
      </c>
      <c r="AD90">
        <v>0.24</v>
      </c>
      <c r="AE90">
        <v>7.0000000000000007E-2</v>
      </c>
      <c r="AF90">
        <v>0.17</v>
      </c>
      <c r="AG90">
        <v>0.23499999999999999</v>
      </c>
      <c r="AH90">
        <v>1.2</v>
      </c>
      <c r="AI90">
        <v>0.27300000000000002</v>
      </c>
      <c r="AJ90">
        <v>0.77700000000000002</v>
      </c>
      <c r="AK90">
        <v>86</v>
      </c>
      <c r="AL90">
        <v>98</v>
      </c>
      <c r="AM90">
        <v>97</v>
      </c>
      <c r="AN90">
        <v>3.89</v>
      </c>
      <c r="AO90">
        <v>4.43</v>
      </c>
      <c r="AP90">
        <v>-0.54</v>
      </c>
      <c r="AQ90">
        <v>4.3</v>
      </c>
      <c r="AR90">
        <v>4.29</v>
      </c>
      <c r="AS90" cm="1">
        <f t="array" ref="AS90:BA90">VLOOKUP(A90,plate_discipline_pitchers_2019!A:L,{3,4,5,6,7,8,9,10,11},FALSE)</f>
        <v>0.318</v>
      </c>
      <c r="AT90">
        <v>0.69599999999999995</v>
      </c>
      <c r="AU90">
        <v>0.47899999999999998</v>
      </c>
      <c r="AV90">
        <v>0.621</v>
      </c>
      <c r="AW90">
        <v>0.89100000000000001</v>
      </c>
      <c r="AX90">
        <v>0.78900000000000003</v>
      </c>
      <c r="AY90">
        <v>0.42699999999999999</v>
      </c>
      <c r="AZ90">
        <v>0.61199999999999999</v>
      </c>
      <c r="BA90">
        <v>0.10100000000000001</v>
      </c>
      <c r="BB90" cm="1">
        <f t="array" ref="BB90:BP90">VLOOKUP(A90,pitchvalue_pitchers_2019!A:Q,{3,4,5,6,7,8,9,10,11,12,13,14,15,16,17},FALSE)</f>
        <v>4.7</v>
      </c>
      <c r="BC90">
        <v>7.7</v>
      </c>
      <c r="BD90">
        <v>0</v>
      </c>
      <c r="BE90">
        <v>-5.6</v>
      </c>
      <c r="BF90">
        <v>1.1000000000000001</v>
      </c>
      <c r="BG90">
        <v>0</v>
      </c>
      <c r="BH90">
        <v>0</v>
      </c>
      <c r="BI90">
        <v>0.32</v>
      </c>
      <c r="BJ90">
        <v>1.1200000000000001</v>
      </c>
      <c r="BK90">
        <v>0</v>
      </c>
      <c r="BL90">
        <v>-1.53</v>
      </c>
      <c r="BM90">
        <v>0.83</v>
      </c>
      <c r="BN90">
        <v>0</v>
      </c>
      <c r="BO90">
        <v>0</v>
      </c>
      <c r="BP90">
        <v>13050</v>
      </c>
      <c r="BQ90" cm="1">
        <f t="array" ref="BQ90:CH90">VLOOKUP(A90,battedball_pitchers_2019!A:U,{3,4,5,6,7,8,9,10,11,12,13,14,15,16,17,18,19,20},FALSE)</f>
        <v>0.27300000000000002</v>
      </c>
      <c r="BR90">
        <v>1.1200000000000001</v>
      </c>
      <c r="BS90">
        <v>0.188</v>
      </c>
      <c r="BT90">
        <v>0.42899999999999999</v>
      </c>
      <c r="BU90">
        <v>0.38200000000000001</v>
      </c>
      <c r="BV90">
        <v>0.106</v>
      </c>
      <c r="BW90">
        <v>0.16200000000000001</v>
      </c>
      <c r="BX90">
        <v>75</v>
      </c>
      <c r="BY90">
        <v>4.05</v>
      </c>
      <c r="BZ90">
        <v>956</v>
      </c>
      <c r="CA90">
        <v>1712</v>
      </c>
      <c r="CB90">
        <v>2668</v>
      </c>
      <c r="CC90">
        <v>0.38200000000000001</v>
      </c>
      <c r="CD90">
        <v>0.38</v>
      </c>
      <c r="CE90">
        <v>0.23699999999999999</v>
      </c>
      <c r="CF90">
        <v>0.17199999999999999</v>
      </c>
      <c r="CG90">
        <v>0.42199999999999999</v>
      </c>
      <c r="CH90">
        <v>0.40500000000000003</v>
      </c>
      <c r="CI90" cm="1">
        <f t="array" ref="CI90:CS90">VLOOKUP(A90,verticalmove_pitchers_2019!A:N,{3,4,5,6,7,8,9,10,11,12,13},FALSE)</f>
        <v>166.2</v>
      </c>
      <c r="CJ90">
        <v>8.8000000000000007</v>
      </c>
      <c r="CK90">
        <v>0</v>
      </c>
      <c r="CL90">
        <v>0</v>
      </c>
      <c r="CM90">
        <v>5.9</v>
      </c>
      <c r="CN90">
        <v>3.1</v>
      </c>
      <c r="CO90">
        <v>3.2</v>
      </c>
      <c r="CP90">
        <v>-3.9</v>
      </c>
      <c r="CQ90">
        <v>0</v>
      </c>
      <c r="CR90">
        <v>0</v>
      </c>
      <c r="CS90">
        <v>0</v>
      </c>
      <c r="CT90" cm="1">
        <f t="array" ref="CT90:DD90">VLOOKUP(A90,velocity_pitchers_2019!A:N,{3,4,5,6,7,8,9,10,11,12,13},FALSE)</f>
        <v>166.2</v>
      </c>
      <c r="CU90">
        <v>94.9</v>
      </c>
      <c r="CV90">
        <v>0</v>
      </c>
      <c r="CW90">
        <v>0</v>
      </c>
      <c r="CX90">
        <v>94.7</v>
      </c>
      <c r="CY90">
        <v>88.6</v>
      </c>
      <c r="CZ90">
        <v>89.4</v>
      </c>
      <c r="DA90">
        <v>83.2</v>
      </c>
      <c r="DB90">
        <v>0</v>
      </c>
      <c r="DC90">
        <v>0</v>
      </c>
      <c r="DD90">
        <v>0</v>
      </c>
    </row>
    <row r="91" spans="1:108" x14ac:dyDescent="0.3">
      <c r="A91" t="s">
        <v>55</v>
      </c>
      <c r="B91" t="str" cm="1">
        <f t="array" ref="B91:Y91">VLOOKUP(A91,standard_pitchers_2019!A:Y,{2,3,4,5,6,7,8,9,10,11,12,13,14,15,16,17,18,19,20,21,22,23,24,25},FALSE)</f>
        <v>Indians</v>
      </c>
      <c r="C91">
        <v>3</v>
      </c>
      <c r="D91">
        <v>4</v>
      </c>
      <c r="E91">
        <v>2.34</v>
      </c>
      <c r="F91">
        <v>10</v>
      </c>
      <c r="G91">
        <v>10</v>
      </c>
      <c r="H91">
        <v>0</v>
      </c>
      <c r="I91">
        <v>0</v>
      </c>
      <c r="J91">
        <v>0</v>
      </c>
      <c r="K91">
        <v>0</v>
      </c>
      <c r="L91">
        <v>0</v>
      </c>
      <c r="M91">
        <v>57.2</v>
      </c>
      <c r="N91">
        <v>227</v>
      </c>
      <c r="O91">
        <v>44</v>
      </c>
      <c r="P91">
        <v>18</v>
      </c>
      <c r="Q91">
        <v>15</v>
      </c>
      <c r="R91">
        <v>4</v>
      </c>
      <c r="S91">
        <v>16</v>
      </c>
      <c r="T91">
        <v>0</v>
      </c>
      <c r="U91">
        <v>1</v>
      </c>
      <c r="V91">
        <v>2</v>
      </c>
      <c r="W91">
        <v>0</v>
      </c>
      <c r="X91">
        <v>46</v>
      </c>
      <c r="Y91">
        <v>19479</v>
      </c>
      <c r="Z91" cm="1">
        <f t="array" ref="Z91:AR91">VLOOKUP(A91,advanced_pitchers_2019!A:Y,{3,4,5,6,7,8,9,10,11,12,13,14,15,16,17,18,19,20,21},FALSE)</f>
        <v>7.18</v>
      </c>
      <c r="AA91">
        <v>2.5</v>
      </c>
      <c r="AB91">
        <v>2.88</v>
      </c>
      <c r="AC91">
        <v>0.62</v>
      </c>
      <c r="AD91">
        <v>0.20300000000000001</v>
      </c>
      <c r="AE91">
        <v>7.0000000000000007E-2</v>
      </c>
      <c r="AF91">
        <v>0.13200000000000001</v>
      </c>
      <c r="AG91">
        <v>0.21</v>
      </c>
      <c r="AH91">
        <v>1.04</v>
      </c>
      <c r="AI91">
        <v>0.25</v>
      </c>
      <c r="AJ91">
        <v>0.77600000000000002</v>
      </c>
      <c r="AK91">
        <v>49</v>
      </c>
      <c r="AL91">
        <v>74</v>
      </c>
      <c r="AM91">
        <v>101</v>
      </c>
      <c r="AN91">
        <v>2.34</v>
      </c>
      <c r="AO91">
        <v>3.4</v>
      </c>
      <c r="AP91">
        <v>-1.06</v>
      </c>
      <c r="AQ91">
        <v>4.6100000000000003</v>
      </c>
      <c r="AR91">
        <v>4.74</v>
      </c>
      <c r="AS91" cm="1">
        <f t="array" ref="AS91:BA91">VLOOKUP(A91,plate_discipline_pitchers_2019!A:L,{3,4,5,6,7,8,9,10,11},FALSE)</f>
        <v>0.30499999999999999</v>
      </c>
      <c r="AT91">
        <v>0.70899999999999996</v>
      </c>
      <c r="AU91">
        <v>0.45200000000000001</v>
      </c>
      <c r="AV91">
        <v>0.73199999999999998</v>
      </c>
      <c r="AW91">
        <v>0.86</v>
      </c>
      <c r="AX91">
        <v>0.80500000000000005</v>
      </c>
      <c r="AY91">
        <v>0.36299999999999999</v>
      </c>
      <c r="AZ91">
        <v>0.61699999999999999</v>
      </c>
      <c r="BA91">
        <v>8.7999999999999995E-2</v>
      </c>
      <c r="BB91" cm="1">
        <f t="array" ref="BB91:BP91">VLOOKUP(A91,pitchvalue_pitchers_2019!A:Q,{3,4,5,6,7,8,9,10,11,12,13,14,15,16,17},FALSE)</f>
        <v>4.7</v>
      </c>
      <c r="BC91">
        <v>3.2</v>
      </c>
      <c r="BD91">
        <v>2.2000000000000002</v>
      </c>
      <c r="BE91">
        <v>-0.2</v>
      </c>
      <c r="BF91">
        <v>-0.4</v>
      </c>
      <c r="BG91">
        <v>0</v>
      </c>
      <c r="BH91">
        <v>0</v>
      </c>
      <c r="BI91">
        <v>1.42</v>
      </c>
      <c r="BJ91">
        <v>2.42</v>
      </c>
      <c r="BK91">
        <v>0.88</v>
      </c>
      <c r="BL91">
        <v>-0.18</v>
      </c>
      <c r="BM91">
        <v>-0.69</v>
      </c>
      <c r="BN91">
        <v>0</v>
      </c>
      <c r="BO91">
        <v>0</v>
      </c>
      <c r="BP91">
        <v>19479</v>
      </c>
      <c r="BQ91" cm="1">
        <f t="array" ref="BQ91:CH91">VLOOKUP(A91,battedball_pitchers_2019!A:U,{3,4,5,6,7,8,9,10,11,12,13,14,15,16,17,18,19,20},FALSE)</f>
        <v>0.25</v>
      </c>
      <c r="BR91">
        <v>1.08</v>
      </c>
      <c r="BS91">
        <v>0.221</v>
      </c>
      <c r="BT91">
        <v>0.40500000000000003</v>
      </c>
      <c r="BU91">
        <v>0.374</v>
      </c>
      <c r="BV91">
        <v>0.13100000000000001</v>
      </c>
      <c r="BW91">
        <v>6.6000000000000003E-2</v>
      </c>
      <c r="BX91">
        <v>19</v>
      </c>
      <c r="BY91">
        <v>2.97</v>
      </c>
      <c r="BZ91">
        <v>332</v>
      </c>
      <c r="CA91">
        <v>531</v>
      </c>
      <c r="CB91">
        <v>863</v>
      </c>
      <c r="CC91">
        <v>0.36599999999999999</v>
      </c>
      <c r="CD91">
        <v>0.29299999999999998</v>
      </c>
      <c r="CE91">
        <v>0.34100000000000003</v>
      </c>
      <c r="CF91">
        <v>0.17100000000000001</v>
      </c>
      <c r="CG91">
        <v>0.44500000000000001</v>
      </c>
      <c r="CH91">
        <v>0.38400000000000001</v>
      </c>
      <c r="CI91" cm="1">
        <f t="array" ref="CI91:CS91">VLOOKUP(A91,verticalmove_pitchers_2019!A:N,{3,4,5,6,7,8,9,10,11,12,13},FALSE)</f>
        <v>57.2</v>
      </c>
      <c r="CJ91">
        <v>8.5</v>
      </c>
      <c r="CK91">
        <v>4.4000000000000004</v>
      </c>
      <c r="CL91">
        <v>0</v>
      </c>
      <c r="CM91">
        <v>5.7</v>
      </c>
      <c r="CN91">
        <v>4.7</v>
      </c>
      <c r="CO91">
        <v>0.5</v>
      </c>
      <c r="CP91">
        <v>-10.5</v>
      </c>
      <c r="CQ91">
        <v>0</v>
      </c>
      <c r="CR91">
        <v>0</v>
      </c>
      <c r="CS91">
        <v>0</v>
      </c>
      <c r="CT91" cm="1">
        <f t="array" ref="CT91:DD91">VLOOKUP(A91,velocity_pitchers_2019!A:N,{3,4,5,6,7,8,9,10,11,12,13},FALSE)</f>
        <v>57.2</v>
      </c>
      <c r="CU91">
        <v>92.2</v>
      </c>
      <c r="CV91">
        <v>87.9</v>
      </c>
      <c r="CW91">
        <v>0</v>
      </c>
      <c r="CX91">
        <v>92.6</v>
      </c>
      <c r="CY91">
        <v>84.2</v>
      </c>
      <c r="CZ91">
        <v>83.6</v>
      </c>
      <c r="DA91">
        <v>75.400000000000006</v>
      </c>
      <c r="DB91">
        <v>0</v>
      </c>
      <c r="DC91">
        <v>0</v>
      </c>
      <c r="DD91">
        <v>0</v>
      </c>
    </row>
    <row r="92" spans="1:108" x14ac:dyDescent="0.3">
      <c r="A92" t="s">
        <v>273</v>
      </c>
      <c r="B92" t="str" cm="1">
        <f t="array" ref="B92:Y92">VLOOKUP(A92,standard_pitchers_2019!A:Y,{2,3,4,5,6,7,8,9,10,11,12,13,14,15,16,17,18,19,20,21,22,23,24,25},FALSE)</f>
        <v>- - -</v>
      </c>
      <c r="C92">
        <v>1</v>
      </c>
      <c r="D92">
        <v>7</v>
      </c>
      <c r="E92">
        <v>4.6500000000000004</v>
      </c>
      <c r="F92">
        <v>76</v>
      </c>
      <c r="G92">
        <v>0</v>
      </c>
      <c r="H92">
        <v>0</v>
      </c>
      <c r="I92">
        <v>0</v>
      </c>
      <c r="J92">
        <v>0</v>
      </c>
      <c r="K92">
        <v>31</v>
      </c>
      <c r="L92">
        <v>2</v>
      </c>
      <c r="M92">
        <v>62</v>
      </c>
      <c r="N92">
        <v>282</v>
      </c>
      <c r="O92">
        <v>49</v>
      </c>
      <c r="P92">
        <v>34</v>
      </c>
      <c r="Q92">
        <v>32</v>
      </c>
      <c r="R92">
        <v>3</v>
      </c>
      <c r="S92">
        <v>39</v>
      </c>
      <c r="T92">
        <v>1</v>
      </c>
      <c r="U92">
        <v>11</v>
      </c>
      <c r="V92">
        <v>6</v>
      </c>
      <c r="W92">
        <v>0</v>
      </c>
      <c r="X92">
        <v>84</v>
      </c>
      <c r="Y92">
        <v>5003</v>
      </c>
      <c r="Z92" cm="1">
        <f t="array" ref="Z92:AR92">VLOOKUP(A92,advanced_pitchers_2019!A:Y,{3,4,5,6,7,8,9,10,11,12,13,14,15,16,17,18,19,20,21},FALSE)</f>
        <v>12.19</v>
      </c>
      <c r="AA92">
        <v>5.66</v>
      </c>
      <c r="AB92">
        <v>2.15</v>
      </c>
      <c r="AC92">
        <v>0.44</v>
      </c>
      <c r="AD92">
        <v>0.29799999999999999</v>
      </c>
      <c r="AE92">
        <v>0.13800000000000001</v>
      </c>
      <c r="AF92">
        <v>0.16</v>
      </c>
      <c r="AG92">
        <v>0.21099999999999999</v>
      </c>
      <c r="AH92">
        <v>1.42</v>
      </c>
      <c r="AI92">
        <v>0.317</v>
      </c>
      <c r="AJ92">
        <v>0.68600000000000005</v>
      </c>
      <c r="AK92">
        <v>100</v>
      </c>
      <c r="AL92">
        <v>80</v>
      </c>
      <c r="AM92">
        <v>91</v>
      </c>
      <c r="AN92">
        <v>4.6500000000000004</v>
      </c>
      <c r="AO92">
        <v>3.55</v>
      </c>
      <c r="AP92">
        <v>1.0900000000000001</v>
      </c>
      <c r="AQ92">
        <v>4.1399999999999997</v>
      </c>
      <c r="AR92">
        <v>4.1100000000000003</v>
      </c>
      <c r="AS92" cm="1">
        <f t="array" ref="AS92:BA92">VLOOKUP(A92,plate_discipline_pitchers_2019!A:L,{3,4,5,6,7,8,9,10,11},FALSE)</f>
        <v>0.32300000000000001</v>
      </c>
      <c r="AT92">
        <v>0.628</v>
      </c>
      <c r="AU92">
        <v>0.45100000000000001</v>
      </c>
      <c r="AV92">
        <v>0.47399999999999998</v>
      </c>
      <c r="AW92">
        <v>0.78200000000000003</v>
      </c>
      <c r="AX92">
        <v>0.65400000000000003</v>
      </c>
      <c r="AY92">
        <v>0.42</v>
      </c>
      <c r="AZ92">
        <v>0.61699999999999999</v>
      </c>
      <c r="BA92">
        <v>0.16</v>
      </c>
      <c r="BB92" cm="1">
        <f t="array" ref="BB92:BP92">VLOOKUP(A92,pitchvalue_pitchers_2019!A:Q,{3,4,5,6,7,8,9,10,11,12,13,14,15,16,17},FALSE)</f>
        <v>4.7</v>
      </c>
      <c r="BC92">
        <v>0.8</v>
      </c>
      <c r="BD92">
        <v>0</v>
      </c>
      <c r="BE92">
        <v>0</v>
      </c>
      <c r="BF92">
        <v>0.2</v>
      </c>
      <c r="BG92">
        <v>0</v>
      </c>
      <c r="BH92">
        <v>0</v>
      </c>
      <c r="BI92">
        <v>0.71</v>
      </c>
      <c r="BJ92">
        <v>0.14000000000000001</v>
      </c>
      <c r="BK92">
        <v>0</v>
      </c>
      <c r="BL92">
        <v>0</v>
      </c>
      <c r="BM92">
        <v>7.22</v>
      </c>
      <c r="BN92">
        <v>0</v>
      </c>
      <c r="BO92">
        <v>0</v>
      </c>
      <c r="BP92">
        <v>5003</v>
      </c>
      <c r="BQ92" cm="1">
        <f t="array" ref="BQ92:CH92">VLOOKUP(A92,battedball_pitchers_2019!A:U,{3,4,5,6,7,8,9,10,11,12,13,14,15,16,17,18,19,20},FALSE)</f>
        <v>0.317</v>
      </c>
      <c r="BR92">
        <v>1.82</v>
      </c>
      <c r="BS92">
        <v>0.26700000000000002</v>
      </c>
      <c r="BT92">
        <v>0.47299999999999998</v>
      </c>
      <c r="BU92">
        <v>0.26</v>
      </c>
      <c r="BV92">
        <v>0.184</v>
      </c>
      <c r="BW92">
        <v>7.9000000000000001E-2</v>
      </c>
      <c r="BX92">
        <v>20</v>
      </c>
      <c r="BY92">
        <v>2.9</v>
      </c>
      <c r="BZ92">
        <v>441</v>
      </c>
      <c r="CA92">
        <v>743</v>
      </c>
      <c r="CB92">
        <v>1184</v>
      </c>
      <c r="CC92">
        <v>0.46600000000000003</v>
      </c>
      <c r="CD92">
        <v>0.30399999999999999</v>
      </c>
      <c r="CE92">
        <v>0.23</v>
      </c>
      <c r="CF92">
        <v>0.19600000000000001</v>
      </c>
      <c r="CG92">
        <v>0.51400000000000001</v>
      </c>
      <c r="CH92">
        <v>0.29099999999999998</v>
      </c>
      <c r="CI92" cm="1">
        <f t="array" ref="CI92:CS92">VLOOKUP(A92,verticalmove_pitchers_2019!A:N,{3,4,5,6,7,8,9,10,11,12,13},FALSE)</f>
        <v>62</v>
      </c>
      <c r="CJ92">
        <v>5.9</v>
      </c>
      <c r="CK92">
        <v>0</v>
      </c>
      <c r="CL92">
        <v>0</v>
      </c>
      <c r="CM92">
        <v>4.3</v>
      </c>
      <c r="CN92">
        <v>-0.7</v>
      </c>
      <c r="CO92">
        <v>-2.2000000000000002</v>
      </c>
      <c r="CP92">
        <v>-2.4</v>
      </c>
      <c r="CQ92">
        <v>0</v>
      </c>
      <c r="CR92">
        <v>0</v>
      </c>
      <c r="CS92">
        <v>0</v>
      </c>
      <c r="CT92" cm="1">
        <f t="array" ref="CT92:DD92">VLOOKUP(A92,velocity_pitchers_2019!A:N,{3,4,5,6,7,8,9,10,11,12,13},FALSE)</f>
        <v>62</v>
      </c>
      <c r="CU92">
        <v>96.2</v>
      </c>
      <c r="CV92">
        <v>0</v>
      </c>
      <c r="CW92">
        <v>0</v>
      </c>
      <c r="CX92">
        <v>96</v>
      </c>
      <c r="CY92">
        <v>90.5</v>
      </c>
      <c r="CZ92">
        <v>85.4</v>
      </c>
      <c r="DA92">
        <v>85</v>
      </c>
      <c r="DB92">
        <v>0</v>
      </c>
      <c r="DC92">
        <v>0</v>
      </c>
      <c r="DD92">
        <v>0</v>
      </c>
    </row>
    <row r="93" spans="1:108" x14ac:dyDescent="0.3">
      <c r="A93" t="s">
        <v>39</v>
      </c>
      <c r="B93" t="str" cm="1">
        <f t="array" ref="B93:Y93">VLOOKUP(A93,standard_pitchers_2019!A:Y,{2,3,4,5,6,7,8,9,10,11,12,13,14,15,16,17,18,19,20,21,22,23,24,25},FALSE)</f>
        <v>Yankees</v>
      </c>
      <c r="C93">
        <v>6</v>
      </c>
      <c r="D93">
        <v>5</v>
      </c>
      <c r="E93">
        <v>1.9</v>
      </c>
      <c r="F93">
        <v>73</v>
      </c>
      <c r="G93">
        <v>0</v>
      </c>
      <c r="H93">
        <v>0</v>
      </c>
      <c r="I93">
        <v>0</v>
      </c>
      <c r="J93">
        <v>2</v>
      </c>
      <c r="K93">
        <v>28</v>
      </c>
      <c r="L93">
        <v>7</v>
      </c>
      <c r="M93">
        <v>66.099999999999994</v>
      </c>
      <c r="N93">
        <v>283</v>
      </c>
      <c r="O93">
        <v>47</v>
      </c>
      <c r="P93">
        <v>17</v>
      </c>
      <c r="Q93">
        <v>14</v>
      </c>
      <c r="R93">
        <v>5</v>
      </c>
      <c r="S93">
        <v>40</v>
      </c>
      <c r="T93">
        <v>3</v>
      </c>
      <c r="U93">
        <v>2</v>
      </c>
      <c r="V93">
        <v>3</v>
      </c>
      <c r="W93">
        <v>1</v>
      </c>
      <c r="X93">
        <v>88</v>
      </c>
      <c r="Y93">
        <v>1247</v>
      </c>
      <c r="Z93" cm="1">
        <f t="array" ref="Z93:AR93">VLOOKUP(A93,advanced_pitchers_2019!A:Y,{3,4,5,6,7,8,9,10,11,12,13,14,15,16,17,18,19,20,21},FALSE)</f>
        <v>11.94</v>
      </c>
      <c r="AA93">
        <v>5.43</v>
      </c>
      <c r="AB93">
        <v>2.2000000000000002</v>
      </c>
      <c r="AC93">
        <v>0.68</v>
      </c>
      <c r="AD93">
        <v>0.311</v>
      </c>
      <c r="AE93">
        <v>0.14099999999999999</v>
      </c>
      <c r="AF93">
        <v>0.17</v>
      </c>
      <c r="AG93">
        <v>0.19500000000000001</v>
      </c>
      <c r="AH93">
        <v>1.31</v>
      </c>
      <c r="AI93">
        <v>0.28399999999999997</v>
      </c>
      <c r="AJ93">
        <v>0.878</v>
      </c>
      <c r="AK93">
        <v>41</v>
      </c>
      <c r="AL93">
        <v>74</v>
      </c>
      <c r="AM93">
        <v>94</v>
      </c>
      <c r="AN93">
        <v>1.9</v>
      </c>
      <c r="AO93">
        <v>3.44</v>
      </c>
      <c r="AP93">
        <v>-1.54</v>
      </c>
      <c r="AQ93">
        <v>4.32</v>
      </c>
      <c r="AR93">
        <v>4.09</v>
      </c>
      <c r="AS93" cm="1">
        <f t="array" ref="AS93:BA93">VLOOKUP(A93,plate_discipline_pitchers_2019!A:L,{3,4,5,6,7,8,9,10,11},FALSE)</f>
        <v>0.248</v>
      </c>
      <c r="AT93">
        <v>0.57099999999999995</v>
      </c>
      <c r="AU93">
        <v>0.38600000000000001</v>
      </c>
      <c r="AV93">
        <v>0.53300000000000003</v>
      </c>
      <c r="AW93">
        <v>0.80900000000000005</v>
      </c>
      <c r="AX93">
        <v>0.70699999999999996</v>
      </c>
      <c r="AY93">
        <v>0.42699999999999999</v>
      </c>
      <c r="AZ93">
        <v>0.53400000000000003</v>
      </c>
      <c r="BA93">
        <v>0.113</v>
      </c>
      <c r="BB93" cm="1">
        <f t="array" ref="BB93:BP93">VLOOKUP(A93,pitchvalue_pitchers_2019!A:Q,{3,4,5,6,7,8,9,10,11,12,13,14,15,16,17},FALSE)</f>
        <v>4.5</v>
      </c>
      <c r="BC93">
        <v>11.2</v>
      </c>
      <c r="BD93">
        <v>-3.2</v>
      </c>
      <c r="BE93">
        <v>0</v>
      </c>
      <c r="BF93">
        <v>0</v>
      </c>
      <c r="BG93">
        <v>0</v>
      </c>
      <c r="BH93">
        <v>0</v>
      </c>
      <c r="BI93">
        <v>0.93</v>
      </c>
      <c r="BJ93">
        <v>2.16</v>
      </c>
      <c r="BK93">
        <v>-2.04</v>
      </c>
      <c r="BL93">
        <v>0</v>
      </c>
      <c r="BM93">
        <v>0</v>
      </c>
      <c r="BN93">
        <v>0</v>
      </c>
      <c r="BO93">
        <v>0</v>
      </c>
      <c r="BP93">
        <v>1247</v>
      </c>
      <c r="BQ93" cm="1">
        <f t="array" ref="BQ93:CH93">VLOOKUP(A93,battedball_pitchers_2019!A:U,{3,4,5,6,7,8,9,10,11,12,13,14,15,16,17,18,19,20},FALSE)</f>
        <v>0.28399999999999997</v>
      </c>
      <c r="BR93">
        <v>0.97</v>
      </c>
      <c r="BS93">
        <v>0.192</v>
      </c>
      <c r="BT93">
        <v>0.39700000000000002</v>
      </c>
      <c r="BU93">
        <v>0.41099999999999998</v>
      </c>
      <c r="BV93">
        <v>9.7000000000000003E-2</v>
      </c>
      <c r="BW93">
        <v>8.1000000000000003E-2</v>
      </c>
      <c r="BX93">
        <v>50</v>
      </c>
      <c r="BY93">
        <v>6.78</v>
      </c>
      <c r="BZ93">
        <v>454</v>
      </c>
      <c r="CA93">
        <v>704</v>
      </c>
      <c r="CB93">
        <v>1158</v>
      </c>
      <c r="CC93">
        <v>0.32900000000000001</v>
      </c>
      <c r="CD93">
        <v>0.36799999999999999</v>
      </c>
      <c r="CE93">
        <v>0.30299999999999999</v>
      </c>
      <c r="CF93">
        <v>0.20399999999999999</v>
      </c>
      <c r="CG93">
        <v>0.45400000000000001</v>
      </c>
      <c r="CH93">
        <v>0.34200000000000003</v>
      </c>
      <c r="CI93" cm="1">
        <f t="array" ref="CI93:CS93">VLOOKUP(A93,verticalmove_pitchers_2019!A:N,{3,4,5,6,7,8,9,10,11,12,13},FALSE)</f>
        <v>66.099999999999994</v>
      </c>
      <c r="CJ93">
        <v>6</v>
      </c>
      <c r="CK93">
        <v>4.7</v>
      </c>
      <c r="CL93">
        <v>0</v>
      </c>
      <c r="CM93">
        <v>3.7</v>
      </c>
      <c r="CN93">
        <v>0</v>
      </c>
      <c r="CO93">
        <v>-0.2</v>
      </c>
      <c r="CP93">
        <v>0</v>
      </c>
      <c r="CQ93">
        <v>0</v>
      </c>
      <c r="CR93">
        <v>0</v>
      </c>
      <c r="CS93">
        <v>0</v>
      </c>
      <c r="CT93" cm="1">
        <f t="array" ref="CT93:DD93">VLOOKUP(A93,velocity_pitchers_2019!A:N,{3,4,5,6,7,8,9,10,11,12,13},FALSE)</f>
        <v>66.099999999999994</v>
      </c>
      <c r="CU93">
        <v>94.3</v>
      </c>
      <c r="CV93">
        <v>88.6</v>
      </c>
      <c r="CW93">
        <v>0</v>
      </c>
      <c r="CX93">
        <v>94.2</v>
      </c>
      <c r="CY93">
        <v>0</v>
      </c>
      <c r="CZ93">
        <v>82</v>
      </c>
      <c r="DA93">
        <v>0</v>
      </c>
      <c r="DB93">
        <v>0</v>
      </c>
      <c r="DC93">
        <v>0</v>
      </c>
      <c r="DD93">
        <v>0</v>
      </c>
    </row>
    <row r="94" spans="1:108" x14ac:dyDescent="0.3">
      <c r="A94" t="s">
        <v>216</v>
      </c>
      <c r="B94" t="str" cm="1">
        <f t="array" ref="B94:Y94">VLOOKUP(A94,standard_pitchers_2019!A:Y,{2,3,4,5,6,7,8,9,10,11,12,13,14,15,16,17,18,19,20,21,22,23,24,25},FALSE)</f>
        <v>Cardinals</v>
      </c>
      <c r="C94">
        <v>9</v>
      </c>
      <c r="D94">
        <v>14</v>
      </c>
      <c r="E94">
        <v>4.16</v>
      </c>
      <c r="F94">
        <v>32</v>
      </c>
      <c r="G94">
        <v>32</v>
      </c>
      <c r="H94">
        <v>1</v>
      </c>
      <c r="I94">
        <v>1</v>
      </c>
      <c r="J94">
        <v>0</v>
      </c>
      <c r="K94">
        <v>0</v>
      </c>
      <c r="L94">
        <v>0</v>
      </c>
      <c r="M94">
        <v>184</v>
      </c>
      <c r="N94">
        <v>764</v>
      </c>
      <c r="O94">
        <v>193</v>
      </c>
      <c r="P94">
        <v>90</v>
      </c>
      <c r="Q94">
        <v>85</v>
      </c>
      <c r="R94">
        <v>27</v>
      </c>
      <c r="S94">
        <v>32</v>
      </c>
      <c r="T94">
        <v>1</v>
      </c>
      <c r="U94">
        <v>12</v>
      </c>
      <c r="V94">
        <v>5</v>
      </c>
      <c r="W94">
        <v>2</v>
      </c>
      <c r="X94">
        <v>144</v>
      </c>
      <c r="Y94">
        <v>9803</v>
      </c>
      <c r="Z94" cm="1">
        <f t="array" ref="Z94:AR94">VLOOKUP(A94,advanced_pitchers_2019!A:Y,{3,4,5,6,7,8,9,10,11,12,13,14,15,16,17,18,19,20,21},FALSE)</f>
        <v>7.04</v>
      </c>
      <c r="AA94">
        <v>1.57</v>
      </c>
      <c r="AB94">
        <v>4.5</v>
      </c>
      <c r="AC94">
        <v>1.32</v>
      </c>
      <c r="AD94">
        <v>0.188</v>
      </c>
      <c r="AE94">
        <v>4.2000000000000003E-2</v>
      </c>
      <c r="AF94">
        <v>0.14699999999999999</v>
      </c>
      <c r="AG94">
        <v>0.26800000000000002</v>
      </c>
      <c r="AH94">
        <v>1.22</v>
      </c>
      <c r="AI94">
        <v>0.30199999999999999</v>
      </c>
      <c r="AJ94">
        <v>0.73799999999999999</v>
      </c>
      <c r="AK94">
        <v>98</v>
      </c>
      <c r="AL94">
        <v>99</v>
      </c>
      <c r="AM94">
        <v>94</v>
      </c>
      <c r="AN94">
        <v>4.16</v>
      </c>
      <c r="AO94">
        <v>4.2699999999999996</v>
      </c>
      <c r="AP94">
        <v>-0.12</v>
      </c>
      <c r="AQ94">
        <v>4.18</v>
      </c>
      <c r="AR94">
        <v>4.3899999999999997</v>
      </c>
      <c r="AS94" cm="1">
        <f t="array" ref="AS94:BA94">VLOOKUP(A94,plate_discipline_pitchers_2019!A:L,{3,4,5,6,7,8,9,10,11},FALSE)</f>
        <v>0.35399999999999998</v>
      </c>
      <c r="AT94">
        <v>0.65900000000000003</v>
      </c>
      <c r="AU94">
        <v>0.48899999999999999</v>
      </c>
      <c r="AV94">
        <v>0.68500000000000005</v>
      </c>
      <c r="AW94">
        <v>0.88300000000000001</v>
      </c>
      <c r="AX94">
        <v>0.80300000000000005</v>
      </c>
      <c r="AY94">
        <v>0.442</v>
      </c>
      <c r="AZ94">
        <v>0.65700000000000003</v>
      </c>
      <c r="BA94">
        <v>9.6000000000000002E-2</v>
      </c>
      <c r="BB94" cm="1">
        <f t="array" ref="BB94:BP94">VLOOKUP(A94,pitchvalue_pitchers_2019!A:Q,{3,4,5,6,7,8,9,10,11,12,13,14,15,16,17},FALSE)</f>
        <v>4.4000000000000004</v>
      </c>
      <c r="BC94">
        <v>-1.2</v>
      </c>
      <c r="BD94">
        <v>0</v>
      </c>
      <c r="BE94">
        <v>1.3</v>
      </c>
      <c r="BF94">
        <v>-1.1000000000000001</v>
      </c>
      <c r="BG94">
        <v>0.1</v>
      </c>
      <c r="BH94">
        <v>0</v>
      </c>
      <c r="BI94">
        <v>0.3</v>
      </c>
      <c r="BJ94">
        <v>-0.17</v>
      </c>
      <c r="BK94">
        <v>0</v>
      </c>
      <c r="BL94">
        <v>0.22</v>
      </c>
      <c r="BM94">
        <v>-2.85</v>
      </c>
      <c r="BN94">
        <v>0.11</v>
      </c>
      <c r="BO94">
        <v>0</v>
      </c>
      <c r="BP94">
        <v>9803</v>
      </c>
      <c r="BQ94" cm="1">
        <f t="array" ref="BQ94:CH94">VLOOKUP(A94,battedball_pitchers_2019!A:U,{3,4,5,6,7,8,9,10,11,12,13,14,15,16,17,18,19,20},FALSE)</f>
        <v>0.30199999999999999</v>
      </c>
      <c r="BR94">
        <v>1.6</v>
      </c>
      <c r="BS94">
        <v>0.23100000000000001</v>
      </c>
      <c r="BT94">
        <v>0.47399999999999998</v>
      </c>
      <c r="BU94">
        <v>0.29599999999999999</v>
      </c>
      <c r="BV94">
        <v>0.06</v>
      </c>
      <c r="BW94">
        <v>0.161</v>
      </c>
      <c r="BX94">
        <v>78</v>
      </c>
      <c r="BY94">
        <v>3.82</v>
      </c>
      <c r="BZ94">
        <v>963</v>
      </c>
      <c r="CA94">
        <v>1904</v>
      </c>
      <c r="CB94">
        <v>2867</v>
      </c>
      <c r="CC94">
        <v>0.37</v>
      </c>
      <c r="CD94">
        <v>0.373</v>
      </c>
      <c r="CE94">
        <v>0.25700000000000001</v>
      </c>
      <c r="CF94">
        <v>0.161</v>
      </c>
      <c r="CG94">
        <v>0.42699999999999999</v>
      </c>
      <c r="CH94">
        <v>0.41099999999999998</v>
      </c>
      <c r="CI94" cm="1">
        <f t="array" ref="CI94:CS94">VLOOKUP(A94,verticalmove_pitchers_2019!A:N,{3,4,5,6,7,8,9,10,11,12,13},FALSE)</f>
        <v>184</v>
      </c>
      <c r="CJ94">
        <v>8</v>
      </c>
      <c r="CK94">
        <v>0</v>
      </c>
      <c r="CL94">
        <v>0</v>
      </c>
      <c r="CM94">
        <v>6.2</v>
      </c>
      <c r="CN94">
        <v>3.2</v>
      </c>
      <c r="CO94">
        <v>0.8</v>
      </c>
      <c r="CP94">
        <v>-9.5</v>
      </c>
      <c r="CQ94">
        <v>0</v>
      </c>
      <c r="CR94">
        <v>0</v>
      </c>
      <c r="CS94">
        <v>0</v>
      </c>
      <c r="CT94" cm="1">
        <f t="array" ref="CT94:DD94">VLOOKUP(A94,velocity_pitchers_2019!A:N,{3,4,5,6,7,8,9,10,11,12,13},FALSE)</f>
        <v>184</v>
      </c>
      <c r="CU94">
        <v>93.9</v>
      </c>
      <c r="CV94">
        <v>0</v>
      </c>
      <c r="CW94">
        <v>0</v>
      </c>
      <c r="CX94">
        <v>93.7</v>
      </c>
      <c r="CY94">
        <v>88</v>
      </c>
      <c r="CZ94">
        <v>87.2</v>
      </c>
      <c r="DA94">
        <v>78.5</v>
      </c>
      <c r="DB94">
        <v>0</v>
      </c>
      <c r="DC94">
        <v>0</v>
      </c>
      <c r="DD94">
        <v>0</v>
      </c>
    </row>
    <row r="95" spans="1:108" x14ac:dyDescent="0.3">
      <c r="A95" t="s">
        <v>86</v>
      </c>
      <c r="B95" t="str" cm="1">
        <f t="array" ref="B95:Y95">VLOOKUP(A95,standard_pitchers_2019!A:Y,{2,3,4,5,6,7,8,9,10,11,12,13,14,15,16,17,18,19,20,21,22,23,24,25},FALSE)</f>
        <v>- - -</v>
      </c>
      <c r="C95">
        <v>3</v>
      </c>
      <c r="D95">
        <v>6</v>
      </c>
      <c r="E95">
        <v>2.81</v>
      </c>
      <c r="F95">
        <v>15</v>
      </c>
      <c r="G95">
        <v>15</v>
      </c>
      <c r="H95">
        <v>0</v>
      </c>
      <c r="I95">
        <v>0</v>
      </c>
      <c r="J95">
        <v>0</v>
      </c>
      <c r="K95">
        <v>0</v>
      </c>
      <c r="L95">
        <v>0</v>
      </c>
      <c r="M95">
        <v>80</v>
      </c>
      <c r="N95">
        <v>334</v>
      </c>
      <c r="O95">
        <v>62</v>
      </c>
      <c r="P95">
        <v>26</v>
      </c>
      <c r="Q95">
        <v>25</v>
      </c>
      <c r="R95">
        <v>8</v>
      </c>
      <c r="S95">
        <v>36</v>
      </c>
      <c r="T95">
        <v>1</v>
      </c>
      <c r="U95">
        <v>4</v>
      </c>
      <c r="V95">
        <v>3</v>
      </c>
      <c r="W95">
        <v>0</v>
      </c>
      <c r="X95">
        <v>96</v>
      </c>
      <c r="Y95">
        <v>19291</v>
      </c>
      <c r="Z95" cm="1">
        <f t="array" ref="Z95:AR95">VLOOKUP(A95,advanced_pitchers_2019!A:Y,{3,4,5,6,7,8,9,10,11,12,13,14,15,16,17,18,19,20,21},FALSE)</f>
        <v>10.8</v>
      </c>
      <c r="AA95">
        <v>4.05</v>
      </c>
      <c r="AB95">
        <v>2.67</v>
      </c>
      <c r="AC95">
        <v>0.9</v>
      </c>
      <c r="AD95">
        <v>0.28699999999999998</v>
      </c>
      <c r="AE95">
        <v>0.108</v>
      </c>
      <c r="AF95">
        <v>0.18</v>
      </c>
      <c r="AG95">
        <v>0.21099999999999999</v>
      </c>
      <c r="AH95">
        <v>1.23</v>
      </c>
      <c r="AI95">
        <v>0.28399999999999997</v>
      </c>
      <c r="AJ95">
        <v>0.83699999999999997</v>
      </c>
      <c r="AK95">
        <v>65</v>
      </c>
      <c r="AL95">
        <v>83</v>
      </c>
      <c r="AM95">
        <v>94</v>
      </c>
      <c r="AN95">
        <v>2.81</v>
      </c>
      <c r="AO95">
        <v>3.61</v>
      </c>
      <c r="AP95">
        <v>-0.8</v>
      </c>
      <c r="AQ95">
        <v>4.1500000000000004</v>
      </c>
      <c r="AR95">
        <v>4.24</v>
      </c>
      <c r="AS95" cm="1">
        <f t="array" ref="AS95:BA95">VLOOKUP(A95,plate_discipline_pitchers_2019!A:L,{3,4,5,6,7,8,9,10,11},FALSE)</f>
        <v>0.35299999999999998</v>
      </c>
      <c r="AT95">
        <v>0.61599999999999999</v>
      </c>
      <c r="AU95">
        <v>0.46</v>
      </c>
      <c r="AV95">
        <v>0.56999999999999995</v>
      </c>
      <c r="AW95">
        <v>0.84699999999999998</v>
      </c>
      <c r="AX95">
        <v>0.72099999999999997</v>
      </c>
      <c r="AY95">
        <v>0.40600000000000003</v>
      </c>
      <c r="AZ95">
        <v>0.67400000000000004</v>
      </c>
      <c r="BA95">
        <v>0.128</v>
      </c>
      <c r="BB95" cm="1">
        <f t="array" ref="BB95:BP95">VLOOKUP(A95,pitchvalue_pitchers_2019!A:Q,{3,4,5,6,7,8,9,10,11,12,13,14,15,16,17},FALSE)</f>
        <v>4.3</v>
      </c>
      <c r="BC95">
        <v>0</v>
      </c>
      <c r="BD95">
        <v>-3.2</v>
      </c>
      <c r="BE95">
        <v>0.9</v>
      </c>
      <c r="BF95">
        <v>6.4</v>
      </c>
      <c r="BG95">
        <v>0</v>
      </c>
      <c r="BH95">
        <v>0</v>
      </c>
      <c r="BI95">
        <v>0.63</v>
      </c>
      <c r="BJ95">
        <v>0</v>
      </c>
      <c r="BK95">
        <v>-1.49</v>
      </c>
      <c r="BL95">
        <v>0.32</v>
      </c>
      <c r="BM95">
        <v>2.87</v>
      </c>
      <c r="BN95">
        <v>0</v>
      </c>
      <c r="BO95">
        <v>0</v>
      </c>
      <c r="BP95">
        <v>19291</v>
      </c>
      <c r="BQ95" cm="1">
        <f t="array" ref="BQ95:CH95">VLOOKUP(A95,battedball_pitchers_2019!A:U,{3,4,5,6,7,8,9,10,11,12,13,14,15,16,17,18,19,20},FALSE)</f>
        <v>0.28399999999999997</v>
      </c>
      <c r="BR95">
        <v>1.04</v>
      </c>
      <c r="BS95">
        <v>0.23699999999999999</v>
      </c>
      <c r="BT95">
        <v>0.38900000000000001</v>
      </c>
      <c r="BU95">
        <v>0.374</v>
      </c>
      <c r="BV95">
        <v>2.7E-2</v>
      </c>
      <c r="BW95">
        <v>0.108</v>
      </c>
      <c r="BX95">
        <v>30</v>
      </c>
      <c r="BY95">
        <v>3.38</v>
      </c>
      <c r="BZ95">
        <v>492</v>
      </c>
      <c r="CA95">
        <v>895</v>
      </c>
      <c r="CB95">
        <v>1387</v>
      </c>
      <c r="CC95">
        <v>0.40899999999999997</v>
      </c>
      <c r="CD95">
        <v>0.29299999999999998</v>
      </c>
      <c r="CE95">
        <v>0.29799999999999999</v>
      </c>
      <c r="CF95">
        <v>0.20200000000000001</v>
      </c>
      <c r="CG95">
        <v>0.39900000000000002</v>
      </c>
      <c r="CH95">
        <v>0.39900000000000002</v>
      </c>
      <c r="CI95" cm="1">
        <f t="array" ref="CI95:CS95">VLOOKUP(A95,verticalmove_pitchers_2019!A:N,{3,4,5,6,7,8,9,10,11,12,13},FALSE)</f>
        <v>80</v>
      </c>
      <c r="CJ95">
        <v>9.4</v>
      </c>
      <c r="CK95">
        <v>0</v>
      </c>
      <c r="CL95">
        <v>0</v>
      </c>
      <c r="CM95">
        <v>6.5</v>
      </c>
      <c r="CN95">
        <v>2.2000000000000002</v>
      </c>
      <c r="CO95">
        <v>1.3</v>
      </c>
      <c r="CP95">
        <v>-6.8</v>
      </c>
      <c r="CQ95">
        <v>0</v>
      </c>
      <c r="CR95">
        <v>0</v>
      </c>
      <c r="CS95">
        <v>0</v>
      </c>
      <c r="CT95" cm="1">
        <f t="array" ref="CT95:DD95">VLOOKUP(A95,velocity_pitchers_2019!A:N,{3,4,5,6,7,8,9,10,11,12,13},FALSE)</f>
        <v>80</v>
      </c>
      <c r="CU95">
        <v>93.1</v>
      </c>
      <c r="CV95">
        <v>0</v>
      </c>
      <c r="CW95">
        <v>0</v>
      </c>
      <c r="CX95">
        <v>92.9</v>
      </c>
      <c r="CY95">
        <v>85.2</v>
      </c>
      <c r="CZ95">
        <v>87.2</v>
      </c>
      <c r="DA95">
        <v>79.400000000000006</v>
      </c>
      <c r="DB95">
        <v>0</v>
      </c>
      <c r="DC95">
        <v>0</v>
      </c>
      <c r="DD95">
        <v>0</v>
      </c>
    </row>
    <row r="96" spans="1:108" x14ac:dyDescent="0.3">
      <c r="A96" t="s">
        <v>178</v>
      </c>
      <c r="B96" t="str" cm="1">
        <f t="array" ref="B96:Y96">VLOOKUP(A96,standard_pitchers_2019!A:Y,{2,3,4,5,6,7,8,9,10,11,12,13,14,15,16,17,18,19,20,21,22,23,24,25},FALSE)</f>
        <v>Rays</v>
      </c>
      <c r="C96">
        <v>9</v>
      </c>
      <c r="D96">
        <v>5</v>
      </c>
      <c r="E96">
        <v>3.85</v>
      </c>
      <c r="F96">
        <v>26</v>
      </c>
      <c r="G96">
        <v>18</v>
      </c>
      <c r="H96">
        <v>0</v>
      </c>
      <c r="I96">
        <v>0</v>
      </c>
      <c r="J96">
        <v>0</v>
      </c>
      <c r="K96">
        <v>0</v>
      </c>
      <c r="L96">
        <v>0</v>
      </c>
      <c r="M96">
        <v>133.1</v>
      </c>
      <c r="N96">
        <v>530</v>
      </c>
      <c r="O96">
        <v>112</v>
      </c>
      <c r="P96">
        <v>61</v>
      </c>
      <c r="Q96">
        <v>57</v>
      </c>
      <c r="R96">
        <v>23</v>
      </c>
      <c r="S96">
        <v>28</v>
      </c>
      <c r="T96">
        <v>1</v>
      </c>
      <c r="U96">
        <v>3</v>
      </c>
      <c r="V96">
        <v>4</v>
      </c>
      <c r="W96">
        <v>3</v>
      </c>
      <c r="X96">
        <v>114</v>
      </c>
      <c r="Y96">
        <v>16401</v>
      </c>
      <c r="Z96" cm="1">
        <f t="array" ref="Z96:AR96">VLOOKUP(A96,advanced_pitchers_2019!A:Y,{3,4,5,6,7,8,9,10,11,12,13,14,15,16,17,18,19,20,21},FALSE)</f>
        <v>7.7</v>
      </c>
      <c r="AA96">
        <v>1.89</v>
      </c>
      <c r="AB96">
        <v>4.07</v>
      </c>
      <c r="AC96">
        <v>1.55</v>
      </c>
      <c r="AD96">
        <v>0.215</v>
      </c>
      <c r="AE96">
        <v>5.2999999999999999E-2</v>
      </c>
      <c r="AF96">
        <v>0.16200000000000001</v>
      </c>
      <c r="AG96">
        <v>0.224</v>
      </c>
      <c r="AH96">
        <v>1.05</v>
      </c>
      <c r="AI96">
        <v>0.246</v>
      </c>
      <c r="AJ96">
        <v>0.74</v>
      </c>
      <c r="AK96">
        <v>86</v>
      </c>
      <c r="AL96">
        <v>101</v>
      </c>
      <c r="AM96">
        <v>90</v>
      </c>
      <c r="AN96">
        <v>3.85</v>
      </c>
      <c r="AO96">
        <v>4.4400000000000004</v>
      </c>
      <c r="AP96">
        <v>-0.6</v>
      </c>
      <c r="AQ96">
        <v>4.0999999999999996</v>
      </c>
      <c r="AR96">
        <v>4.25</v>
      </c>
      <c r="AS96" cm="1">
        <f t="array" ref="AS96:BA96">VLOOKUP(A96,plate_discipline_pitchers_2019!A:L,{3,4,5,6,7,8,9,10,11},FALSE)</f>
        <v>0.31</v>
      </c>
      <c r="AT96">
        <v>0.72199999999999998</v>
      </c>
      <c r="AU96">
        <v>0.49299999999999999</v>
      </c>
      <c r="AV96">
        <v>0.626</v>
      </c>
      <c r="AW96">
        <v>0.871</v>
      </c>
      <c r="AX96">
        <v>0.78500000000000003</v>
      </c>
      <c r="AY96">
        <v>0.44400000000000001</v>
      </c>
      <c r="AZ96">
        <v>0.626</v>
      </c>
      <c r="BA96">
        <v>0.106</v>
      </c>
      <c r="BB96" cm="1">
        <f t="array" ref="BB96:BP96">VLOOKUP(A96,pitchvalue_pitchers_2019!A:Q,{3,4,5,6,7,8,9,10,11,12,13,14,15,16,17},FALSE)</f>
        <v>4.3</v>
      </c>
      <c r="BC96">
        <v>3.8</v>
      </c>
      <c r="BD96">
        <v>0</v>
      </c>
      <c r="BE96">
        <v>0</v>
      </c>
      <c r="BF96">
        <v>0</v>
      </c>
      <c r="BG96">
        <v>6.9</v>
      </c>
      <c r="BH96">
        <v>0</v>
      </c>
      <c r="BI96">
        <v>0.38</v>
      </c>
      <c r="BJ96">
        <v>0.89</v>
      </c>
      <c r="BK96">
        <v>0</v>
      </c>
      <c r="BL96">
        <v>0</v>
      </c>
      <c r="BM96">
        <v>0</v>
      </c>
      <c r="BN96">
        <v>1.6</v>
      </c>
      <c r="BO96">
        <v>0</v>
      </c>
      <c r="BP96">
        <v>16401</v>
      </c>
      <c r="BQ96" cm="1">
        <f t="array" ref="BQ96:CH96">VLOOKUP(A96,battedball_pitchers_2019!A:U,{3,4,5,6,7,8,9,10,11,12,13,14,15,16,17,18,19,20},FALSE)</f>
        <v>0.246</v>
      </c>
      <c r="BR96">
        <v>1.3</v>
      </c>
      <c r="BS96">
        <v>0.23400000000000001</v>
      </c>
      <c r="BT96">
        <v>0.433</v>
      </c>
      <c r="BU96">
        <v>0.33300000000000002</v>
      </c>
      <c r="BV96">
        <v>0.13400000000000001</v>
      </c>
      <c r="BW96">
        <v>0.18099999999999999</v>
      </c>
      <c r="BX96">
        <v>58</v>
      </c>
      <c r="BY96">
        <v>3.92</v>
      </c>
      <c r="BZ96">
        <v>698</v>
      </c>
      <c r="CA96">
        <v>1287</v>
      </c>
      <c r="CB96">
        <v>1985</v>
      </c>
      <c r="CC96">
        <v>0.39200000000000002</v>
      </c>
      <c r="CD96">
        <v>0.40300000000000002</v>
      </c>
      <c r="CE96">
        <v>0.20499999999999999</v>
      </c>
      <c r="CF96">
        <v>0.182</v>
      </c>
      <c r="CG96">
        <v>0.48299999999999998</v>
      </c>
      <c r="CH96">
        <v>0.33500000000000002</v>
      </c>
      <c r="CI96" cm="1">
        <f t="array" ref="CI96:CS96">VLOOKUP(A96,verticalmove_pitchers_2019!A:N,{3,4,5,6,7,8,9,10,11,12,13},FALSE)</f>
        <v>133.1</v>
      </c>
      <c r="CJ96">
        <v>9.3000000000000007</v>
      </c>
      <c r="CK96">
        <v>0</v>
      </c>
      <c r="CL96">
        <v>1.4</v>
      </c>
      <c r="CM96">
        <v>5.7</v>
      </c>
      <c r="CN96">
        <v>0</v>
      </c>
      <c r="CO96">
        <v>2.7</v>
      </c>
      <c r="CP96">
        <v>0</v>
      </c>
      <c r="CQ96">
        <v>0</v>
      </c>
      <c r="CR96">
        <v>0</v>
      </c>
      <c r="CS96">
        <v>0</v>
      </c>
      <c r="CT96" cm="1">
        <f t="array" ref="CT96:DD96">VLOOKUP(A96,velocity_pitchers_2019!A:N,{3,4,5,6,7,8,9,10,11,12,13},FALSE)</f>
        <v>133.1</v>
      </c>
      <c r="CU96">
        <v>94.6</v>
      </c>
      <c r="CV96">
        <v>0</v>
      </c>
      <c r="CW96">
        <v>85.9</v>
      </c>
      <c r="CX96">
        <v>94.1</v>
      </c>
      <c r="CY96">
        <v>0</v>
      </c>
      <c r="CZ96">
        <v>87.9</v>
      </c>
      <c r="DA96">
        <v>0</v>
      </c>
      <c r="DB96">
        <v>0</v>
      </c>
      <c r="DC96">
        <v>0</v>
      </c>
      <c r="DD96">
        <v>0</v>
      </c>
    </row>
    <row r="97" spans="1:108" x14ac:dyDescent="0.3">
      <c r="A97" t="s">
        <v>245</v>
      </c>
      <c r="B97" t="str" cm="1">
        <f t="array" ref="B97:Y97">VLOOKUP(A97,standard_pitchers_2019!A:Y,{2,3,4,5,6,7,8,9,10,11,12,13,14,15,16,17,18,19,20,21,22,23,24,25},FALSE)</f>
        <v>Indians</v>
      </c>
      <c r="C97">
        <v>6</v>
      </c>
      <c r="D97">
        <v>3</v>
      </c>
      <c r="E97">
        <v>4.45</v>
      </c>
      <c r="F97">
        <v>68</v>
      </c>
      <c r="G97">
        <v>0</v>
      </c>
      <c r="H97">
        <v>0</v>
      </c>
      <c r="I97">
        <v>0</v>
      </c>
      <c r="J97">
        <v>1</v>
      </c>
      <c r="K97">
        <v>19</v>
      </c>
      <c r="L97">
        <v>2</v>
      </c>
      <c r="M97">
        <v>56.2</v>
      </c>
      <c r="N97">
        <v>244</v>
      </c>
      <c r="O97">
        <v>56</v>
      </c>
      <c r="P97">
        <v>29</v>
      </c>
      <c r="Q97">
        <v>28</v>
      </c>
      <c r="R97">
        <v>6</v>
      </c>
      <c r="S97">
        <v>19</v>
      </c>
      <c r="T97">
        <v>2</v>
      </c>
      <c r="U97">
        <v>4</v>
      </c>
      <c r="V97">
        <v>0</v>
      </c>
      <c r="W97">
        <v>0</v>
      </c>
      <c r="X97">
        <v>41</v>
      </c>
      <c r="Y97">
        <v>15288</v>
      </c>
      <c r="Z97" cm="1">
        <f t="array" ref="Z97:AR97">VLOOKUP(A97,advanced_pitchers_2019!A:Y,{3,4,5,6,7,8,9,10,11,12,13,14,15,16,17,18,19,20,21},FALSE)</f>
        <v>6.51</v>
      </c>
      <c r="AA97">
        <v>3.02</v>
      </c>
      <c r="AB97">
        <v>2.16</v>
      </c>
      <c r="AC97">
        <v>0.95</v>
      </c>
      <c r="AD97">
        <v>0.16800000000000001</v>
      </c>
      <c r="AE97">
        <v>7.8E-2</v>
      </c>
      <c r="AF97">
        <v>0.09</v>
      </c>
      <c r="AG97">
        <v>0.253</v>
      </c>
      <c r="AH97">
        <v>1.32</v>
      </c>
      <c r="AI97">
        <v>0.28699999999999998</v>
      </c>
      <c r="AJ97">
        <v>0.70799999999999996</v>
      </c>
      <c r="AK97">
        <v>92</v>
      </c>
      <c r="AL97">
        <v>95</v>
      </c>
      <c r="AM97">
        <v>97</v>
      </c>
      <c r="AN97">
        <v>4.45</v>
      </c>
      <c r="AO97">
        <v>4.3600000000000003</v>
      </c>
      <c r="AP97">
        <v>0.09</v>
      </c>
      <c r="AQ97">
        <v>4.46</v>
      </c>
      <c r="AR97">
        <v>4.3899999999999997</v>
      </c>
      <c r="AS97" cm="1">
        <f t="array" ref="AS97:BA97">VLOOKUP(A97,plate_discipline_pitchers_2019!A:L,{3,4,5,6,7,8,9,10,11},FALSE)</f>
        <v>0.35499999999999998</v>
      </c>
      <c r="AT97">
        <v>0.70599999999999996</v>
      </c>
      <c r="AU97">
        <v>0.50700000000000001</v>
      </c>
      <c r="AV97">
        <v>0.73899999999999999</v>
      </c>
      <c r="AW97">
        <v>0.85599999999999998</v>
      </c>
      <c r="AX97">
        <v>0.80900000000000005</v>
      </c>
      <c r="AY97">
        <v>0.432</v>
      </c>
      <c r="AZ97">
        <v>0.66</v>
      </c>
      <c r="BA97">
        <v>9.7000000000000003E-2</v>
      </c>
      <c r="BB97" cm="1">
        <f t="array" ref="BB97:BP97">VLOOKUP(A97,pitchvalue_pitchers_2019!A:Q,{3,4,5,6,7,8,9,10,11,12,13,14,15,16,17},FALSE)</f>
        <v>4.3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0.79</v>
      </c>
      <c r="BJ97">
        <v>-0.01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15288</v>
      </c>
      <c r="BQ97" cm="1">
        <f t="array" ref="BQ97:CH97">VLOOKUP(A97,battedball_pitchers_2019!A:U,{3,4,5,6,7,8,9,10,11,12,13,14,15,16,17,18,19,20},FALSE)</f>
        <v>0.28699999999999998</v>
      </c>
      <c r="BR97">
        <v>2.36</v>
      </c>
      <c r="BS97">
        <v>0.20300000000000001</v>
      </c>
      <c r="BT97">
        <v>0.55900000000000005</v>
      </c>
      <c r="BU97">
        <v>0.23699999999999999</v>
      </c>
      <c r="BV97">
        <v>9.5000000000000001E-2</v>
      </c>
      <c r="BW97">
        <v>0.14299999999999999</v>
      </c>
      <c r="BX97">
        <v>45</v>
      </c>
      <c r="BY97">
        <v>7.15</v>
      </c>
      <c r="BZ97">
        <v>257</v>
      </c>
      <c r="CA97">
        <v>540</v>
      </c>
      <c r="CB97">
        <v>797</v>
      </c>
      <c r="CC97">
        <v>0.378</v>
      </c>
      <c r="CD97">
        <v>0.36099999999999999</v>
      </c>
      <c r="CE97">
        <v>0.26100000000000001</v>
      </c>
      <c r="CF97">
        <v>0.2</v>
      </c>
      <c r="CG97">
        <v>0.42799999999999999</v>
      </c>
      <c r="CH97">
        <v>0.372</v>
      </c>
      <c r="CI97" cm="1">
        <f t="array" ref="CI97:CS97">VLOOKUP(A97,verticalmove_pitchers_2019!A:N,{3,4,5,6,7,8,9,10,11,12,13},FALSE)</f>
        <v>56.2</v>
      </c>
      <c r="CJ97">
        <v>-2.5</v>
      </c>
      <c r="CK97">
        <v>0</v>
      </c>
      <c r="CL97">
        <v>0</v>
      </c>
      <c r="CM97">
        <v>-4.3</v>
      </c>
      <c r="CN97">
        <v>0</v>
      </c>
      <c r="CO97">
        <v>0.6</v>
      </c>
      <c r="CP97">
        <v>0</v>
      </c>
      <c r="CQ97">
        <v>0</v>
      </c>
      <c r="CR97">
        <v>0</v>
      </c>
      <c r="CS97">
        <v>0</v>
      </c>
      <c r="CT97" cm="1">
        <f t="array" ref="CT97:DD97">VLOOKUP(A97,velocity_pitchers_2019!A:N,{3,4,5,6,7,8,9,10,11,12,13},FALSE)</f>
        <v>56.2</v>
      </c>
      <c r="CU97">
        <v>82.2</v>
      </c>
      <c r="CV97">
        <v>0</v>
      </c>
      <c r="CW97">
        <v>0</v>
      </c>
      <c r="CX97">
        <v>85.5</v>
      </c>
      <c r="CY97">
        <v>0</v>
      </c>
      <c r="CZ97">
        <v>75.7</v>
      </c>
      <c r="DA97">
        <v>0</v>
      </c>
      <c r="DB97">
        <v>0</v>
      </c>
      <c r="DC97">
        <v>0</v>
      </c>
      <c r="DD97">
        <v>0</v>
      </c>
    </row>
    <row r="98" spans="1:108" x14ac:dyDescent="0.3">
      <c r="A98" t="s">
        <v>241</v>
      </c>
      <c r="B98" t="str" cm="1">
        <f t="array" ref="B98:Y98">VLOOKUP(A98,standard_pitchers_2019!A:Y,{2,3,4,5,6,7,8,9,10,11,12,13,14,15,16,17,18,19,20,21,22,23,24,25},FALSE)</f>
        <v>Diamondbacks</v>
      </c>
      <c r="C98">
        <v>13</v>
      </c>
      <c r="D98">
        <v>14</v>
      </c>
      <c r="E98">
        <v>4.42</v>
      </c>
      <c r="F98">
        <v>32</v>
      </c>
      <c r="G98">
        <v>32</v>
      </c>
      <c r="H98">
        <v>0</v>
      </c>
      <c r="I98">
        <v>0</v>
      </c>
      <c r="J98">
        <v>0</v>
      </c>
      <c r="K98">
        <v>0</v>
      </c>
      <c r="L98">
        <v>0</v>
      </c>
      <c r="M98">
        <v>183.1</v>
      </c>
      <c r="N98">
        <v>777</v>
      </c>
      <c r="O98">
        <v>184</v>
      </c>
      <c r="P98">
        <v>95</v>
      </c>
      <c r="Q98">
        <v>90</v>
      </c>
      <c r="R98">
        <v>29</v>
      </c>
      <c r="S98">
        <v>57</v>
      </c>
      <c r="T98">
        <v>4</v>
      </c>
      <c r="U98">
        <v>2</v>
      </c>
      <c r="V98">
        <v>4</v>
      </c>
      <c r="W98">
        <v>0</v>
      </c>
      <c r="X98">
        <v>158</v>
      </c>
      <c r="Y98">
        <v>11156</v>
      </c>
      <c r="Z98" cm="1">
        <f t="array" ref="Z98:AR98">VLOOKUP(A98,advanced_pitchers_2019!A:Y,{3,4,5,6,7,8,9,10,11,12,13,14,15,16,17,18,19,20,21},FALSE)</f>
        <v>7.76</v>
      </c>
      <c r="AA98">
        <v>2.8</v>
      </c>
      <c r="AB98">
        <v>2.77</v>
      </c>
      <c r="AC98">
        <v>1.42</v>
      </c>
      <c r="AD98">
        <v>0.20300000000000001</v>
      </c>
      <c r="AE98">
        <v>7.2999999999999995E-2</v>
      </c>
      <c r="AF98">
        <v>0.13</v>
      </c>
      <c r="AG98">
        <v>0.25600000000000001</v>
      </c>
      <c r="AH98">
        <v>1.31</v>
      </c>
      <c r="AI98">
        <v>0.29199999999999998</v>
      </c>
      <c r="AJ98">
        <v>0.73099999999999998</v>
      </c>
      <c r="AK98">
        <v>100</v>
      </c>
      <c r="AL98">
        <v>103</v>
      </c>
      <c r="AM98">
        <v>103</v>
      </c>
      <c r="AN98">
        <v>4.42</v>
      </c>
      <c r="AO98">
        <v>4.51</v>
      </c>
      <c r="AP98">
        <v>-0.09</v>
      </c>
      <c r="AQ98">
        <v>4.58</v>
      </c>
      <c r="AR98">
        <v>4.7300000000000004</v>
      </c>
      <c r="AS98" cm="1">
        <f t="array" ref="AS98:BA98">VLOOKUP(A98,plate_discipline_pitchers_2019!A:L,{3,4,5,6,7,8,9,10,11},FALSE)</f>
        <v>0.308</v>
      </c>
      <c r="AT98">
        <v>0.69499999999999995</v>
      </c>
      <c r="AU98">
        <v>0.46800000000000003</v>
      </c>
      <c r="AV98">
        <v>0.67900000000000005</v>
      </c>
      <c r="AW98">
        <v>0.86099999999999999</v>
      </c>
      <c r="AX98">
        <v>0.79100000000000004</v>
      </c>
      <c r="AY98">
        <v>0.41399999999999998</v>
      </c>
      <c r="AZ98">
        <v>0.58299999999999996</v>
      </c>
      <c r="BA98">
        <v>9.8000000000000004E-2</v>
      </c>
      <c r="BB98" cm="1">
        <f t="array" ref="BB98:BP98">VLOOKUP(A98,pitchvalue_pitchers_2019!A:Q,{3,4,5,6,7,8,9,10,11,12,13,14,15,16,17},FALSE)</f>
        <v>4.0999999999999996</v>
      </c>
      <c r="BC98">
        <v>0</v>
      </c>
      <c r="BD98">
        <v>2.7</v>
      </c>
      <c r="BE98">
        <v>0.7</v>
      </c>
      <c r="BF98">
        <v>-4.3</v>
      </c>
      <c r="BG98">
        <v>0</v>
      </c>
      <c r="BH98">
        <v>0</v>
      </c>
      <c r="BI98">
        <v>0.3</v>
      </c>
      <c r="BJ98">
        <v>0</v>
      </c>
      <c r="BK98">
        <v>0.48</v>
      </c>
      <c r="BL98">
        <v>0.11</v>
      </c>
      <c r="BM98">
        <v>-1.0900000000000001</v>
      </c>
      <c r="BN98">
        <v>0</v>
      </c>
      <c r="BO98">
        <v>0</v>
      </c>
      <c r="BP98">
        <v>11156</v>
      </c>
      <c r="BQ98" cm="1">
        <f t="array" ref="BQ98:CH98">VLOOKUP(A98,battedball_pitchers_2019!A:U,{3,4,5,6,7,8,9,10,11,12,13,14,15,16,17,18,19,20},FALSE)</f>
        <v>0.29199999999999998</v>
      </c>
      <c r="BR98">
        <v>1.18</v>
      </c>
      <c r="BS98">
        <v>0.224</v>
      </c>
      <c r="BT98">
        <v>0.42</v>
      </c>
      <c r="BU98">
        <v>0.35599999999999998</v>
      </c>
      <c r="BV98">
        <v>6.6000000000000003E-2</v>
      </c>
      <c r="BW98">
        <v>0.14799999999999999</v>
      </c>
      <c r="BX98">
        <v>99</v>
      </c>
      <c r="BY98">
        <v>4.8600000000000003</v>
      </c>
      <c r="BZ98">
        <v>1064</v>
      </c>
      <c r="CA98">
        <v>1898</v>
      </c>
      <c r="CB98">
        <v>2962</v>
      </c>
      <c r="CC98">
        <v>0.45700000000000002</v>
      </c>
      <c r="CD98">
        <v>0.31</v>
      </c>
      <c r="CE98">
        <v>0.23300000000000001</v>
      </c>
      <c r="CF98">
        <v>0.127</v>
      </c>
      <c r="CG98">
        <v>0.44600000000000001</v>
      </c>
      <c r="CH98">
        <v>0.42699999999999999</v>
      </c>
      <c r="CI98" cm="1">
        <f t="array" ref="CI98:CS98">VLOOKUP(A98,verticalmove_pitchers_2019!A:N,{3,4,5,6,7,8,9,10,11,12,13},FALSE)</f>
        <v>183.1</v>
      </c>
      <c r="CJ98">
        <v>8.3000000000000007</v>
      </c>
      <c r="CK98">
        <v>5.7</v>
      </c>
      <c r="CL98">
        <v>0</v>
      </c>
      <c r="CM98">
        <v>4.5999999999999996</v>
      </c>
      <c r="CN98">
        <v>7</v>
      </c>
      <c r="CO98">
        <v>7.4</v>
      </c>
      <c r="CP98">
        <v>-8</v>
      </c>
      <c r="CQ98">
        <v>0</v>
      </c>
      <c r="CR98">
        <v>0</v>
      </c>
      <c r="CS98">
        <v>0</v>
      </c>
      <c r="CT98" cm="1">
        <f t="array" ref="CT98:DD98">VLOOKUP(A98,velocity_pitchers_2019!A:N,{3,4,5,6,7,8,9,10,11,12,13},FALSE)</f>
        <v>183.1</v>
      </c>
      <c r="CU98">
        <v>92.3</v>
      </c>
      <c r="CV98">
        <v>90.2</v>
      </c>
      <c r="CW98">
        <v>0</v>
      </c>
      <c r="CX98">
        <v>91.7</v>
      </c>
      <c r="CY98">
        <v>86.2</v>
      </c>
      <c r="CZ98">
        <v>90.3</v>
      </c>
      <c r="DA98">
        <v>80.8</v>
      </c>
      <c r="DB98">
        <v>0</v>
      </c>
      <c r="DC98">
        <v>0</v>
      </c>
      <c r="DD98">
        <v>0</v>
      </c>
    </row>
    <row r="99" spans="1:108" x14ac:dyDescent="0.3">
      <c r="A99" t="s">
        <v>155</v>
      </c>
      <c r="B99" t="str" cm="1">
        <f t="array" ref="B99:Y99">VLOOKUP(A99,standard_pitchers_2019!A:Y,{2,3,4,5,6,7,8,9,10,11,12,13,14,15,16,17,18,19,20,21,22,23,24,25},FALSE)</f>
        <v>Dodgers</v>
      </c>
      <c r="C99">
        <v>5</v>
      </c>
      <c r="D99">
        <v>3</v>
      </c>
      <c r="E99">
        <v>3.71</v>
      </c>
      <c r="F99">
        <v>62</v>
      </c>
      <c r="G99">
        <v>0</v>
      </c>
      <c r="H99">
        <v>0</v>
      </c>
      <c r="I99">
        <v>0</v>
      </c>
      <c r="J99">
        <v>33</v>
      </c>
      <c r="K99">
        <v>0</v>
      </c>
      <c r="L99">
        <v>8</v>
      </c>
      <c r="M99">
        <v>63</v>
      </c>
      <c r="N99">
        <v>263</v>
      </c>
      <c r="O99">
        <v>51</v>
      </c>
      <c r="P99">
        <v>28</v>
      </c>
      <c r="Q99">
        <v>26</v>
      </c>
      <c r="R99">
        <v>9</v>
      </c>
      <c r="S99">
        <v>16</v>
      </c>
      <c r="T99">
        <v>0</v>
      </c>
      <c r="U99">
        <v>4</v>
      </c>
      <c r="V99">
        <v>2</v>
      </c>
      <c r="W99">
        <v>3</v>
      </c>
      <c r="X99">
        <v>80</v>
      </c>
      <c r="Y99">
        <v>3096</v>
      </c>
      <c r="Z99" cm="1">
        <f t="array" ref="Z99:AR99">VLOOKUP(A99,advanced_pitchers_2019!A:Y,{3,4,5,6,7,8,9,10,11,12,13,14,15,16,17,18,19,20,21},FALSE)</f>
        <v>11.43</v>
      </c>
      <c r="AA99">
        <v>2.29</v>
      </c>
      <c r="AB99">
        <v>5</v>
      </c>
      <c r="AC99">
        <v>1.29</v>
      </c>
      <c r="AD99">
        <v>0.30399999999999999</v>
      </c>
      <c r="AE99">
        <v>6.0999999999999999E-2</v>
      </c>
      <c r="AF99">
        <v>0.24299999999999999</v>
      </c>
      <c r="AG99">
        <v>0.21</v>
      </c>
      <c r="AH99">
        <v>1.06</v>
      </c>
      <c r="AI99">
        <v>0.27300000000000002</v>
      </c>
      <c r="AJ99">
        <v>0.73599999999999999</v>
      </c>
      <c r="AK99">
        <v>89</v>
      </c>
      <c r="AL99">
        <v>80</v>
      </c>
      <c r="AM99">
        <v>85</v>
      </c>
      <c r="AN99">
        <v>3.71</v>
      </c>
      <c r="AO99">
        <v>3.48</v>
      </c>
      <c r="AP99">
        <v>0.23</v>
      </c>
      <c r="AQ99">
        <v>3.77</v>
      </c>
      <c r="AR99">
        <v>3.21</v>
      </c>
      <c r="AS99" cm="1">
        <f t="array" ref="AS99:BA99">VLOOKUP(A99,plate_discipline_pitchers_2019!A:L,{3,4,5,6,7,8,9,10,11},FALSE)</f>
        <v>0.38100000000000001</v>
      </c>
      <c r="AT99">
        <v>0.71199999999999997</v>
      </c>
      <c r="AU99">
        <v>0.53200000000000003</v>
      </c>
      <c r="AV99">
        <v>0.58099999999999996</v>
      </c>
      <c r="AW99">
        <v>0.78300000000000003</v>
      </c>
      <c r="AX99">
        <v>0.70399999999999996</v>
      </c>
      <c r="AY99">
        <v>0.45500000000000002</v>
      </c>
      <c r="AZ99">
        <v>0.68100000000000005</v>
      </c>
      <c r="BA99">
        <v>0.157</v>
      </c>
      <c r="BB99" cm="1">
        <f t="array" ref="BB99:BP99">VLOOKUP(A99,pitchvalue_pitchers_2019!A:Q,{3,4,5,6,7,8,9,10,11,12,13,14,15,16,17},FALSE)</f>
        <v>4</v>
      </c>
      <c r="BC99">
        <v>2.4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0.43</v>
      </c>
      <c r="BJ99">
        <v>1.83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3096</v>
      </c>
      <c r="BQ99" cm="1">
        <f t="array" ref="BQ99:CH99">VLOOKUP(A99,battedball_pitchers_2019!A:U,{3,4,5,6,7,8,9,10,11,12,13,14,15,16,17,18,19,20},FALSE)</f>
        <v>0.27300000000000002</v>
      </c>
      <c r="BR99">
        <v>0.75</v>
      </c>
      <c r="BS99">
        <v>0.24199999999999999</v>
      </c>
      <c r="BT99">
        <v>0.32500000000000001</v>
      </c>
      <c r="BU99">
        <v>0.433</v>
      </c>
      <c r="BV99">
        <v>0.16200000000000001</v>
      </c>
      <c r="BW99">
        <v>0.13200000000000001</v>
      </c>
      <c r="BX99">
        <v>16</v>
      </c>
      <c r="BY99">
        <v>2.29</v>
      </c>
      <c r="BZ99">
        <v>327</v>
      </c>
      <c r="CA99">
        <v>741</v>
      </c>
      <c r="CB99">
        <v>1068</v>
      </c>
      <c r="CC99">
        <v>0.42899999999999999</v>
      </c>
      <c r="CD99">
        <v>0.313</v>
      </c>
      <c r="CE99">
        <v>0.25800000000000001</v>
      </c>
      <c r="CF99">
        <v>0.17199999999999999</v>
      </c>
      <c r="CG99">
        <v>0.442</v>
      </c>
      <c r="CH99">
        <v>0.38700000000000001</v>
      </c>
      <c r="CI99" cm="1">
        <f t="array" ref="CI99:CS99">VLOOKUP(A99,verticalmove_pitchers_2019!A:N,{3,4,5,6,7,8,9,10,11,12,13},FALSE)</f>
        <v>63</v>
      </c>
      <c r="CJ99">
        <v>0</v>
      </c>
      <c r="CK99">
        <v>8</v>
      </c>
      <c r="CL99">
        <v>0</v>
      </c>
      <c r="CM99">
        <v>9.6</v>
      </c>
      <c r="CN99">
        <v>0</v>
      </c>
      <c r="CO99">
        <v>-2.9</v>
      </c>
      <c r="CP99">
        <v>0</v>
      </c>
      <c r="CQ99">
        <v>0</v>
      </c>
      <c r="CR99">
        <v>0</v>
      </c>
      <c r="CS99">
        <v>0</v>
      </c>
      <c r="CT99" cm="1">
        <f t="array" ref="CT99:DD99">VLOOKUP(A99,velocity_pitchers_2019!A:N,{3,4,5,6,7,8,9,10,11,12,13},FALSE)</f>
        <v>63</v>
      </c>
      <c r="CU99">
        <v>0</v>
      </c>
      <c r="CV99">
        <v>92.1</v>
      </c>
      <c r="CW99">
        <v>0</v>
      </c>
      <c r="CX99">
        <v>93.5</v>
      </c>
      <c r="CY99">
        <v>0</v>
      </c>
      <c r="CZ99">
        <v>82</v>
      </c>
      <c r="DA99">
        <v>0</v>
      </c>
      <c r="DB99">
        <v>0</v>
      </c>
      <c r="DC99">
        <v>0</v>
      </c>
      <c r="DD99">
        <v>0</v>
      </c>
    </row>
    <row r="100" spans="1:108" x14ac:dyDescent="0.3">
      <c r="A100" t="s">
        <v>124</v>
      </c>
      <c r="B100" t="str" cm="1">
        <f t="array" ref="B100:Y100">VLOOKUP(A100,standard_pitchers_2019!A:Y,{2,3,4,5,6,7,8,9,10,11,12,13,14,15,16,17,18,19,20,21,22,23,24,25},FALSE)</f>
        <v>Reds</v>
      </c>
      <c r="C100">
        <v>15</v>
      </c>
      <c r="D100">
        <v>8</v>
      </c>
      <c r="E100">
        <v>3.4</v>
      </c>
      <c r="F100">
        <v>32</v>
      </c>
      <c r="G100">
        <v>32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190.2</v>
      </c>
      <c r="N100">
        <v>781</v>
      </c>
      <c r="O100">
        <v>139</v>
      </c>
      <c r="P100">
        <v>76</v>
      </c>
      <c r="Q100">
        <v>72</v>
      </c>
      <c r="R100">
        <v>22</v>
      </c>
      <c r="S100">
        <v>79</v>
      </c>
      <c r="T100">
        <v>0</v>
      </c>
      <c r="U100">
        <v>7</v>
      </c>
      <c r="V100">
        <v>5</v>
      </c>
      <c r="W100">
        <v>3</v>
      </c>
      <c r="X100">
        <v>226</v>
      </c>
      <c r="Y100">
        <v>15689</v>
      </c>
      <c r="Z100" cm="1">
        <f t="array" ref="Z100:AR100">VLOOKUP(A100,advanced_pitchers_2019!A:Y,{3,4,5,6,7,8,9,10,11,12,13,14,15,16,17,18,19,20,21},FALSE)</f>
        <v>10.67</v>
      </c>
      <c r="AA100">
        <v>3.73</v>
      </c>
      <c r="AB100">
        <v>2.86</v>
      </c>
      <c r="AC100">
        <v>1.04</v>
      </c>
      <c r="AD100">
        <v>0.28899999999999998</v>
      </c>
      <c r="AE100">
        <v>0.10100000000000001</v>
      </c>
      <c r="AF100">
        <v>0.188</v>
      </c>
      <c r="AG100">
        <v>0.2</v>
      </c>
      <c r="AH100">
        <v>1.1399999999999999</v>
      </c>
      <c r="AI100">
        <v>0.26200000000000001</v>
      </c>
      <c r="AJ100">
        <v>0.76700000000000002</v>
      </c>
      <c r="AK100">
        <v>76</v>
      </c>
      <c r="AL100">
        <v>81</v>
      </c>
      <c r="AM100">
        <v>78</v>
      </c>
      <c r="AN100">
        <v>3.4</v>
      </c>
      <c r="AO100">
        <v>3.7</v>
      </c>
      <c r="AP100">
        <v>-0.3</v>
      </c>
      <c r="AQ100">
        <v>3.48</v>
      </c>
      <c r="AR100">
        <v>3.95</v>
      </c>
      <c r="AS100" cm="1">
        <f t="array" ref="AS100:BA100">VLOOKUP(A100,plate_discipline_pitchers_2019!A:L,{3,4,5,6,7,8,9,10,11},FALSE)</f>
        <v>0.33700000000000002</v>
      </c>
      <c r="AT100">
        <v>0.69499999999999995</v>
      </c>
      <c r="AU100">
        <v>0.46600000000000003</v>
      </c>
      <c r="AV100">
        <v>0.5</v>
      </c>
      <c r="AW100">
        <v>0.79400000000000004</v>
      </c>
      <c r="AX100">
        <v>0.65900000000000003</v>
      </c>
      <c r="AY100">
        <v>0.36199999999999999</v>
      </c>
      <c r="AZ100">
        <v>0.56299999999999994</v>
      </c>
      <c r="BA100">
        <v>0.159</v>
      </c>
      <c r="BB100" cm="1">
        <f t="array" ref="BB100:BP100">VLOOKUP(A100,pitchvalue_pitchers_2019!A:Q,{3,4,5,6,7,8,9,10,11,12,13,14,15,16,17},FALSE)</f>
        <v>3.9</v>
      </c>
      <c r="BC100">
        <v>-0.6</v>
      </c>
      <c r="BD100">
        <v>0</v>
      </c>
      <c r="BE100">
        <v>0</v>
      </c>
      <c r="BF100">
        <v>29.4</v>
      </c>
      <c r="BG100">
        <v>0</v>
      </c>
      <c r="BH100">
        <v>0</v>
      </c>
      <c r="BI100">
        <v>0.24</v>
      </c>
      <c r="BJ100">
        <v>-0.12</v>
      </c>
      <c r="BK100">
        <v>0</v>
      </c>
      <c r="BL100">
        <v>0</v>
      </c>
      <c r="BM100">
        <v>2.87</v>
      </c>
      <c r="BN100">
        <v>0</v>
      </c>
      <c r="BO100">
        <v>0</v>
      </c>
      <c r="BP100">
        <v>15689</v>
      </c>
      <c r="BQ100" cm="1">
        <f t="array" ref="BQ100:CH100">VLOOKUP(A100,battedball_pitchers_2019!A:U,{3,4,5,6,7,8,9,10,11,12,13,14,15,16,17,18,19,20},FALSE)</f>
        <v>0.26200000000000001</v>
      </c>
      <c r="BR100">
        <v>2.0699999999999998</v>
      </c>
      <c r="BS100">
        <v>0.18</v>
      </c>
      <c r="BT100">
        <v>0.55200000000000005</v>
      </c>
      <c r="BU100">
        <v>0.26700000000000002</v>
      </c>
      <c r="BV100">
        <v>8.8999999999999996E-2</v>
      </c>
      <c r="BW100">
        <v>0.17899999999999999</v>
      </c>
      <c r="BX100">
        <v>100</v>
      </c>
      <c r="BY100">
        <v>4.72</v>
      </c>
      <c r="BZ100">
        <v>1216</v>
      </c>
      <c r="CA100">
        <v>1942</v>
      </c>
      <c r="CB100">
        <v>3158</v>
      </c>
      <c r="CC100">
        <v>0.38</v>
      </c>
      <c r="CD100">
        <v>0.40300000000000002</v>
      </c>
      <c r="CE100">
        <v>0.217</v>
      </c>
      <c r="CF100">
        <v>0.16800000000000001</v>
      </c>
      <c r="CG100">
        <v>0.45800000000000002</v>
      </c>
      <c r="CH100">
        <v>0.373</v>
      </c>
      <c r="CI100" cm="1">
        <f t="array" ref="CI100:CS100">VLOOKUP(A100,verticalmove_pitchers_2019!A:N,{3,4,5,6,7,8,9,10,11,12,13},FALSE)</f>
        <v>190.2</v>
      </c>
      <c r="CJ100">
        <v>6.1</v>
      </c>
      <c r="CK100">
        <v>0</v>
      </c>
      <c r="CL100">
        <v>0</v>
      </c>
      <c r="CM100">
        <v>2.2000000000000002</v>
      </c>
      <c r="CN100">
        <v>0.8</v>
      </c>
      <c r="CO100">
        <v>-0.5</v>
      </c>
      <c r="CP100">
        <v>4.2</v>
      </c>
      <c r="CQ100">
        <v>0</v>
      </c>
      <c r="CR100">
        <v>0</v>
      </c>
      <c r="CS100">
        <v>0</v>
      </c>
      <c r="CT100" cm="1">
        <f t="array" ref="CT100:DD100">VLOOKUP(A100,velocity_pitchers_2019!A:N,{3,4,5,6,7,8,9,10,11,12,13},FALSE)</f>
        <v>190.2</v>
      </c>
      <c r="CU100">
        <v>96.5</v>
      </c>
      <c r="CV100">
        <v>0</v>
      </c>
      <c r="CW100">
        <v>0</v>
      </c>
      <c r="CX100">
        <v>96.5</v>
      </c>
      <c r="CY100">
        <v>87.3</v>
      </c>
      <c r="CZ100">
        <v>85.9</v>
      </c>
      <c r="DA100">
        <v>95.6</v>
      </c>
      <c r="DB100">
        <v>0</v>
      </c>
      <c r="DC100">
        <v>0</v>
      </c>
      <c r="DD100">
        <v>0</v>
      </c>
    </row>
    <row r="101" spans="1:108" x14ac:dyDescent="0.3">
      <c r="A101" t="s">
        <v>192</v>
      </c>
      <c r="B101" t="str" cm="1">
        <f t="array" ref="B101:Y101">VLOOKUP(A101,standard_pitchers_2019!A:Y,{2,3,4,5,6,7,8,9,10,11,12,13,14,15,16,17,18,19,20,21,22,23,24,25},FALSE)</f>
        <v>Mariners</v>
      </c>
      <c r="C101">
        <v>16</v>
      </c>
      <c r="D101">
        <v>13</v>
      </c>
      <c r="E101">
        <v>3.99</v>
      </c>
      <c r="F101">
        <v>34</v>
      </c>
      <c r="G101">
        <v>34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203</v>
      </c>
      <c r="N101">
        <v>866</v>
      </c>
      <c r="O101">
        <v>210</v>
      </c>
      <c r="P101">
        <v>106</v>
      </c>
      <c r="Q101">
        <v>90</v>
      </c>
      <c r="R101">
        <v>23</v>
      </c>
      <c r="S101">
        <v>56</v>
      </c>
      <c r="T101">
        <v>1</v>
      </c>
      <c r="U101">
        <v>6</v>
      </c>
      <c r="V101">
        <v>2</v>
      </c>
      <c r="W101">
        <v>1</v>
      </c>
      <c r="X101">
        <v>147</v>
      </c>
      <c r="Y101">
        <v>15467</v>
      </c>
      <c r="Z101" cm="1">
        <f t="array" ref="Z101:AR101">VLOOKUP(A101,advanced_pitchers_2019!A:Y,{3,4,5,6,7,8,9,10,11,12,13,14,15,16,17,18,19,20,21},FALSE)</f>
        <v>6.52</v>
      </c>
      <c r="AA101">
        <v>2.48</v>
      </c>
      <c r="AB101">
        <v>2.63</v>
      </c>
      <c r="AC101">
        <v>1.02</v>
      </c>
      <c r="AD101">
        <v>0.17</v>
      </c>
      <c r="AE101">
        <v>6.5000000000000002E-2</v>
      </c>
      <c r="AF101">
        <v>0.105</v>
      </c>
      <c r="AG101">
        <v>0.26100000000000001</v>
      </c>
      <c r="AH101">
        <v>1.31</v>
      </c>
      <c r="AI101">
        <v>0.29499999999999998</v>
      </c>
      <c r="AJ101">
        <v>0.69199999999999995</v>
      </c>
      <c r="AK101">
        <v>90</v>
      </c>
      <c r="AL101">
        <v>93</v>
      </c>
      <c r="AM101">
        <v>112</v>
      </c>
      <c r="AN101">
        <v>3.99</v>
      </c>
      <c r="AO101">
        <v>4.1500000000000004</v>
      </c>
      <c r="AP101">
        <v>-0.16</v>
      </c>
      <c r="AQ101">
        <v>5.1100000000000003</v>
      </c>
      <c r="AR101">
        <v>5.08</v>
      </c>
      <c r="AS101" cm="1">
        <f t="array" ref="AS101:BA101">VLOOKUP(A101,plate_discipline_pitchers_2019!A:L,{3,4,5,6,7,8,9,10,11},FALSE)</f>
        <v>0.33400000000000002</v>
      </c>
      <c r="AT101">
        <v>0.65900000000000003</v>
      </c>
      <c r="AU101">
        <v>0.47499999999999998</v>
      </c>
      <c r="AV101">
        <v>0.77300000000000002</v>
      </c>
      <c r="AW101">
        <v>0.874</v>
      </c>
      <c r="AX101">
        <v>0.83399999999999996</v>
      </c>
      <c r="AY101">
        <v>0.435</v>
      </c>
      <c r="AZ101">
        <v>0.65700000000000003</v>
      </c>
      <c r="BA101">
        <v>7.9000000000000001E-2</v>
      </c>
      <c r="BB101" cm="1">
        <f t="array" ref="BB101:BP101">VLOOKUP(A101,pitchvalue_pitchers_2019!A:Q,{3,4,5,6,7,8,9,10,11,12,13,14,15,16,17},FALSE)</f>
        <v>3.8</v>
      </c>
      <c r="BC101">
        <v>0</v>
      </c>
      <c r="BD101">
        <v>-0.4</v>
      </c>
      <c r="BE101">
        <v>-3.6</v>
      </c>
      <c r="BF101">
        <v>4.8</v>
      </c>
      <c r="BG101">
        <v>0</v>
      </c>
      <c r="BH101">
        <v>0</v>
      </c>
      <c r="BI101">
        <v>0.3</v>
      </c>
      <c r="BJ101">
        <v>0</v>
      </c>
      <c r="BK101">
        <v>-0.06</v>
      </c>
      <c r="BL101">
        <v>-0.69</v>
      </c>
      <c r="BM101">
        <v>0.62</v>
      </c>
      <c r="BN101">
        <v>0</v>
      </c>
      <c r="BO101">
        <v>0</v>
      </c>
      <c r="BP101">
        <v>15467</v>
      </c>
      <c r="BQ101" cm="1">
        <f t="array" ref="BQ101:CH101">VLOOKUP(A101,battedball_pitchers_2019!A:U,{3,4,5,6,7,8,9,10,11,12,13,14,15,16,17,18,19,20},FALSE)</f>
        <v>0.29499999999999998</v>
      </c>
      <c r="BR101">
        <v>1.07</v>
      </c>
      <c r="BS101">
        <v>0.21299999999999999</v>
      </c>
      <c r="BT101">
        <v>0.40699999999999997</v>
      </c>
      <c r="BU101">
        <v>0.38</v>
      </c>
      <c r="BV101">
        <v>0.11700000000000001</v>
      </c>
      <c r="BW101">
        <v>9.2999999999999999E-2</v>
      </c>
      <c r="BX101">
        <v>137</v>
      </c>
      <c r="BY101">
        <v>6.07</v>
      </c>
      <c r="BZ101">
        <v>1085</v>
      </c>
      <c r="CA101">
        <v>2147</v>
      </c>
      <c r="CB101">
        <v>3232</v>
      </c>
      <c r="CC101">
        <v>0.40600000000000003</v>
      </c>
      <c r="CD101">
        <v>0.35599999999999998</v>
      </c>
      <c r="CE101">
        <v>0.23699999999999999</v>
      </c>
      <c r="CF101">
        <v>0.18099999999999999</v>
      </c>
      <c r="CG101">
        <v>0.47599999999999998</v>
      </c>
      <c r="CH101">
        <v>0.34200000000000003</v>
      </c>
      <c r="CI101" cm="1">
        <f t="array" ref="CI101:CS101">VLOOKUP(A101,verticalmove_pitchers_2019!A:N,{3,4,5,6,7,8,9,10,11,12,13},FALSE)</f>
        <v>203</v>
      </c>
      <c r="CJ101">
        <v>9.5</v>
      </c>
      <c r="CK101">
        <v>4.9000000000000004</v>
      </c>
      <c r="CL101">
        <v>0</v>
      </c>
      <c r="CM101">
        <v>7.7</v>
      </c>
      <c r="CN101">
        <v>4.5999999999999996</v>
      </c>
      <c r="CO101">
        <v>0</v>
      </c>
      <c r="CP101">
        <v>-7.9</v>
      </c>
      <c r="CQ101">
        <v>0</v>
      </c>
      <c r="CR101">
        <v>0</v>
      </c>
      <c r="CS101">
        <v>0</v>
      </c>
      <c r="CT101" cm="1">
        <f t="array" ref="CT101:DD101">VLOOKUP(A101,velocity_pitchers_2019!A:N,{3,4,5,6,7,8,9,10,11,12,13},FALSE)</f>
        <v>203</v>
      </c>
      <c r="CU101">
        <v>89.3</v>
      </c>
      <c r="CV101">
        <v>85.6</v>
      </c>
      <c r="CW101">
        <v>0</v>
      </c>
      <c r="CX101">
        <v>89.2</v>
      </c>
      <c r="CY101">
        <v>81.599999999999994</v>
      </c>
      <c r="CZ101">
        <v>0</v>
      </c>
      <c r="DA101">
        <v>76.599999999999994</v>
      </c>
      <c r="DB101">
        <v>0</v>
      </c>
      <c r="DC101">
        <v>0</v>
      </c>
      <c r="DD101">
        <v>0</v>
      </c>
    </row>
    <row r="102" spans="1:108" x14ac:dyDescent="0.3">
      <c r="A102" t="s">
        <v>318</v>
      </c>
      <c r="B102" t="str" cm="1">
        <f t="array" ref="B102:Y102">VLOOKUP(A102,standard_pitchers_2019!A:Y,{2,3,4,5,6,7,8,9,10,11,12,13,14,15,16,17,18,19,20,21,22,23,24,25},FALSE)</f>
        <v>Brewers</v>
      </c>
      <c r="C102">
        <v>8</v>
      </c>
      <c r="D102">
        <v>6</v>
      </c>
      <c r="E102">
        <v>5.13</v>
      </c>
      <c r="F102">
        <v>67</v>
      </c>
      <c r="G102">
        <v>0</v>
      </c>
      <c r="H102">
        <v>0</v>
      </c>
      <c r="I102">
        <v>0</v>
      </c>
      <c r="J102">
        <v>4</v>
      </c>
      <c r="K102">
        <v>10</v>
      </c>
      <c r="L102">
        <v>2</v>
      </c>
      <c r="M102">
        <v>59.2</v>
      </c>
      <c r="N102">
        <v>258</v>
      </c>
      <c r="O102">
        <v>53</v>
      </c>
      <c r="P102">
        <v>34</v>
      </c>
      <c r="Q102">
        <v>34</v>
      </c>
      <c r="R102">
        <v>8</v>
      </c>
      <c r="S102">
        <v>29</v>
      </c>
      <c r="T102">
        <v>3</v>
      </c>
      <c r="U102">
        <v>3</v>
      </c>
      <c r="V102">
        <v>2</v>
      </c>
      <c r="W102">
        <v>1</v>
      </c>
      <c r="X102">
        <v>57</v>
      </c>
      <c r="Y102">
        <v>4300</v>
      </c>
      <c r="Z102" cm="1">
        <f t="array" ref="Z102:AR102">VLOOKUP(A102,advanced_pitchers_2019!A:Y,{3,4,5,6,7,8,9,10,11,12,13,14,15,16,17,18,19,20,21},FALSE)</f>
        <v>8.6</v>
      </c>
      <c r="AA102">
        <v>4.37</v>
      </c>
      <c r="AB102">
        <v>1.97</v>
      </c>
      <c r="AC102">
        <v>1.21</v>
      </c>
      <c r="AD102">
        <v>0.221</v>
      </c>
      <c r="AE102">
        <v>0.112</v>
      </c>
      <c r="AF102">
        <v>0.109</v>
      </c>
      <c r="AG102">
        <v>0.23499999999999999</v>
      </c>
      <c r="AH102">
        <v>1.37</v>
      </c>
      <c r="AI102">
        <v>0.28000000000000003</v>
      </c>
      <c r="AJ102">
        <v>0.69099999999999995</v>
      </c>
      <c r="AK102">
        <v>116</v>
      </c>
      <c r="AL102">
        <v>104</v>
      </c>
      <c r="AM102">
        <v>103</v>
      </c>
      <c r="AN102">
        <v>5.13</v>
      </c>
      <c r="AO102">
        <v>4.66</v>
      </c>
      <c r="AP102">
        <v>0.47</v>
      </c>
      <c r="AQ102">
        <v>4.55</v>
      </c>
      <c r="AR102">
        <v>4.5199999999999996</v>
      </c>
      <c r="AS102" cm="1">
        <f t="array" ref="AS102:BA102">VLOOKUP(A102,plate_discipline_pitchers_2019!A:L,{3,4,5,6,7,8,9,10,11},FALSE)</f>
        <v>0.29699999999999999</v>
      </c>
      <c r="AT102">
        <v>0.625</v>
      </c>
      <c r="AU102">
        <v>0.41399999999999998</v>
      </c>
      <c r="AV102">
        <v>0.63900000000000001</v>
      </c>
      <c r="AW102">
        <v>0.88900000000000001</v>
      </c>
      <c r="AX102">
        <v>0.77400000000000002</v>
      </c>
      <c r="AY102">
        <v>0.35899999999999999</v>
      </c>
      <c r="AZ102">
        <v>0.60499999999999998</v>
      </c>
      <c r="BA102">
        <v>9.4E-2</v>
      </c>
      <c r="BB102" cm="1">
        <f t="array" ref="BB102:BP102">VLOOKUP(A102,pitchvalue_pitchers_2019!A:Q,{3,4,5,6,7,8,9,10,11,12,13,14,15,16,17},FALSE)</f>
        <v>3.8</v>
      </c>
      <c r="BC102">
        <v>-0.9</v>
      </c>
      <c r="BD102">
        <v>0</v>
      </c>
      <c r="BE102">
        <v>0</v>
      </c>
      <c r="BF102">
        <v>0.1</v>
      </c>
      <c r="BG102">
        <v>0</v>
      </c>
      <c r="BH102">
        <v>0</v>
      </c>
      <c r="BI102">
        <v>0.67</v>
      </c>
      <c r="BJ102">
        <v>-0.26</v>
      </c>
      <c r="BK102">
        <v>0</v>
      </c>
      <c r="BL102">
        <v>0</v>
      </c>
      <c r="BM102">
        <v>0.08</v>
      </c>
      <c r="BN102">
        <v>0</v>
      </c>
      <c r="BO102">
        <v>0</v>
      </c>
      <c r="BP102">
        <v>4300</v>
      </c>
      <c r="BQ102" cm="1">
        <f t="array" ref="BQ102:CH102">VLOOKUP(A102,battedball_pitchers_2019!A:U,{3,4,5,6,7,8,9,10,11,12,13,14,15,16,17,18,19,20},FALSE)</f>
        <v>0.28000000000000003</v>
      </c>
      <c r="BR102">
        <v>1.71</v>
      </c>
      <c r="BS102">
        <v>0.19900000000000001</v>
      </c>
      <c r="BT102">
        <v>0.50600000000000001</v>
      </c>
      <c r="BU102">
        <v>0.29499999999999998</v>
      </c>
      <c r="BV102">
        <v>0.122</v>
      </c>
      <c r="BW102">
        <v>0.16300000000000001</v>
      </c>
      <c r="BX102">
        <v>34</v>
      </c>
      <c r="BY102">
        <v>5.13</v>
      </c>
      <c r="BZ102">
        <v>396</v>
      </c>
      <c r="CA102">
        <v>609</v>
      </c>
      <c r="CB102">
        <v>1005</v>
      </c>
      <c r="CC102">
        <v>0.438</v>
      </c>
      <c r="CD102">
        <v>0.35499999999999998</v>
      </c>
      <c r="CE102">
        <v>0.20699999999999999</v>
      </c>
      <c r="CF102">
        <v>0.21299999999999999</v>
      </c>
      <c r="CG102">
        <v>0.46700000000000003</v>
      </c>
      <c r="CH102">
        <v>0.32</v>
      </c>
      <c r="CI102" cm="1">
        <f t="array" ref="CI102:CS102">VLOOKUP(A102,verticalmove_pitchers_2019!A:N,{3,4,5,6,7,8,9,10,11,12,13},FALSE)</f>
        <v>59.2</v>
      </c>
      <c r="CJ102">
        <v>6.5</v>
      </c>
      <c r="CK102">
        <v>0</v>
      </c>
      <c r="CL102">
        <v>0</v>
      </c>
      <c r="CM102">
        <v>3.2</v>
      </c>
      <c r="CN102">
        <v>1.7</v>
      </c>
      <c r="CO102">
        <v>-0.3</v>
      </c>
      <c r="CP102">
        <v>-2.9</v>
      </c>
      <c r="CQ102">
        <v>0</v>
      </c>
      <c r="CR102">
        <v>0</v>
      </c>
      <c r="CS102">
        <v>0</v>
      </c>
      <c r="CT102" cm="1">
        <f t="array" ref="CT102:DD102">VLOOKUP(A102,velocity_pitchers_2019!A:N,{3,4,5,6,7,8,9,10,11,12,13},FALSE)</f>
        <v>59.2</v>
      </c>
      <c r="CU102">
        <v>92.7</v>
      </c>
      <c r="CV102">
        <v>0</v>
      </c>
      <c r="CW102">
        <v>0</v>
      </c>
      <c r="CX102">
        <v>93</v>
      </c>
      <c r="CY102">
        <v>84</v>
      </c>
      <c r="CZ102">
        <v>83.7</v>
      </c>
      <c r="DA102">
        <v>82.3</v>
      </c>
      <c r="DB102">
        <v>0</v>
      </c>
      <c r="DC102">
        <v>0</v>
      </c>
      <c r="DD102">
        <v>0</v>
      </c>
    </row>
    <row r="103" spans="1:108" x14ac:dyDescent="0.3">
      <c r="A103" t="s">
        <v>280</v>
      </c>
      <c r="B103" t="str" cm="1">
        <f t="array" ref="B103:Y103">VLOOKUP(A103,standard_pitchers_2019!A:Y,{2,3,4,5,6,7,8,9,10,11,12,13,14,15,16,17,18,19,20,21,22,23,24,25},FALSE)</f>
        <v>Astros</v>
      </c>
      <c r="C103">
        <v>5</v>
      </c>
      <c r="D103">
        <v>1</v>
      </c>
      <c r="E103">
        <v>4.7</v>
      </c>
      <c r="F103">
        <v>49</v>
      </c>
      <c r="G103">
        <v>1</v>
      </c>
      <c r="H103">
        <v>0</v>
      </c>
      <c r="I103">
        <v>0</v>
      </c>
      <c r="J103">
        <v>1</v>
      </c>
      <c r="K103">
        <v>6</v>
      </c>
      <c r="L103">
        <v>2</v>
      </c>
      <c r="M103">
        <v>61.1</v>
      </c>
      <c r="N103">
        <v>266</v>
      </c>
      <c r="O103">
        <v>46</v>
      </c>
      <c r="P103">
        <v>34</v>
      </c>
      <c r="Q103">
        <v>32</v>
      </c>
      <c r="R103">
        <v>10</v>
      </c>
      <c r="S103">
        <v>35</v>
      </c>
      <c r="T103">
        <v>0</v>
      </c>
      <c r="U103">
        <v>4</v>
      </c>
      <c r="V103">
        <v>6</v>
      </c>
      <c r="W103">
        <v>0</v>
      </c>
      <c r="X103">
        <v>100</v>
      </c>
      <c r="Y103">
        <v>16794</v>
      </c>
      <c r="Z103" cm="1">
        <f t="array" ref="Z103:AR103">VLOOKUP(A103,advanced_pitchers_2019!A:Y,{3,4,5,6,7,8,9,10,11,12,13,14,15,16,17,18,19,20,21},FALSE)</f>
        <v>14.67</v>
      </c>
      <c r="AA103">
        <v>5.14</v>
      </c>
      <c r="AB103">
        <v>2.86</v>
      </c>
      <c r="AC103">
        <v>1.47</v>
      </c>
      <c r="AD103">
        <v>0.376</v>
      </c>
      <c r="AE103">
        <v>0.13200000000000001</v>
      </c>
      <c r="AF103">
        <v>0.24399999999999999</v>
      </c>
      <c r="AG103">
        <v>0.20300000000000001</v>
      </c>
      <c r="AH103">
        <v>1.32</v>
      </c>
      <c r="AI103">
        <v>0.308</v>
      </c>
      <c r="AJ103">
        <v>0.71799999999999997</v>
      </c>
      <c r="AK103">
        <v>105</v>
      </c>
      <c r="AL103">
        <v>88</v>
      </c>
      <c r="AM103">
        <v>83</v>
      </c>
      <c r="AN103">
        <v>4.7</v>
      </c>
      <c r="AO103">
        <v>3.98</v>
      </c>
      <c r="AP103">
        <v>0.72</v>
      </c>
      <c r="AQ103">
        <v>3.77</v>
      </c>
      <c r="AR103">
        <v>3.33</v>
      </c>
      <c r="AS103" cm="1">
        <f t="array" ref="AS103:BA103">VLOOKUP(A103,plate_discipline_pitchers_2019!A:L,{3,4,5,6,7,8,9,10,11},FALSE)</f>
        <v>0.26900000000000002</v>
      </c>
      <c r="AT103">
        <v>0.69099999999999995</v>
      </c>
      <c r="AU103">
        <v>0.45200000000000001</v>
      </c>
      <c r="AV103">
        <v>0.443</v>
      </c>
      <c r="AW103">
        <v>0.74299999999999999</v>
      </c>
      <c r="AX103">
        <v>0.64100000000000001</v>
      </c>
      <c r="AY103">
        <v>0.433</v>
      </c>
      <c r="AZ103">
        <v>0.57899999999999996</v>
      </c>
      <c r="BA103">
        <v>0.16200000000000001</v>
      </c>
      <c r="BB103" cm="1">
        <f t="array" ref="BB103:BP103">VLOOKUP(A103,pitchvalue_pitchers_2019!A:Q,{3,4,5,6,7,8,9,10,11,12,13,14,15,16,17},FALSE)</f>
        <v>3.8</v>
      </c>
      <c r="BC103">
        <v>-2.1</v>
      </c>
      <c r="BD103">
        <v>0</v>
      </c>
      <c r="BE103">
        <v>0.1</v>
      </c>
      <c r="BF103">
        <v>0.7</v>
      </c>
      <c r="BG103">
        <v>0</v>
      </c>
      <c r="BH103">
        <v>0</v>
      </c>
      <c r="BI103">
        <v>0.53</v>
      </c>
      <c r="BJ103">
        <v>-0.9</v>
      </c>
      <c r="BK103">
        <v>0</v>
      </c>
      <c r="BL103">
        <v>0.72</v>
      </c>
      <c r="BM103">
        <v>0.4</v>
      </c>
      <c r="BN103">
        <v>0</v>
      </c>
      <c r="BO103">
        <v>0</v>
      </c>
      <c r="BP103">
        <v>16794</v>
      </c>
      <c r="BQ103" cm="1">
        <f t="array" ref="BQ103:CH103">VLOOKUP(A103,battedball_pitchers_2019!A:U,{3,4,5,6,7,8,9,10,11,12,13,14,15,16,17,18,19,20},FALSE)</f>
        <v>0.308</v>
      </c>
      <c r="BR103">
        <v>0.75</v>
      </c>
      <c r="BS103">
        <v>0.189</v>
      </c>
      <c r="BT103">
        <v>0.34599999999999997</v>
      </c>
      <c r="BU103">
        <v>0.46500000000000002</v>
      </c>
      <c r="BV103">
        <v>0.10199999999999999</v>
      </c>
      <c r="BW103">
        <v>0.16900000000000001</v>
      </c>
      <c r="BX103">
        <v>31</v>
      </c>
      <c r="BY103">
        <v>4.55</v>
      </c>
      <c r="BZ103">
        <v>447</v>
      </c>
      <c r="CA103">
        <v>695</v>
      </c>
      <c r="CB103">
        <v>1142</v>
      </c>
      <c r="CC103">
        <v>0.34599999999999997</v>
      </c>
      <c r="CD103">
        <v>0.35399999999999998</v>
      </c>
      <c r="CE103">
        <v>0.29899999999999999</v>
      </c>
      <c r="CF103">
        <v>0.16500000000000001</v>
      </c>
      <c r="CG103">
        <v>0.433</v>
      </c>
      <c r="CH103">
        <v>0.40200000000000002</v>
      </c>
      <c r="CI103" cm="1">
        <f t="array" ref="CI103:CS103">VLOOKUP(A103,verticalmove_pitchers_2019!A:N,{3,4,5,6,7,8,9,10,11,12,13},FALSE)</f>
        <v>61.1</v>
      </c>
      <c r="CJ103">
        <v>8.5</v>
      </c>
      <c r="CK103">
        <v>0</v>
      </c>
      <c r="CL103">
        <v>0</v>
      </c>
      <c r="CM103">
        <v>0</v>
      </c>
      <c r="CN103">
        <v>0.4</v>
      </c>
      <c r="CO103">
        <v>-3</v>
      </c>
      <c r="CP103">
        <v>-9.1999999999999993</v>
      </c>
      <c r="CQ103">
        <v>0</v>
      </c>
      <c r="CR103">
        <v>0</v>
      </c>
      <c r="CS103">
        <v>0</v>
      </c>
      <c r="CT103" cm="1">
        <f t="array" ref="CT103:DD103">VLOOKUP(A103,velocity_pitchers_2019!A:N,{3,4,5,6,7,8,9,10,11,12,13},FALSE)</f>
        <v>61.1</v>
      </c>
      <c r="CU103">
        <v>97.4</v>
      </c>
      <c r="CV103">
        <v>0</v>
      </c>
      <c r="CW103">
        <v>0</v>
      </c>
      <c r="CX103">
        <v>0</v>
      </c>
      <c r="CY103">
        <v>89.2</v>
      </c>
      <c r="CZ103">
        <v>84.6</v>
      </c>
      <c r="DA103">
        <v>81.900000000000006</v>
      </c>
      <c r="DB103">
        <v>0</v>
      </c>
      <c r="DC103">
        <v>0</v>
      </c>
      <c r="DD103">
        <v>0</v>
      </c>
    </row>
    <row r="104" spans="1:108" x14ac:dyDescent="0.3">
      <c r="A104" t="s">
        <v>316</v>
      </c>
      <c r="B104" t="str" cm="1">
        <f t="array" ref="B104:Y104">VLOOKUP(A104,standard_pitchers_2019!A:Y,{2,3,4,5,6,7,8,9,10,11,12,13,14,15,16,17,18,19,20,21,22,23,24,25},FALSE)</f>
        <v>Marlins</v>
      </c>
      <c r="C104">
        <v>5</v>
      </c>
      <c r="D104">
        <v>8</v>
      </c>
      <c r="E104">
        <v>5.09</v>
      </c>
      <c r="F104">
        <v>21</v>
      </c>
      <c r="G104">
        <v>21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111.1</v>
      </c>
      <c r="N104">
        <v>469</v>
      </c>
      <c r="O104">
        <v>111</v>
      </c>
      <c r="P104">
        <v>64</v>
      </c>
      <c r="Q104">
        <v>63</v>
      </c>
      <c r="R104">
        <v>15</v>
      </c>
      <c r="S104">
        <v>27</v>
      </c>
      <c r="T104">
        <v>3</v>
      </c>
      <c r="U104">
        <v>11</v>
      </c>
      <c r="V104">
        <v>6</v>
      </c>
      <c r="W104">
        <v>2</v>
      </c>
      <c r="X104">
        <v>95</v>
      </c>
      <c r="Y104">
        <v>17085</v>
      </c>
      <c r="Z104" cm="1">
        <f t="array" ref="Z104:AR104">VLOOKUP(A104,advanced_pitchers_2019!A:Y,{3,4,5,6,7,8,9,10,11,12,13,14,15,16,17,18,19,20,21},FALSE)</f>
        <v>7.68</v>
      </c>
      <c r="AA104">
        <v>2.1800000000000002</v>
      </c>
      <c r="AB104">
        <v>3.52</v>
      </c>
      <c r="AC104">
        <v>1.21</v>
      </c>
      <c r="AD104">
        <v>0.20300000000000001</v>
      </c>
      <c r="AE104">
        <v>5.8000000000000003E-2</v>
      </c>
      <c r="AF104">
        <v>0.14499999999999999</v>
      </c>
      <c r="AG104">
        <v>0.25800000000000001</v>
      </c>
      <c r="AH104">
        <v>1.24</v>
      </c>
      <c r="AI104">
        <v>0.29899999999999999</v>
      </c>
      <c r="AJ104">
        <v>0.66400000000000003</v>
      </c>
      <c r="AK104">
        <v>122</v>
      </c>
      <c r="AL104">
        <v>99</v>
      </c>
      <c r="AM104">
        <v>99</v>
      </c>
      <c r="AN104">
        <v>5.09</v>
      </c>
      <c r="AO104">
        <v>4.28</v>
      </c>
      <c r="AP104">
        <v>0.81</v>
      </c>
      <c r="AQ104">
        <v>4.37</v>
      </c>
      <c r="AR104">
        <v>4.4400000000000004</v>
      </c>
      <c r="AS104" cm="1">
        <f t="array" ref="AS104:BA104">VLOOKUP(A104,plate_discipline_pitchers_2019!A:L,{3,4,5,6,7,8,9,10,11},FALSE)</f>
        <v>0.315</v>
      </c>
      <c r="AT104">
        <v>0.69399999999999995</v>
      </c>
      <c r="AU104">
        <v>0.48299999999999998</v>
      </c>
      <c r="AV104">
        <v>0.66500000000000004</v>
      </c>
      <c r="AW104">
        <v>0.85699999999999998</v>
      </c>
      <c r="AX104">
        <v>0.78700000000000003</v>
      </c>
      <c r="AY104">
        <v>0.442</v>
      </c>
      <c r="AZ104">
        <v>0.55700000000000005</v>
      </c>
      <c r="BA104">
        <v>0.10299999999999999</v>
      </c>
      <c r="BB104" cm="1">
        <f t="array" ref="BB104:BP104">VLOOKUP(A104,pitchvalue_pitchers_2019!A:Q,{3,4,5,6,7,8,9,10,11,12,13,14,15,16,17},FALSE)</f>
        <v>3.8</v>
      </c>
      <c r="BC104">
        <v>0</v>
      </c>
      <c r="BD104">
        <v>0</v>
      </c>
      <c r="BE104">
        <v>-3.6</v>
      </c>
      <c r="BF104">
        <v>2.2999999999999998</v>
      </c>
      <c r="BG104">
        <v>0</v>
      </c>
      <c r="BH104">
        <v>0</v>
      </c>
      <c r="BI104">
        <v>0.36</v>
      </c>
      <c r="BJ104">
        <v>0</v>
      </c>
      <c r="BK104">
        <v>0</v>
      </c>
      <c r="BL104">
        <v>-1.04</v>
      </c>
      <c r="BM104">
        <v>0.56999999999999995</v>
      </c>
      <c r="BN104">
        <v>0</v>
      </c>
      <c r="BO104">
        <v>0</v>
      </c>
      <c r="BP104">
        <v>17085</v>
      </c>
      <c r="BQ104" cm="1">
        <f t="array" ref="BQ104:CH104">VLOOKUP(A104,battedball_pitchers_2019!A:U,{3,4,5,6,7,8,9,10,11,12,13,14,15,16,17,18,19,20},FALSE)</f>
        <v>0.29899999999999999</v>
      </c>
      <c r="BR104">
        <v>1.52</v>
      </c>
      <c r="BS104">
        <v>0.21199999999999999</v>
      </c>
      <c r="BT104">
        <v>0.47599999999999998</v>
      </c>
      <c r="BU104">
        <v>0.312</v>
      </c>
      <c r="BV104">
        <v>0.126</v>
      </c>
      <c r="BW104">
        <v>0.14599999999999999</v>
      </c>
      <c r="BX104">
        <v>58</v>
      </c>
      <c r="BY104">
        <v>4.6900000000000004</v>
      </c>
      <c r="BZ104">
        <v>641</v>
      </c>
      <c r="CA104">
        <v>1155</v>
      </c>
      <c r="CB104">
        <v>1796</v>
      </c>
      <c r="CC104">
        <v>0.39900000000000002</v>
      </c>
      <c r="CD104">
        <v>0.318</v>
      </c>
      <c r="CE104">
        <v>0.28299999999999997</v>
      </c>
      <c r="CF104">
        <v>0.17599999999999999</v>
      </c>
      <c r="CG104">
        <v>0.45800000000000002</v>
      </c>
      <c r="CH104">
        <v>0.36599999999999999</v>
      </c>
      <c r="CI104" cm="1">
        <f t="array" ref="CI104:CS104">VLOOKUP(A104,verticalmove_pitchers_2019!A:N,{3,4,5,6,7,8,9,10,11,12,13},FALSE)</f>
        <v>111.1</v>
      </c>
      <c r="CJ104">
        <v>6.5</v>
      </c>
      <c r="CK104">
        <v>0</v>
      </c>
      <c r="CL104">
        <v>0</v>
      </c>
      <c r="CM104">
        <v>2.9</v>
      </c>
      <c r="CN104">
        <v>0.8</v>
      </c>
      <c r="CO104">
        <v>0</v>
      </c>
      <c r="CP104">
        <v>-2.7</v>
      </c>
      <c r="CQ104">
        <v>0</v>
      </c>
      <c r="CR104">
        <v>0</v>
      </c>
      <c r="CS104">
        <v>0</v>
      </c>
      <c r="CT104" cm="1">
        <f t="array" ref="CT104:DD104">VLOOKUP(A104,velocity_pitchers_2019!A:N,{3,4,5,6,7,8,9,10,11,12,13},FALSE)</f>
        <v>111.1</v>
      </c>
      <c r="CU104">
        <v>94</v>
      </c>
      <c r="CV104">
        <v>0</v>
      </c>
      <c r="CW104">
        <v>0</v>
      </c>
      <c r="CX104">
        <v>93.7</v>
      </c>
      <c r="CY104">
        <v>86.2</v>
      </c>
      <c r="CZ104">
        <v>0</v>
      </c>
      <c r="DA104">
        <v>80.2</v>
      </c>
      <c r="DB104">
        <v>0</v>
      </c>
      <c r="DC104">
        <v>0</v>
      </c>
      <c r="DD104">
        <v>0</v>
      </c>
    </row>
    <row r="105" spans="1:108" x14ac:dyDescent="0.3">
      <c r="A105" t="s">
        <v>148</v>
      </c>
      <c r="B105" t="str" cm="1">
        <f t="array" ref="B105:Y105">VLOOKUP(A105,standard_pitchers_2019!A:Y,{2,3,4,5,6,7,8,9,10,11,12,13,14,15,16,17,18,19,20,21,22,23,24,25},FALSE)</f>
        <v>Dodgers</v>
      </c>
      <c r="C105">
        <v>1</v>
      </c>
      <c r="D105">
        <v>4</v>
      </c>
      <c r="E105">
        <v>3.61</v>
      </c>
      <c r="F105">
        <v>64</v>
      </c>
      <c r="G105">
        <v>0</v>
      </c>
      <c r="H105">
        <v>0</v>
      </c>
      <c r="I105">
        <v>0</v>
      </c>
      <c r="J105">
        <v>0</v>
      </c>
      <c r="K105">
        <v>4</v>
      </c>
      <c r="L105">
        <v>3</v>
      </c>
      <c r="M105">
        <v>62.1</v>
      </c>
      <c r="N105">
        <v>247</v>
      </c>
      <c r="O105">
        <v>40</v>
      </c>
      <c r="P105">
        <v>28</v>
      </c>
      <c r="Q105">
        <v>25</v>
      </c>
      <c r="R105">
        <v>15</v>
      </c>
      <c r="S105">
        <v>14</v>
      </c>
      <c r="T105">
        <v>2</v>
      </c>
      <c r="U105">
        <v>6</v>
      </c>
      <c r="V105">
        <v>1</v>
      </c>
      <c r="W105">
        <v>1</v>
      </c>
      <c r="X105">
        <v>66</v>
      </c>
      <c r="Y105">
        <v>12095</v>
      </c>
      <c r="Z105" cm="1">
        <f t="array" ref="Z105:AR105">VLOOKUP(A105,advanced_pitchers_2019!A:Y,{3,4,5,6,7,8,9,10,11,12,13,14,15,16,17,18,19,20,21},FALSE)</f>
        <v>9.5299999999999994</v>
      </c>
      <c r="AA105">
        <v>2.02</v>
      </c>
      <c r="AB105">
        <v>4.71</v>
      </c>
      <c r="AC105">
        <v>2.17</v>
      </c>
      <c r="AD105">
        <v>0.26700000000000002</v>
      </c>
      <c r="AE105">
        <v>5.7000000000000002E-2</v>
      </c>
      <c r="AF105">
        <v>0.21099999999999999</v>
      </c>
      <c r="AG105">
        <v>0.17599999999999999</v>
      </c>
      <c r="AH105">
        <v>0.87</v>
      </c>
      <c r="AI105">
        <v>0.17100000000000001</v>
      </c>
      <c r="AJ105">
        <v>0.82099999999999995</v>
      </c>
      <c r="AK105">
        <v>86</v>
      </c>
      <c r="AL105">
        <v>119</v>
      </c>
      <c r="AM105">
        <v>111</v>
      </c>
      <c r="AN105">
        <v>3.61</v>
      </c>
      <c r="AO105">
        <v>5.19</v>
      </c>
      <c r="AP105">
        <v>-1.58</v>
      </c>
      <c r="AQ105">
        <v>4.9000000000000004</v>
      </c>
      <c r="AR105">
        <v>3.76</v>
      </c>
      <c r="AS105" cm="1">
        <f t="array" ref="AS105:BA105">VLOOKUP(A105,plate_discipline_pitchers_2019!A:L,{3,4,5,6,7,8,9,10,11},FALSE)</f>
        <v>0.30599999999999999</v>
      </c>
      <c r="AT105">
        <v>0.69899999999999995</v>
      </c>
      <c r="AU105">
        <v>0.47599999999999998</v>
      </c>
      <c r="AV105">
        <v>0.65900000000000003</v>
      </c>
      <c r="AW105">
        <v>0.81499999999999995</v>
      </c>
      <c r="AX105">
        <v>0.75800000000000001</v>
      </c>
      <c r="AY105">
        <v>0.433</v>
      </c>
      <c r="AZ105">
        <v>0.628</v>
      </c>
      <c r="BA105">
        <v>0.115</v>
      </c>
      <c r="BB105" cm="1">
        <f t="array" ref="BB105:BP105">VLOOKUP(A105,pitchvalue_pitchers_2019!A:Q,{3,4,5,6,7,8,9,10,11,12,13,14,15,16,17},FALSE)</f>
        <v>3.7</v>
      </c>
      <c r="BC105">
        <v>2.6</v>
      </c>
      <c r="BD105">
        <v>3.6</v>
      </c>
      <c r="BE105">
        <v>0</v>
      </c>
      <c r="BF105">
        <v>-2.8</v>
      </c>
      <c r="BG105">
        <v>0</v>
      </c>
      <c r="BH105">
        <v>0</v>
      </c>
      <c r="BI105">
        <v>0.8</v>
      </c>
      <c r="BJ105">
        <v>0.7</v>
      </c>
      <c r="BK105">
        <v>3.32</v>
      </c>
      <c r="BL105">
        <v>0</v>
      </c>
      <c r="BM105">
        <v>-5</v>
      </c>
      <c r="BN105">
        <v>0</v>
      </c>
      <c r="BO105">
        <v>0</v>
      </c>
      <c r="BP105">
        <v>12095</v>
      </c>
      <c r="BQ105" cm="1">
        <f t="array" ref="BQ105:CH105">VLOOKUP(A105,battedball_pitchers_2019!A:U,{3,4,5,6,7,8,9,10,11,12,13,14,15,16,17,18,19,20},FALSE)</f>
        <v>0.17100000000000001</v>
      </c>
      <c r="BR105">
        <v>0.53</v>
      </c>
      <c r="BS105">
        <v>0.14499999999999999</v>
      </c>
      <c r="BT105">
        <v>0.29599999999999999</v>
      </c>
      <c r="BU105">
        <v>0.56000000000000005</v>
      </c>
      <c r="BV105">
        <v>0.112</v>
      </c>
      <c r="BW105">
        <v>0.16900000000000001</v>
      </c>
      <c r="BX105">
        <v>26</v>
      </c>
      <c r="BY105">
        <v>3.75</v>
      </c>
      <c r="BZ105">
        <v>342</v>
      </c>
      <c r="CA105">
        <v>656</v>
      </c>
      <c r="CB105">
        <v>998</v>
      </c>
      <c r="CC105">
        <v>0.39800000000000002</v>
      </c>
      <c r="CD105">
        <v>0.28599999999999998</v>
      </c>
      <c r="CE105">
        <v>0.317</v>
      </c>
      <c r="CF105">
        <v>0.186</v>
      </c>
      <c r="CG105">
        <v>0.435</v>
      </c>
      <c r="CH105">
        <v>0.379</v>
      </c>
      <c r="CI105" cm="1">
        <f t="array" ref="CI105:CS105">VLOOKUP(A105,verticalmove_pitchers_2019!A:N,{3,4,5,6,7,8,9,10,11,12,13},FALSE)</f>
        <v>62.1</v>
      </c>
      <c r="CJ105">
        <v>7.2</v>
      </c>
      <c r="CK105">
        <v>0</v>
      </c>
      <c r="CL105">
        <v>0</v>
      </c>
      <c r="CM105">
        <v>2.8</v>
      </c>
      <c r="CN105">
        <v>1.2</v>
      </c>
      <c r="CO105">
        <v>-0.2</v>
      </c>
      <c r="CP105">
        <v>-1.9</v>
      </c>
      <c r="CQ105">
        <v>0</v>
      </c>
      <c r="CR105">
        <v>0</v>
      </c>
      <c r="CS105">
        <v>0</v>
      </c>
      <c r="CT105" cm="1">
        <f t="array" ref="CT105:DD105">VLOOKUP(A105,velocity_pitchers_2019!A:N,{3,4,5,6,7,8,9,10,11,12,13},FALSE)</f>
        <v>62.1</v>
      </c>
      <c r="CU105">
        <v>94.4</v>
      </c>
      <c r="CV105">
        <v>0</v>
      </c>
      <c r="CW105">
        <v>0</v>
      </c>
      <c r="CX105">
        <v>93.6</v>
      </c>
      <c r="CY105">
        <v>87.5</v>
      </c>
      <c r="CZ105">
        <v>85</v>
      </c>
      <c r="DA105">
        <v>83.1</v>
      </c>
      <c r="DB105">
        <v>0</v>
      </c>
      <c r="DC105">
        <v>0</v>
      </c>
      <c r="DD105">
        <v>0</v>
      </c>
    </row>
    <row r="106" spans="1:108" x14ac:dyDescent="0.3">
      <c r="A106" t="s">
        <v>185</v>
      </c>
      <c r="B106" t="str" cm="1">
        <f t="array" ref="B106:Y106">VLOOKUP(A106,standard_pitchers_2019!A:Y,{2,3,4,5,6,7,8,9,10,11,12,13,14,15,16,17,18,19,20,21,22,23,24,25},FALSE)</f>
        <v>Giants</v>
      </c>
      <c r="C106">
        <v>9</v>
      </c>
      <c r="D106">
        <v>9</v>
      </c>
      <c r="E106">
        <v>3.9</v>
      </c>
      <c r="F106">
        <v>34</v>
      </c>
      <c r="G106">
        <v>34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207.2</v>
      </c>
      <c r="N106">
        <v>844</v>
      </c>
      <c r="O106">
        <v>191</v>
      </c>
      <c r="P106">
        <v>99</v>
      </c>
      <c r="Q106">
        <v>90</v>
      </c>
      <c r="R106">
        <v>30</v>
      </c>
      <c r="S106">
        <v>43</v>
      </c>
      <c r="T106">
        <v>3</v>
      </c>
      <c r="U106">
        <v>10</v>
      </c>
      <c r="V106">
        <v>3</v>
      </c>
      <c r="W106">
        <v>0</v>
      </c>
      <c r="X106">
        <v>203</v>
      </c>
      <c r="Y106">
        <v>5524</v>
      </c>
      <c r="Z106" cm="1">
        <f t="array" ref="Z106:AR106">VLOOKUP(A106,advanced_pitchers_2019!A:Y,{3,4,5,6,7,8,9,10,11,12,13,14,15,16,17,18,19,20,21},FALSE)</f>
        <v>8.8000000000000007</v>
      </c>
      <c r="AA106">
        <v>1.86</v>
      </c>
      <c r="AB106">
        <v>4.72</v>
      </c>
      <c r="AC106">
        <v>1.3</v>
      </c>
      <c r="AD106">
        <v>0.24099999999999999</v>
      </c>
      <c r="AE106">
        <v>5.0999999999999997E-2</v>
      </c>
      <c r="AF106">
        <v>0.19</v>
      </c>
      <c r="AG106">
        <v>0.24099999999999999</v>
      </c>
      <c r="AH106">
        <v>1.1299999999999999</v>
      </c>
      <c r="AI106">
        <v>0.28899999999999998</v>
      </c>
      <c r="AJ106">
        <v>0.71799999999999997</v>
      </c>
      <c r="AK106">
        <v>93</v>
      </c>
      <c r="AL106">
        <v>93</v>
      </c>
      <c r="AM106">
        <v>97</v>
      </c>
      <c r="AN106">
        <v>3.9</v>
      </c>
      <c r="AO106">
        <v>3.9</v>
      </c>
      <c r="AP106">
        <v>0</v>
      </c>
      <c r="AQ106">
        <v>4.3099999999999996</v>
      </c>
      <c r="AR106">
        <v>4.1500000000000004</v>
      </c>
      <c r="AS106" cm="1">
        <f t="array" ref="AS106:BA106">VLOOKUP(A106,plate_discipline_pitchers_2019!A:L,{3,4,5,6,7,8,9,10,11},FALSE)</f>
        <v>0.34799999999999998</v>
      </c>
      <c r="AT106">
        <v>0.71399999999999997</v>
      </c>
      <c r="AU106">
        <v>0.504</v>
      </c>
      <c r="AV106">
        <v>0.63900000000000001</v>
      </c>
      <c r="AW106">
        <v>0.85499999999999998</v>
      </c>
      <c r="AX106">
        <v>0.77</v>
      </c>
      <c r="AY106">
        <v>0.42699999999999999</v>
      </c>
      <c r="AZ106">
        <v>0.69499999999999995</v>
      </c>
      <c r="BA106">
        <v>0.11600000000000001</v>
      </c>
      <c r="BB106" cm="1">
        <f t="array" ref="BB106:BP106">VLOOKUP(A106,pitchvalue_pitchers_2019!A:Q,{3,4,5,6,7,8,9,10,11,12,13,14,15,16,17},FALSE)</f>
        <v>3.7</v>
      </c>
      <c r="BC106">
        <v>3</v>
      </c>
      <c r="BD106">
        <v>0</v>
      </c>
      <c r="BE106">
        <v>9.4</v>
      </c>
      <c r="BF106">
        <v>2.1</v>
      </c>
      <c r="BG106">
        <v>0</v>
      </c>
      <c r="BH106">
        <v>0</v>
      </c>
      <c r="BI106">
        <v>0.26</v>
      </c>
      <c r="BJ106">
        <v>0.28000000000000003</v>
      </c>
      <c r="BK106">
        <v>0</v>
      </c>
      <c r="BL106">
        <v>1.58</v>
      </c>
      <c r="BM106">
        <v>1.22</v>
      </c>
      <c r="BN106">
        <v>0</v>
      </c>
      <c r="BO106">
        <v>0</v>
      </c>
      <c r="BP106">
        <v>5524</v>
      </c>
      <c r="BQ106" cm="1">
        <f t="array" ref="BQ106:CH106">VLOOKUP(A106,battedball_pitchers_2019!A:U,{3,4,5,6,7,8,9,10,11,12,13,14,15,16,17,18,19,20},FALSE)</f>
        <v>0.28899999999999998</v>
      </c>
      <c r="BR106">
        <v>0.86</v>
      </c>
      <c r="BS106">
        <v>0.22600000000000001</v>
      </c>
      <c r="BT106">
        <v>0.35799999999999998</v>
      </c>
      <c r="BU106">
        <v>0.41599999999999998</v>
      </c>
      <c r="BV106">
        <v>7.9000000000000001E-2</v>
      </c>
      <c r="BW106">
        <v>0.126</v>
      </c>
      <c r="BX106">
        <v>103</v>
      </c>
      <c r="BY106">
        <v>4.46</v>
      </c>
      <c r="BZ106">
        <v>1071</v>
      </c>
      <c r="CA106">
        <v>2173</v>
      </c>
      <c r="CB106">
        <v>3244</v>
      </c>
      <c r="CC106">
        <v>0.434</v>
      </c>
      <c r="CD106">
        <v>0.33</v>
      </c>
      <c r="CE106">
        <v>0.23499999999999999</v>
      </c>
      <c r="CF106">
        <v>0.14699999999999999</v>
      </c>
      <c r="CG106">
        <v>0.41599999999999998</v>
      </c>
      <c r="CH106">
        <v>0.438</v>
      </c>
      <c r="CI106" cm="1">
        <f t="array" ref="CI106:CS106">VLOOKUP(A106,verticalmove_pitchers_2019!A:N,{3,4,5,6,7,8,9,10,11,12,13},FALSE)</f>
        <v>207.2</v>
      </c>
      <c r="CJ106">
        <v>8.5</v>
      </c>
      <c r="CK106">
        <v>4</v>
      </c>
      <c r="CL106">
        <v>0</v>
      </c>
      <c r="CM106">
        <v>3.8</v>
      </c>
      <c r="CN106">
        <v>4.2</v>
      </c>
      <c r="CO106">
        <v>9.1999999999999993</v>
      </c>
      <c r="CP106">
        <v>-3.5</v>
      </c>
      <c r="CQ106">
        <v>0</v>
      </c>
      <c r="CR106">
        <v>0</v>
      </c>
      <c r="CS106">
        <v>0</v>
      </c>
      <c r="CT106" cm="1">
        <f t="array" ref="CT106:DD106">VLOOKUP(A106,velocity_pitchers_2019!A:N,{3,4,5,6,7,8,9,10,11,12,13},FALSE)</f>
        <v>207.2</v>
      </c>
      <c r="CU106">
        <v>91.7</v>
      </c>
      <c r="CV106">
        <v>87.5</v>
      </c>
      <c r="CW106">
        <v>0</v>
      </c>
      <c r="CX106">
        <v>88.8</v>
      </c>
      <c r="CY106">
        <v>84.5</v>
      </c>
      <c r="CZ106">
        <v>93.3</v>
      </c>
      <c r="DA106">
        <v>79</v>
      </c>
      <c r="DB106">
        <v>0</v>
      </c>
      <c r="DC106">
        <v>0</v>
      </c>
      <c r="DD106">
        <v>0</v>
      </c>
    </row>
    <row r="107" spans="1:108" x14ac:dyDescent="0.3">
      <c r="A107" t="s">
        <v>97</v>
      </c>
      <c r="B107" t="str" cm="1">
        <f t="array" ref="B107:Y107">VLOOKUP(A107,standard_pitchers_2019!A:Y,{2,3,4,5,6,7,8,9,10,11,12,13,14,15,16,17,18,19,20,21,22,23,24,25},FALSE)</f>
        <v>Diamondbacks</v>
      </c>
      <c r="C107">
        <v>4</v>
      </c>
      <c r="D107">
        <v>3</v>
      </c>
      <c r="E107">
        <v>2.94</v>
      </c>
      <c r="F107">
        <v>12</v>
      </c>
      <c r="G107">
        <v>12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64.099999999999994</v>
      </c>
      <c r="N107">
        <v>260</v>
      </c>
      <c r="O107">
        <v>55</v>
      </c>
      <c r="P107">
        <v>22</v>
      </c>
      <c r="Q107">
        <v>21</v>
      </c>
      <c r="R107">
        <v>6</v>
      </c>
      <c r="S107">
        <v>14</v>
      </c>
      <c r="T107">
        <v>1</v>
      </c>
      <c r="U107">
        <v>3</v>
      </c>
      <c r="V107">
        <v>0</v>
      </c>
      <c r="W107">
        <v>0</v>
      </c>
      <c r="X107">
        <v>69</v>
      </c>
      <c r="Y107">
        <v>16918</v>
      </c>
      <c r="Z107" cm="1">
        <f t="array" ref="Z107:AR107">VLOOKUP(A107,advanced_pitchers_2019!A:Y,{3,4,5,6,7,8,9,10,11,12,13,14,15,16,17,18,19,20,21},FALSE)</f>
        <v>9.65</v>
      </c>
      <c r="AA107">
        <v>1.96</v>
      </c>
      <c r="AB107">
        <v>4.93</v>
      </c>
      <c r="AC107">
        <v>0.84</v>
      </c>
      <c r="AD107">
        <v>0.26500000000000001</v>
      </c>
      <c r="AE107">
        <v>5.3999999999999999E-2</v>
      </c>
      <c r="AF107">
        <v>0.21199999999999999</v>
      </c>
      <c r="AG107">
        <v>0.22600000000000001</v>
      </c>
      <c r="AH107">
        <v>1.07</v>
      </c>
      <c r="AI107">
        <v>0.29199999999999998</v>
      </c>
      <c r="AJ107">
        <v>0.78600000000000003</v>
      </c>
      <c r="AK107">
        <v>67</v>
      </c>
      <c r="AL107">
        <v>70</v>
      </c>
      <c r="AM107">
        <v>87</v>
      </c>
      <c r="AN107">
        <v>2.94</v>
      </c>
      <c r="AO107">
        <v>3.07</v>
      </c>
      <c r="AP107">
        <v>-0.14000000000000001</v>
      </c>
      <c r="AQ107">
        <v>3.87</v>
      </c>
      <c r="AR107">
        <v>3.84</v>
      </c>
      <c r="AS107" cm="1">
        <f t="array" ref="AS107:BA107">VLOOKUP(A107,plate_discipline_pitchers_2019!A:L,{3,4,5,6,7,8,9,10,11},FALSE)</f>
        <v>0.30199999999999999</v>
      </c>
      <c r="AT107">
        <v>0.68700000000000006</v>
      </c>
      <c r="AU107">
        <v>0.46400000000000002</v>
      </c>
      <c r="AV107">
        <v>0.66300000000000003</v>
      </c>
      <c r="AW107">
        <v>0.84299999999999997</v>
      </c>
      <c r="AX107">
        <v>0.77500000000000002</v>
      </c>
      <c r="AY107">
        <v>0.42199999999999999</v>
      </c>
      <c r="AZ107">
        <v>0.61899999999999999</v>
      </c>
      <c r="BA107">
        <v>0.104</v>
      </c>
      <c r="BB107" cm="1">
        <f t="array" ref="BB107:BP107">VLOOKUP(A107,pitchvalue_pitchers_2019!A:Q,{3,4,5,6,7,8,9,10,11,12,13,14,15,16,17},FALSE)</f>
        <v>3.4</v>
      </c>
      <c r="BC107">
        <v>0</v>
      </c>
      <c r="BD107">
        <v>2.1</v>
      </c>
      <c r="BE107">
        <v>-1</v>
      </c>
      <c r="BF107">
        <v>6.5</v>
      </c>
      <c r="BG107">
        <v>0</v>
      </c>
      <c r="BH107">
        <v>0</v>
      </c>
      <c r="BI107">
        <v>0.62</v>
      </c>
      <c r="BJ107">
        <v>0</v>
      </c>
      <c r="BK107">
        <v>1.45</v>
      </c>
      <c r="BL107">
        <v>-1</v>
      </c>
      <c r="BM107">
        <v>2.5099999999999998</v>
      </c>
      <c r="BN107">
        <v>0</v>
      </c>
      <c r="BO107">
        <v>0</v>
      </c>
      <c r="BP107">
        <v>16918</v>
      </c>
      <c r="BQ107" cm="1">
        <f t="array" ref="BQ107:CH107">VLOOKUP(A107,battedball_pitchers_2019!A:U,{3,4,5,6,7,8,9,10,11,12,13,14,15,16,17,18,19,20},FALSE)</f>
        <v>0.29199999999999998</v>
      </c>
      <c r="BR107">
        <v>1.08</v>
      </c>
      <c r="BS107">
        <v>0.215</v>
      </c>
      <c r="BT107">
        <v>0.40699999999999997</v>
      </c>
      <c r="BU107">
        <v>0.378</v>
      </c>
      <c r="BV107">
        <v>9.1999999999999998E-2</v>
      </c>
      <c r="BW107">
        <v>9.1999999999999998E-2</v>
      </c>
      <c r="BX107">
        <v>33</v>
      </c>
      <c r="BY107">
        <v>4.62</v>
      </c>
      <c r="BZ107">
        <v>376</v>
      </c>
      <c r="CA107">
        <v>677</v>
      </c>
      <c r="CB107">
        <v>1053</v>
      </c>
      <c r="CC107">
        <v>0.374</v>
      </c>
      <c r="CD107">
        <v>0.31</v>
      </c>
      <c r="CE107">
        <v>0.316</v>
      </c>
      <c r="CF107">
        <v>0.14399999999999999</v>
      </c>
      <c r="CG107">
        <v>0.42</v>
      </c>
      <c r="CH107">
        <v>0.437</v>
      </c>
      <c r="CI107" cm="1">
        <f t="array" ref="CI107:CS107">VLOOKUP(A107,verticalmove_pitchers_2019!A:N,{3,4,5,6,7,8,9,10,11,12,13},FALSE)</f>
        <v>64.099999999999994</v>
      </c>
      <c r="CJ107">
        <v>8.8000000000000007</v>
      </c>
      <c r="CK107">
        <v>3.9</v>
      </c>
      <c r="CL107">
        <v>0</v>
      </c>
      <c r="CM107">
        <v>0</v>
      </c>
      <c r="CN107">
        <v>3.4</v>
      </c>
      <c r="CO107">
        <v>4.9000000000000004</v>
      </c>
      <c r="CP107">
        <v>-5.3</v>
      </c>
      <c r="CQ107">
        <v>0</v>
      </c>
      <c r="CR107">
        <v>0</v>
      </c>
      <c r="CS107">
        <v>0</v>
      </c>
      <c r="CT107" cm="1">
        <f t="array" ref="CT107:DD107">VLOOKUP(A107,velocity_pitchers_2019!A:N,{3,4,5,6,7,8,9,10,11,12,13},FALSE)</f>
        <v>64.099999999999994</v>
      </c>
      <c r="CU107">
        <v>94.1</v>
      </c>
      <c r="CV107">
        <v>87.8</v>
      </c>
      <c r="CW107">
        <v>0</v>
      </c>
      <c r="CX107">
        <v>0</v>
      </c>
      <c r="CY107">
        <v>84.8</v>
      </c>
      <c r="CZ107">
        <v>88.9</v>
      </c>
      <c r="DA107">
        <v>81.599999999999994</v>
      </c>
      <c r="DB107">
        <v>0</v>
      </c>
      <c r="DC107">
        <v>0</v>
      </c>
      <c r="DD107">
        <v>0</v>
      </c>
    </row>
    <row r="108" spans="1:108" x14ac:dyDescent="0.3">
      <c r="A108" t="s">
        <v>229</v>
      </c>
      <c r="B108" t="str" cm="1">
        <f t="array" ref="B108:Y108">VLOOKUP(A108,standard_pitchers_2019!A:Y,{2,3,4,5,6,7,8,9,10,11,12,13,14,15,16,17,18,19,20,21,22,23,24,25},FALSE)</f>
        <v>Angels</v>
      </c>
      <c r="C108">
        <v>7</v>
      </c>
      <c r="D108">
        <v>7</v>
      </c>
      <c r="E108">
        <v>4.29</v>
      </c>
      <c r="F108">
        <v>15</v>
      </c>
      <c r="G108">
        <v>15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79.2</v>
      </c>
      <c r="N108">
        <v>335</v>
      </c>
      <c r="O108">
        <v>73</v>
      </c>
      <c r="P108">
        <v>41</v>
      </c>
      <c r="Q108">
        <v>38</v>
      </c>
      <c r="R108">
        <v>9</v>
      </c>
      <c r="S108">
        <v>28</v>
      </c>
      <c r="T108">
        <v>0</v>
      </c>
      <c r="U108">
        <v>2</v>
      </c>
      <c r="V108">
        <v>2</v>
      </c>
      <c r="W108">
        <v>2</v>
      </c>
      <c r="X108">
        <v>78</v>
      </c>
      <c r="Y108">
        <v>10190</v>
      </c>
      <c r="Z108" cm="1">
        <f t="array" ref="Z108:AR108">VLOOKUP(A108,advanced_pitchers_2019!A:Y,{3,4,5,6,7,8,9,10,11,12,13,14,15,16,17,18,19,20,21},FALSE)</f>
        <v>8.81</v>
      </c>
      <c r="AA108">
        <v>3.16</v>
      </c>
      <c r="AB108">
        <v>2.79</v>
      </c>
      <c r="AC108">
        <v>1.02</v>
      </c>
      <c r="AD108">
        <v>0.23300000000000001</v>
      </c>
      <c r="AE108">
        <v>8.4000000000000005E-2</v>
      </c>
      <c r="AF108">
        <v>0.14899999999999999</v>
      </c>
      <c r="AG108">
        <v>0.23899999999999999</v>
      </c>
      <c r="AH108">
        <v>1.27</v>
      </c>
      <c r="AI108">
        <v>0.29399999999999998</v>
      </c>
      <c r="AJ108">
        <v>0.68600000000000005</v>
      </c>
      <c r="AK108">
        <v>95</v>
      </c>
      <c r="AL108">
        <v>84</v>
      </c>
      <c r="AM108">
        <v>95</v>
      </c>
      <c r="AN108">
        <v>4.29</v>
      </c>
      <c r="AO108">
        <v>3.85</v>
      </c>
      <c r="AP108">
        <v>0.44</v>
      </c>
      <c r="AQ108">
        <v>4.3600000000000003</v>
      </c>
      <c r="AR108">
        <v>4.54</v>
      </c>
      <c r="AS108" cm="1">
        <f t="array" ref="AS108:BA108">VLOOKUP(A108,plate_discipline_pitchers_2019!A:L,{3,4,5,6,7,8,9,10,11},FALSE)</f>
        <v>0.29199999999999998</v>
      </c>
      <c r="AT108">
        <v>0.67500000000000004</v>
      </c>
      <c r="AU108">
        <v>0.46200000000000002</v>
      </c>
      <c r="AV108">
        <v>0.68400000000000005</v>
      </c>
      <c r="AW108">
        <v>0.86299999999999999</v>
      </c>
      <c r="AX108">
        <v>0.8</v>
      </c>
      <c r="AY108">
        <v>0.44400000000000001</v>
      </c>
      <c r="AZ108">
        <v>0.61199999999999999</v>
      </c>
      <c r="BA108">
        <v>9.1999999999999998E-2</v>
      </c>
      <c r="BB108" cm="1">
        <f t="array" ref="BB108:BP108">VLOOKUP(A108,pitchvalue_pitchers_2019!A:Q,{3,4,5,6,7,8,9,10,11,12,13,14,15,16,17},FALSE)</f>
        <v>3.2</v>
      </c>
      <c r="BC108">
        <v>0</v>
      </c>
      <c r="BD108">
        <v>0</v>
      </c>
      <c r="BE108">
        <v>3.1</v>
      </c>
      <c r="BF108">
        <v>0.9</v>
      </c>
      <c r="BG108">
        <v>0</v>
      </c>
      <c r="BH108">
        <v>0</v>
      </c>
      <c r="BI108">
        <v>0.46</v>
      </c>
      <c r="BJ108">
        <v>0</v>
      </c>
      <c r="BK108">
        <v>0</v>
      </c>
      <c r="BL108">
        <v>0.66</v>
      </c>
      <c r="BM108">
        <v>0.42</v>
      </c>
      <c r="BN108">
        <v>0</v>
      </c>
      <c r="BO108">
        <v>0</v>
      </c>
      <c r="BP108">
        <v>10190</v>
      </c>
      <c r="BQ108" cm="1">
        <f t="array" ref="BQ108:CH108">VLOOKUP(A108,battedball_pitchers_2019!A:U,{3,4,5,6,7,8,9,10,11,12,13,14,15,16,17,18,19,20},FALSE)</f>
        <v>0.29399999999999998</v>
      </c>
      <c r="BR108">
        <v>1.05</v>
      </c>
      <c r="BS108">
        <v>0.27700000000000002</v>
      </c>
      <c r="BT108">
        <v>0.371</v>
      </c>
      <c r="BU108">
        <v>0.35299999999999998</v>
      </c>
      <c r="BV108">
        <v>0.13900000000000001</v>
      </c>
      <c r="BW108">
        <v>0.114</v>
      </c>
      <c r="BX108">
        <v>37</v>
      </c>
      <c r="BY108">
        <v>4.18</v>
      </c>
      <c r="BZ108">
        <v>507</v>
      </c>
      <c r="CA108">
        <v>879</v>
      </c>
      <c r="CB108">
        <v>1386</v>
      </c>
      <c r="CC108">
        <v>0.41399999999999998</v>
      </c>
      <c r="CD108">
        <v>0.35199999999999998</v>
      </c>
      <c r="CE108">
        <v>0.23300000000000001</v>
      </c>
      <c r="CF108">
        <v>0.185</v>
      </c>
      <c r="CG108">
        <v>0.39200000000000002</v>
      </c>
      <c r="CH108">
        <v>0.42299999999999999</v>
      </c>
      <c r="CI108" cm="1">
        <f t="array" ref="CI108:CS108">VLOOKUP(A108,verticalmove_pitchers_2019!A:N,{3,4,5,6,7,8,9,10,11,12,13},FALSE)</f>
        <v>79.2</v>
      </c>
      <c r="CJ108">
        <v>9.1999999999999993</v>
      </c>
      <c r="CK108">
        <v>0</v>
      </c>
      <c r="CL108">
        <v>0</v>
      </c>
      <c r="CM108">
        <v>-0.6</v>
      </c>
      <c r="CN108">
        <v>5.0999999999999996</v>
      </c>
      <c r="CO108">
        <v>0</v>
      </c>
      <c r="CP108">
        <v>-11.3</v>
      </c>
      <c r="CQ108">
        <v>0</v>
      </c>
      <c r="CR108">
        <v>0</v>
      </c>
      <c r="CS108">
        <v>0</v>
      </c>
      <c r="CT108" cm="1">
        <f t="array" ref="CT108:DD108">VLOOKUP(A108,velocity_pitchers_2019!A:N,{3,4,5,6,7,8,9,10,11,12,13},FALSE)</f>
        <v>79.2</v>
      </c>
      <c r="CU108">
        <v>91.8</v>
      </c>
      <c r="CV108">
        <v>0</v>
      </c>
      <c r="CW108">
        <v>0</v>
      </c>
      <c r="CX108">
        <v>83.6</v>
      </c>
      <c r="CY108">
        <v>84.3</v>
      </c>
      <c r="CZ108">
        <v>0</v>
      </c>
      <c r="DA108">
        <v>75.5</v>
      </c>
      <c r="DB108">
        <v>0</v>
      </c>
      <c r="DC108">
        <v>0</v>
      </c>
      <c r="DD108">
        <v>0</v>
      </c>
    </row>
    <row r="109" spans="1:108" x14ac:dyDescent="0.3">
      <c r="A109" t="s">
        <v>196</v>
      </c>
      <c r="B109" t="str" cm="1">
        <f t="array" ref="B109:Y109">VLOOKUP(A109,standard_pitchers_2019!A:Y,{2,3,4,5,6,7,8,9,10,11,12,13,14,15,16,17,18,19,20,21,22,23,24,25},FALSE)</f>
        <v>Padres</v>
      </c>
      <c r="C109">
        <v>2</v>
      </c>
      <c r="D109">
        <v>4</v>
      </c>
      <c r="E109">
        <v>4</v>
      </c>
      <c r="F109">
        <v>47</v>
      </c>
      <c r="G109">
        <v>1</v>
      </c>
      <c r="H109">
        <v>0</v>
      </c>
      <c r="I109">
        <v>0</v>
      </c>
      <c r="J109">
        <v>0</v>
      </c>
      <c r="K109">
        <v>7</v>
      </c>
      <c r="L109">
        <v>1</v>
      </c>
      <c r="M109">
        <v>72</v>
      </c>
      <c r="N109">
        <v>296</v>
      </c>
      <c r="O109">
        <v>69</v>
      </c>
      <c r="P109">
        <v>34</v>
      </c>
      <c r="Q109">
        <v>32</v>
      </c>
      <c r="R109">
        <v>6</v>
      </c>
      <c r="S109">
        <v>18</v>
      </c>
      <c r="T109">
        <v>1</v>
      </c>
      <c r="U109">
        <v>2</v>
      </c>
      <c r="V109">
        <v>3</v>
      </c>
      <c r="W109">
        <v>0</v>
      </c>
      <c r="X109">
        <v>55</v>
      </c>
      <c r="Y109">
        <v>14682</v>
      </c>
      <c r="Z109" cm="1">
        <f t="array" ref="Z109:AR109">VLOOKUP(A109,advanced_pitchers_2019!A:Y,{3,4,5,6,7,8,9,10,11,12,13,14,15,16,17,18,19,20,21},FALSE)</f>
        <v>6.88</v>
      </c>
      <c r="AA109">
        <v>2.25</v>
      </c>
      <c r="AB109">
        <v>3.06</v>
      </c>
      <c r="AC109">
        <v>0.75</v>
      </c>
      <c r="AD109">
        <v>0.186</v>
      </c>
      <c r="AE109">
        <v>6.0999999999999999E-2</v>
      </c>
      <c r="AF109">
        <v>0.125</v>
      </c>
      <c r="AG109">
        <v>0.25</v>
      </c>
      <c r="AH109">
        <v>1.21</v>
      </c>
      <c r="AI109">
        <v>0.29299999999999998</v>
      </c>
      <c r="AJ109">
        <v>0.68200000000000005</v>
      </c>
      <c r="AK109">
        <v>94</v>
      </c>
      <c r="AL109">
        <v>82</v>
      </c>
      <c r="AM109">
        <v>94</v>
      </c>
      <c r="AN109">
        <v>4</v>
      </c>
      <c r="AO109">
        <v>3.6</v>
      </c>
      <c r="AP109">
        <v>0.4</v>
      </c>
      <c r="AQ109">
        <v>4.18</v>
      </c>
      <c r="AR109">
        <v>4.1500000000000004</v>
      </c>
      <c r="AS109" cm="1">
        <f t="array" ref="AS109:BA109">VLOOKUP(A109,plate_discipline_pitchers_2019!A:L,{3,4,5,6,7,8,9,10,11},FALSE)</f>
        <v>0.34799999999999998</v>
      </c>
      <c r="AT109">
        <v>0.66400000000000003</v>
      </c>
      <c r="AU109">
        <v>0.48299999999999998</v>
      </c>
      <c r="AV109">
        <v>0.70799999999999996</v>
      </c>
      <c r="AW109">
        <v>0.90200000000000002</v>
      </c>
      <c r="AX109">
        <v>0.82099999999999995</v>
      </c>
      <c r="AY109">
        <v>0.42499999999999999</v>
      </c>
      <c r="AZ109">
        <v>0.68899999999999995</v>
      </c>
      <c r="BA109">
        <v>8.5999999999999993E-2</v>
      </c>
      <c r="BB109" cm="1">
        <f t="array" ref="BB109:BP109">VLOOKUP(A109,pitchvalue_pitchers_2019!A:Q,{3,4,5,6,7,8,9,10,11,12,13,14,15,16,17},FALSE)</f>
        <v>3.2</v>
      </c>
      <c r="BC109">
        <v>3.4</v>
      </c>
      <c r="BD109">
        <v>0</v>
      </c>
      <c r="BE109">
        <v>0</v>
      </c>
      <c r="BF109">
        <v>2.7</v>
      </c>
      <c r="BG109">
        <v>0</v>
      </c>
      <c r="BH109">
        <v>0</v>
      </c>
      <c r="BI109">
        <v>0.56999999999999995</v>
      </c>
      <c r="BJ109">
        <v>0.94</v>
      </c>
      <c r="BK109">
        <v>0</v>
      </c>
      <c r="BL109">
        <v>0</v>
      </c>
      <c r="BM109">
        <v>2.34</v>
      </c>
      <c r="BN109">
        <v>0</v>
      </c>
      <c r="BO109">
        <v>0</v>
      </c>
      <c r="BP109">
        <v>14682</v>
      </c>
      <c r="BQ109" cm="1">
        <f t="array" ref="BQ109:CH109">VLOOKUP(A109,battedball_pitchers_2019!A:U,{3,4,5,6,7,8,9,10,11,12,13,14,15,16,17,18,19,20},FALSE)</f>
        <v>0.29299999999999998</v>
      </c>
      <c r="BR109">
        <v>1.9</v>
      </c>
      <c r="BS109">
        <v>0.19800000000000001</v>
      </c>
      <c r="BT109">
        <v>0.52500000000000002</v>
      </c>
      <c r="BU109">
        <v>0.27600000000000002</v>
      </c>
      <c r="BV109">
        <v>3.3000000000000002E-2</v>
      </c>
      <c r="BW109">
        <v>0.1</v>
      </c>
      <c r="BX109">
        <v>32</v>
      </c>
      <c r="BY109">
        <v>4</v>
      </c>
      <c r="BZ109">
        <v>336</v>
      </c>
      <c r="CA109">
        <v>708</v>
      </c>
      <c r="CB109">
        <v>1044</v>
      </c>
      <c r="CC109">
        <v>0.40699999999999997</v>
      </c>
      <c r="CD109">
        <v>0.36199999999999999</v>
      </c>
      <c r="CE109">
        <v>0.23100000000000001</v>
      </c>
      <c r="CF109">
        <v>0.13100000000000001</v>
      </c>
      <c r="CG109">
        <v>0.48399999999999999</v>
      </c>
      <c r="CH109">
        <v>0.38500000000000001</v>
      </c>
      <c r="CI109" cm="1">
        <f t="array" ref="CI109:CS109">VLOOKUP(A109,verticalmove_pitchers_2019!A:N,{3,4,5,6,7,8,9,10,11,12,13},FALSE)</f>
        <v>72</v>
      </c>
      <c r="CJ109">
        <v>7</v>
      </c>
      <c r="CK109">
        <v>0</v>
      </c>
      <c r="CL109">
        <v>0</v>
      </c>
      <c r="CM109">
        <v>5.0999999999999996</v>
      </c>
      <c r="CN109">
        <v>2.2000000000000002</v>
      </c>
      <c r="CO109">
        <v>-0.4</v>
      </c>
      <c r="CP109">
        <v>0</v>
      </c>
      <c r="CQ109">
        <v>0</v>
      </c>
      <c r="CR109">
        <v>0</v>
      </c>
      <c r="CS109">
        <v>0</v>
      </c>
      <c r="CT109" cm="1">
        <f t="array" ref="CT109:DD109">VLOOKUP(A109,velocity_pitchers_2019!A:N,{3,4,5,6,7,8,9,10,11,12,13},FALSE)</f>
        <v>72</v>
      </c>
      <c r="CU109">
        <v>95</v>
      </c>
      <c r="CV109">
        <v>0</v>
      </c>
      <c r="CW109">
        <v>0</v>
      </c>
      <c r="CX109">
        <v>94.3</v>
      </c>
      <c r="CY109">
        <v>88.6</v>
      </c>
      <c r="CZ109">
        <v>86.8</v>
      </c>
      <c r="DA109">
        <v>0</v>
      </c>
      <c r="DB109">
        <v>0</v>
      </c>
      <c r="DC109">
        <v>0</v>
      </c>
      <c r="DD109">
        <v>0</v>
      </c>
    </row>
    <row r="110" spans="1:108" x14ac:dyDescent="0.3">
      <c r="A110" t="s">
        <v>107</v>
      </c>
      <c r="B110" t="str" cm="1">
        <f t="array" ref="B110:Y110">VLOOKUP(A110,standard_pitchers_2019!A:Y,{2,3,4,5,6,7,8,9,10,11,12,13,14,15,16,17,18,19,20,21,22,23,24,25},FALSE)</f>
        <v>Rays</v>
      </c>
      <c r="C110">
        <v>5</v>
      </c>
      <c r="D110">
        <v>2</v>
      </c>
      <c r="E110">
        <v>3.21</v>
      </c>
      <c r="F110">
        <v>50</v>
      </c>
      <c r="G110">
        <v>0</v>
      </c>
      <c r="H110">
        <v>0</v>
      </c>
      <c r="I110">
        <v>0</v>
      </c>
      <c r="J110">
        <v>2</v>
      </c>
      <c r="K110">
        <v>10</v>
      </c>
      <c r="L110">
        <v>1</v>
      </c>
      <c r="M110">
        <v>56</v>
      </c>
      <c r="N110">
        <v>219</v>
      </c>
      <c r="O110">
        <v>36</v>
      </c>
      <c r="P110">
        <v>20</v>
      </c>
      <c r="Q110">
        <v>20</v>
      </c>
      <c r="R110">
        <v>9</v>
      </c>
      <c r="S110">
        <v>19</v>
      </c>
      <c r="T110">
        <v>1</v>
      </c>
      <c r="U110">
        <v>1</v>
      </c>
      <c r="V110">
        <v>1</v>
      </c>
      <c r="W110">
        <v>0</v>
      </c>
      <c r="X110">
        <v>70</v>
      </c>
      <c r="Y110">
        <v>8823</v>
      </c>
      <c r="Z110" cm="1">
        <f t="array" ref="Z110:AR110">VLOOKUP(A110,advanced_pitchers_2019!A:Y,{3,4,5,6,7,8,9,10,11,12,13,14,15,16,17,18,19,20,21},FALSE)</f>
        <v>11.25</v>
      </c>
      <c r="AA110">
        <v>3.05</v>
      </c>
      <c r="AB110">
        <v>3.68</v>
      </c>
      <c r="AC110">
        <v>1.45</v>
      </c>
      <c r="AD110">
        <v>0.32</v>
      </c>
      <c r="AE110">
        <v>8.6999999999999994E-2</v>
      </c>
      <c r="AF110">
        <v>0.23300000000000001</v>
      </c>
      <c r="AG110">
        <v>0.18099999999999999</v>
      </c>
      <c r="AH110">
        <v>0.98</v>
      </c>
      <c r="AI110">
        <v>0.22500000000000001</v>
      </c>
      <c r="AJ110">
        <v>0.82899999999999996</v>
      </c>
      <c r="AK110">
        <v>72</v>
      </c>
      <c r="AL110">
        <v>88</v>
      </c>
      <c r="AM110">
        <v>70</v>
      </c>
      <c r="AN110">
        <v>3.21</v>
      </c>
      <c r="AO110">
        <v>3.87</v>
      </c>
      <c r="AP110">
        <v>-0.66</v>
      </c>
      <c r="AQ110">
        <v>3.21</v>
      </c>
      <c r="AR110">
        <v>3.18</v>
      </c>
      <c r="AS110" cm="1">
        <f t="array" ref="AS110:BA110">VLOOKUP(A110,plate_discipline_pitchers_2019!A:L,{3,4,5,6,7,8,9,10,11},FALSE)</f>
        <v>0.34499999999999997</v>
      </c>
      <c r="AT110">
        <v>0.67300000000000004</v>
      </c>
      <c r="AU110">
        <v>0.49199999999999999</v>
      </c>
      <c r="AV110">
        <v>0.497</v>
      </c>
      <c r="AW110">
        <v>0.76100000000000001</v>
      </c>
      <c r="AX110">
        <v>0.65900000000000003</v>
      </c>
      <c r="AY110">
        <v>0.44800000000000001</v>
      </c>
      <c r="AZ110">
        <v>0.58899999999999997</v>
      </c>
      <c r="BA110">
        <v>0.16800000000000001</v>
      </c>
      <c r="BB110" cm="1">
        <f t="array" ref="BB110:BP110">VLOOKUP(A110,pitchvalue_pitchers_2019!A:Q,{3,4,5,6,7,8,9,10,11,12,13,14,15,16,17},FALSE)</f>
        <v>3.2</v>
      </c>
      <c r="BC110">
        <v>-0.8</v>
      </c>
      <c r="BD110">
        <v>0</v>
      </c>
      <c r="BE110">
        <v>0</v>
      </c>
      <c r="BF110">
        <v>0</v>
      </c>
      <c r="BG110">
        <v>8</v>
      </c>
      <c r="BH110">
        <v>0</v>
      </c>
      <c r="BI110">
        <v>0.84</v>
      </c>
      <c r="BJ110">
        <v>-8.92</v>
      </c>
      <c r="BK110">
        <v>0</v>
      </c>
      <c r="BL110">
        <v>0</v>
      </c>
      <c r="BM110">
        <v>0</v>
      </c>
      <c r="BN110">
        <v>1.45</v>
      </c>
      <c r="BO110">
        <v>0</v>
      </c>
      <c r="BP110">
        <v>8823</v>
      </c>
      <c r="BQ110" cm="1">
        <f t="array" ref="BQ110:CH110">VLOOKUP(A110,battedball_pitchers_2019!A:U,{3,4,5,6,7,8,9,10,11,12,13,14,15,16,17,18,19,20},FALSE)</f>
        <v>0.22500000000000001</v>
      </c>
      <c r="BR110">
        <v>1.68</v>
      </c>
      <c r="BS110">
        <v>0.16400000000000001</v>
      </c>
      <c r="BT110">
        <v>0.52300000000000002</v>
      </c>
      <c r="BU110">
        <v>0.313</v>
      </c>
      <c r="BV110">
        <v>0.1</v>
      </c>
      <c r="BW110">
        <v>0.22500000000000001</v>
      </c>
      <c r="BX110">
        <v>32</v>
      </c>
      <c r="BY110">
        <v>5.14</v>
      </c>
      <c r="BZ110">
        <v>324</v>
      </c>
      <c r="CA110">
        <v>617</v>
      </c>
      <c r="CB110">
        <v>941</v>
      </c>
      <c r="CC110">
        <v>0.46500000000000002</v>
      </c>
      <c r="CD110">
        <v>0.31</v>
      </c>
      <c r="CE110">
        <v>0.22500000000000001</v>
      </c>
      <c r="CF110">
        <v>0.14000000000000001</v>
      </c>
      <c r="CG110">
        <v>0.46500000000000002</v>
      </c>
      <c r="CH110">
        <v>0.39500000000000002</v>
      </c>
      <c r="CI110" cm="1">
        <f t="array" ref="CI110:CS110">VLOOKUP(A110,verticalmove_pitchers_2019!A:N,{3,4,5,6,7,8,9,10,11,12,13},FALSE)</f>
        <v>56</v>
      </c>
      <c r="CJ110">
        <v>9.8000000000000007</v>
      </c>
      <c r="CK110">
        <v>0</v>
      </c>
      <c r="CL110">
        <v>1.2</v>
      </c>
      <c r="CM110">
        <v>0</v>
      </c>
      <c r="CN110">
        <v>0</v>
      </c>
      <c r="CO110">
        <v>1.6</v>
      </c>
      <c r="CP110">
        <v>-0.4</v>
      </c>
      <c r="CQ110">
        <v>0</v>
      </c>
      <c r="CR110">
        <v>0</v>
      </c>
      <c r="CS110">
        <v>0</v>
      </c>
      <c r="CT110" cm="1">
        <f t="array" ref="CT110:DD110">VLOOKUP(A110,velocity_pitchers_2019!A:N,{3,4,5,6,7,8,9,10,11,12,13},FALSE)</f>
        <v>56</v>
      </c>
      <c r="CU110">
        <v>93.8</v>
      </c>
      <c r="CV110">
        <v>0</v>
      </c>
      <c r="CW110">
        <v>84.2</v>
      </c>
      <c r="CX110">
        <v>0</v>
      </c>
      <c r="CY110">
        <v>0</v>
      </c>
      <c r="CZ110">
        <v>84.2</v>
      </c>
      <c r="DA110">
        <v>83.7</v>
      </c>
      <c r="DB110">
        <v>0</v>
      </c>
      <c r="DC110">
        <v>0</v>
      </c>
      <c r="DD110">
        <v>0</v>
      </c>
    </row>
    <row r="111" spans="1:108" x14ac:dyDescent="0.3">
      <c r="A111" t="s">
        <v>175</v>
      </c>
      <c r="B111" t="str" cm="1">
        <f t="array" ref="B111:Y111">VLOOKUP(A111,standard_pitchers_2019!A:Y,{2,3,4,5,6,7,8,9,10,11,12,13,14,15,16,17,18,19,20,21,22,23,24,25},FALSE)</f>
        <v>Yankees</v>
      </c>
      <c r="C111">
        <v>15</v>
      </c>
      <c r="D111">
        <v>6</v>
      </c>
      <c r="E111">
        <v>3.82</v>
      </c>
      <c r="F111">
        <v>29</v>
      </c>
      <c r="G111">
        <v>29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150.19999999999999</v>
      </c>
      <c r="N111">
        <v>633</v>
      </c>
      <c r="O111">
        <v>138</v>
      </c>
      <c r="P111">
        <v>71</v>
      </c>
      <c r="Q111">
        <v>64</v>
      </c>
      <c r="R111">
        <v>23</v>
      </c>
      <c r="S111">
        <v>55</v>
      </c>
      <c r="T111">
        <v>0</v>
      </c>
      <c r="U111">
        <v>2</v>
      </c>
      <c r="V111">
        <v>7</v>
      </c>
      <c r="W111">
        <v>1</v>
      </c>
      <c r="X111">
        <v>186</v>
      </c>
      <c r="Y111">
        <v>11828</v>
      </c>
      <c r="Z111" cm="1">
        <f t="array" ref="Z111:AR111">VLOOKUP(A111,advanced_pitchers_2019!A:Y,{3,4,5,6,7,8,9,10,11,12,13,14,15,16,17,18,19,20,21},FALSE)</f>
        <v>11.11</v>
      </c>
      <c r="AA111">
        <v>3.29</v>
      </c>
      <c r="AB111">
        <v>3.38</v>
      </c>
      <c r="AC111">
        <v>1.37</v>
      </c>
      <c r="AD111">
        <v>0.29399999999999998</v>
      </c>
      <c r="AE111">
        <v>8.6999999999999994E-2</v>
      </c>
      <c r="AF111">
        <v>0.20699999999999999</v>
      </c>
      <c r="AG111">
        <v>0.24</v>
      </c>
      <c r="AH111">
        <v>1.28</v>
      </c>
      <c r="AI111">
        <v>0.313</v>
      </c>
      <c r="AJ111">
        <v>0.76200000000000001</v>
      </c>
      <c r="AK111">
        <v>83</v>
      </c>
      <c r="AL111">
        <v>83</v>
      </c>
      <c r="AM111">
        <v>88</v>
      </c>
      <c r="AN111">
        <v>3.82</v>
      </c>
      <c r="AO111">
        <v>3.86</v>
      </c>
      <c r="AP111">
        <v>-0.04</v>
      </c>
      <c r="AQ111">
        <v>4.03</v>
      </c>
      <c r="AR111">
        <v>3.93</v>
      </c>
      <c r="AS111" cm="1">
        <f t="array" ref="AS111:BA111">VLOOKUP(A111,plate_discipline_pitchers_2019!A:L,{3,4,5,6,7,8,9,10,11},FALSE)</f>
        <v>0.34</v>
      </c>
      <c r="AT111">
        <v>0.71799999999999997</v>
      </c>
      <c r="AU111">
        <v>0.498</v>
      </c>
      <c r="AV111">
        <v>0.57899999999999996</v>
      </c>
      <c r="AW111">
        <v>0.80900000000000005</v>
      </c>
      <c r="AX111">
        <v>0.71699999999999997</v>
      </c>
      <c r="AY111">
        <v>0.41799999999999998</v>
      </c>
      <c r="AZ111">
        <v>0.65600000000000003</v>
      </c>
      <c r="BA111">
        <v>0.14099999999999999</v>
      </c>
      <c r="BB111" cm="1">
        <f t="array" ref="BB111:BP111">VLOOKUP(A111,pitchvalue_pitchers_2019!A:Q,{3,4,5,6,7,8,9,10,11,12,13,14,15,16,17},FALSE)</f>
        <v>3</v>
      </c>
      <c r="BC111">
        <v>0</v>
      </c>
      <c r="BD111">
        <v>-3.6</v>
      </c>
      <c r="BE111">
        <v>6.3</v>
      </c>
      <c r="BF111">
        <v>0.9</v>
      </c>
      <c r="BG111">
        <v>0</v>
      </c>
      <c r="BH111">
        <v>0</v>
      </c>
      <c r="BI111">
        <v>0.19</v>
      </c>
      <c r="BJ111">
        <v>0</v>
      </c>
      <c r="BK111">
        <v>-0.67</v>
      </c>
      <c r="BL111">
        <v>1.25</v>
      </c>
      <c r="BM111">
        <v>2.75</v>
      </c>
      <c r="BN111">
        <v>0</v>
      </c>
      <c r="BO111">
        <v>0</v>
      </c>
      <c r="BP111">
        <v>11828</v>
      </c>
      <c r="BQ111" cm="1">
        <f t="array" ref="BQ111:CH111">VLOOKUP(A111,battedball_pitchers_2019!A:U,{3,4,5,6,7,8,9,10,11,12,13,14,15,16,17,18,19,20},FALSE)</f>
        <v>0.313</v>
      </c>
      <c r="BR111">
        <v>0.9</v>
      </c>
      <c r="BS111">
        <v>0.191</v>
      </c>
      <c r="BT111">
        <v>0.38400000000000001</v>
      </c>
      <c r="BU111">
        <v>0.42599999999999999</v>
      </c>
      <c r="BV111">
        <v>0.14099999999999999</v>
      </c>
      <c r="BW111">
        <v>0.14099999999999999</v>
      </c>
      <c r="BX111">
        <v>128</v>
      </c>
      <c r="BY111">
        <v>7.65</v>
      </c>
      <c r="BZ111">
        <v>948</v>
      </c>
      <c r="CA111">
        <v>1717</v>
      </c>
      <c r="CB111">
        <v>2665</v>
      </c>
      <c r="CC111">
        <v>0.39</v>
      </c>
      <c r="CD111">
        <v>0.33100000000000002</v>
      </c>
      <c r="CE111">
        <v>0.27900000000000003</v>
      </c>
      <c r="CF111">
        <v>0.17199999999999999</v>
      </c>
      <c r="CG111">
        <v>0.44900000000000001</v>
      </c>
      <c r="CH111">
        <v>0.379</v>
      </c>
      <c r="CI111" cm="1">
        <f t="array" ref="CI111:CS111">VLOOKUP(A111,verticalmove_pitchers_2019!A:N,{3,4,5,6,7,8,9,10,11,12,13},FALSE)</f>
        <v>150.19999999999999</v>
      </c>
      <c r="CJ111">
        <v>8.6</v>
      </c>
      <c r="CK111">
        <v>2.1</v>
      </c>
      <c r="CL111">
        <v>0</v>
      </c>
      <c r="CM111">
        <v>6.3</v>
      </c>
      <c r="CN111">
        <v>3.8</v>
      </c>
      <c r="CO111">
        <v>0</v>
      </c>
      <c r="CP111">
        <v>-4.8</v>
      </c>
      <c r="CQ111">
        <v>0</v>
      </c>
      <c r="CR111">
        <v>0</v>
      </c>
      <c r="CS111">
        <v>0</v>
      </c>
      <c r="CT111" cm="1">
        <f t="array" ref="CT111:DD111">VLOOKUP(A111,velocity_pitchers_2019!A:N,{3,4,5,6,7,8,9,10,11,12,13},FALSE)</f>
        <v>150.19999999999999</v>
      </c>
      <c r="CU111">
        <v>95.7</v>
      </c>
      <c r="CV111">
        <v>88.2</v>
      </c>
      <c r="CW111">
        <v>0</v>
      </c>
      <c r="CX111">
        <v>95.1</v>
      </c>
      <c r="CY111">
        <v>86.3</v>
      </c>
      <c r="CZ111">
        <v>0</v>
      </c>
      <c r="DA111">
        <v>81.2</v>
      </c>
      <c r="DB111">
        <v>0</v>
      </c>
      <c r="DC111">
        <v>0</v>
      </c>
      <c r="DD111">
        <v>0</v>
      </c>
    </row>
    <row r="112" spans="1:108" x14ac:dyDescent="0.3">
      <c r="A112" t="s">
        <v>116</v>
      </c>
      <c r="B112" t="str" cm="1">
        <f t="array" ref="B112:Y112">VLOOKUP(A112,standard_pitchers_2019!A:Y,{2,3,4,5,6,7,8,9,10,11,12,13,14,15,16,17,18,19,20,21,22,23,24,25},FALSE)</f>
        <v>Indians</v>
      </c>
      <c r="C112">
        <v>6</v>
      </c>
      <c r="D112">
        <v>4</v>
      </c>
      <c r="E112">
        <v>3.3</v>
      </c>
      <c r="F112">
        <v>60</v>
      </c>
      <c r="G112">
        <v>0</v>
      </c>
      <c r="H112">
        <v>0</v>
      </c>
      <c r="I112">
        <v>0</v>
      </c>
      <c r="J112">
        <v>34</v>
      </c>
      <c r="K112">
        <v>0</v>
      </c>
      <c r="L112">
        <v>5</v>
      </c>
      <c r="M112">
        <v>57.1</v>
      </c>
      <c r="N112">
        <v>242</v>
      </c>
      <c r="O112">
        <v>53</v>
      </c>
      <c r="P112">
        <v>21</v>
      </c>
      <c r="Q112">
        <v>21</v>
      </c>
      <c r="R112">
        <v>6</v>
      </c>
      <c r="S112">
        <v>18</v>
      </c>
      <c r="T112">
        <v>5</v>
      </c>
      <c r="U112">
        <v>4</v>
      </c>
      <c r="V112">
        <v>0</v>
      </c>
      <c r="W112">
        <v>0</v>
      </c>
      <c r="X112">
        <v>84</v>
      </c>
      <c r="Y112">
        <v>9111</v>
      </c>
      <c r="Z112" cm="1">
        <f t="array" ref="Z112:AR112">VLOOKUP(A112,advanced_pitchers_2019!A:Y,{3,4,5,6,7,8,9,10,11,12,13,14,15,16,17,18,19,20,21},FALSE)</f>
        <v>13.19</v>
      </c>
      <c r="AA112">
        <v>2.83</v>
      </c>
      <c r="AB112">
        <v>4.67</v>
      </c>
      <c r="AC112">
        <v>0.94</v>
      </c>
      <c r="AD112">
        <v>0.34699999999999998</v>
      </c>
      <c r="AE112">
        <v>7.3999999999999996E-2</v>
      </c>
      <c r="AF112">
        <v>0.27300000000000002</v>
      </c>
      <c r="AG112">
        <v>0.24099999999999999</v>
      </c>
      <c r="AH112">
        <v>1.24</v>
      </c>
      <c r="AI112">
        <v>0.36199999999999999</v>
      </c>
      <c r="AJ112">
        <v>0.81100000000000005</v>
      </c>
      <c r="AK112">
        <v>69</v>
      </c>
      <c r="AL112">
        <v>61</v>
      </c>
      <c r="AM112">
        <v>75</v>
      </c>
      <c r="AN112">
        <v>3.3</v>
      </c>
      <c r="AO112">
        <v>2.8</v>
      </c>
      <c r="AP112">
        <v>0.5</v>
      </c>
      <c r="AQ112">
        <v>3.41</v>
      </c>
      <c r="AR112">
        <v>2.93</v>
      </c>
      <c r="AS112" cm="1">
        <f t="array" ref="AS112:BA112">VLOOKUP(A112,plate_discipline_pitchers_2019!A:L,{3,4,5,6,7,8,9,10,11},FALSE)</f>
        <v>0.35199999999999998</v>
      </c>
      <c r="AT112">
        <v>0.64</v>
      </c>
      <c r="AU112">
        <v>0.47499999999999998</v>
      </c>
      <c r="AV112">
        <v>0.57099999999999995</v>
      </c>
      <c r="AW112">
        <v>0.82599999999999996</v>
      </c>
      <c r="AX112">
        <v>0.71699999999999997</v>
      </c>
      <c r="AY112">
        <v>0.42599999999999999</v>
      </c>
      <c r="AZ112">
        <v>0.66500000000000004</v>
      </c>
      <c r="BA112">
        <v>0.13400000000000001</v>
      </c>
      <c r="BB112" cm="1">
        <f t="array" ref="BB112:BP112">VLOOKUP(A112,pitchvalue_pitchers_2019!A:Q,{3,4,5,6,7,8,9,10,11,12,13,14,15,16,17},FALSE)</f>
        <v>3</v>
      </c>
      <c r="BC112">
        <v>4.9000000000000004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0.68</v>
      </c>
      <c r="BJ112">
        <v>0.96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9111</v>
      </c>
      <c r="BQ112" cm="1">
        <f t="array" ref="BQ112:CH112">VLOOKUP(A112,battedball_pitchers_2019!A:U,{3,4,5,6,7,8,9,10,11,12,13,14,15,16,17,18,19,20},FALSE)</f>
        <v>0.36199999999999999</v>
      </c>
      <c r="BR112">
        <v>0.63</v>
      </c>
      <c r="BS112">
        <v>0.311</v>
      </c>
      <c r="BT112">
        <v>0.26700000000000002</v>
      </c>
      <c r="BU112">
        <v>0.42199999999999999</v>
      </c>
      <c r="BV112">
        <v>8.7999999999999995E-2</v>
      </c>
      <c r="BW112">
        <v>0.105</v>
      </c>
      <c r="BX112">
        <v>14</v>
      </c>
      <c r="BY112">
        <v>2.2000000000000002</v>
      </c>
      <c r="BZ112">
        <v>302</v>
      </c>
      <c r="CA112">
        <v>644</v>
      </c>
      <c r="CB112">
        <v>946</v>
      </c>
      <c r="CC112">
        <v>0.441</v>
      </c>
      <c r="CD112">
        <v>0.27900000000000003</v>
      </c>
      <c r="CE112">
        <v>0.27900000000000003</v>
      </c>
      <c r="CF112">
        <v>0.14699999999999999</v>
      </c>
      <c r="CG112">
        <v>0.45600000000000002</v>
      </c>
      <c r="CH112">
        <v>0.39700000000000002</v>
      </c>
      <c r="CI112" cm="1">
        <f t="array" ref="CI112:CS112">VLOOKUP(A112,verticalmove_pitchers_2019!A:N,{3,4,5,6,7,8,9,10,11,12,13},FALSE)</f>
        <v>57.1</v>
      </c>
      <c r="CJ112">
        <v>8.3000000000000007</v>
      </c>
      <c r="CK112">
        <v>0</v>
      </c>
      <c r="CL112">
        <v>0</v>
      </c>
      <c r="CM112">
        <v>4.9000000000000004</v>
      </c>
      <c r="CN112">
        <v>0</v>
      </c>
      <c r="CO112">
        <v>-1.5</v>
      </c>
      <c r="CP112">
        <v>0</v>
      </c>
      <c r="CQ112">
        <v>0</v>
      </c>
      <c r="CR112">
        <v>0</v>
      </c>
      <c r="CS112">
        <v>0</v>
      </c>
      <c r="CT112" cm="1">
        <f t="array" ref="CT112:DD112">VLOOKUP(A112,velocity_pitchers_2019!A:N,{3,4,5,6,7,8,9,10,11,12,13},FALSE)</f>
        <v>57.1</v>
      </c>
      <c r="CU112">
        <v>92.9</v>
      </c>
      <c r="CV112">
        <v>0</v>
      </c>
      <c r="CW112">
        <v>0</v>
      </c>
      <c r="CX112">
        <v>91.5</v>
      </c>
      <c r="CY112">
        <v>0</v>
      </c>
      <c r="CZ112">
        <v>81.2</v>
      </c>
      <c r="DA112">
        <v>0</v>
      </c>
      <c r="DB112">
        <v>0</v>
      </c>
      <c r="DC112">
        <v>0</v>
      </c>
      <c r="DD112">
        <v>0</v>
      </c>
    </row>
    <row r="113" spans="1:108" x14ac:dyDescent="0.3">
      <c r="A113" t="s">
        <v>138</v>
      </c>
      <c r="B113" t="str" cm="1">
        <f t="array" ref="B113:Y113">VLOOKUP(A113,standard_pitchers_2019!A:Y,{2,3,4,5,6,7,8,9,10,11,12,13,14,15,16,17,18,19,20,21,22,23,24,25},FALSE)</f>
        <v>Cubs</v>
      </c>
      <c r="C113">
        <v>4</v>
      </c>
      <c r="D113">
        <v>2</v>
      </c>
      <c r="E113">
        <v>3.54</v>
      </c>
      <c r="F113">
        <v>73</v>
      </c>
      <c r="G113">
        <v>0</v>
      </c>
      <c r="H113">
        <v>0</v>
      </c>
      <c r="I113">
        <v>0</v>
      </c>
      <c r="J113">
        <v>0</v>
      </c>
      <c r="K113">
        <v>14</v>
      </c>
      <c r="L113">
        <v>2</v>
      </c>
      <c r="M113">
        <v>61</v>
      </c>
      <c r="N113">
        <v>260</v>
      </c>
      <c r="O113">
        <v>55</v>
      </c>
      <c r="P113">
        <v>26</v>
      </c>
      <c r="Q113">
        <v>24</v>
      </c>
      <c r="R113">
        <v>5</v>
      </c>
      <c r="S113">
        <v>29</v>
      </c>
      <c r="T113">
        <v>2</v>
      </c>
      <c r="U113">
        <v>1</v>
      </c>
      <c r="V113">
        <v>1</v>
      </c>
      <c r="W113">
        <v>0</v>
      </c>
      <c r="X113">
        <v>58</v>
      </c>
      <c r="Y113">
        <v>11753</v>
      </c>
      <c r="Z113" cm="1">
        <f t="array" ref="Z113:AR113">VLOOKUP(A113,advanced_pitchers_2019!A:Y,{3,4,5,6,7,8,9,10,11,12,13,14,15,16,17,18,19,20,21},FALSE)</f>
        <v>8.56</v>
      </c>
      <c r="AA113">
        <v>4.28</v>
      </c>
      <c r="AB113">
        <v>2</v>
      </c>
      <c r="AC113">
        <v>0.74</v>
      </c>
      <c r="AD113">
        <v>0.223</v>
      </c>
      <c r="AE113">
        <v>0.112</v>
      </c>
      <c r="AF113">
        <v>0.112</v>
      </c>
      <c r="AG113">
        <v>0.23899999999999999</v>
      </c>
      <c r="AH113">
        <v>1.38</v>
      </c>
      <c r="AI113">
        <v>0.29899999999999999</v>
      </c>
      <c r="AJ113">
        <v>0.75600000000000001</v>
      </c>
      <c r="AK113">
        <v>81</v>
      </c>
      <c r="AL113">
        <v>87</v>
      </c>
      <c r="AM113">
        <v>94</v>
      </c>
      <c r="AN113">
        <v>3.54</v>
      </c>
      <c r="AO113">
        <v>3.85</v>
      </c>
      <c r="AP113">
        <v>-0.31</v>
      </c>
      <c r="AQ113">
        <v>4.16</v>
      </c>
      <c r="AR113">
        <v>4.28</v>
      </c>
      <c r="AS113" cm="1">
        <f t="array" ref="AS113:BA113">VLOOKUP(A113,plate_discipline_pitchers_2019!A:L,{3,4,5,6,7,8,9,10,11},FALSE)</f>
        <v>0.25800000000000001</v>
      </c>
      <c r="AT113">
        <v>0.68100000000000005</v>
      </c>
      <c r="AU113">
        <v>0.43</v>
      </c>
      <c r="AV113">
        <v>0.66500000000000004</v>
      </c>
      <c r="AW113">
        <v>0.84499999999999997</v>
      </c>
      <c r="AX113">
        <v>0.78100000000000003</v>
      </c>
      <c r="AY113">
        <v>0.40600000000000003</v>
      </c>
      <c r="AZ113">
        <v>0.61499999999999999</v>
      </c>
      <c r="BA113">
        <v>9.4E-2</v>
      </c>
      <c r="BB113" cm="1">
        <f t="array" ref="BB113:BP113">VLOOKUP(A113,pitchvalue_pitchers_2019!A:Q,{3,4,5,6,7,8,9,10,11,12,13,14,15,16,17},FALSE)</f>
        <v>2.9</v>
      </c>
      <c r="BC113">
        <v>0</v>
      </c>
      <c r="BD113">
        <v>2.5</v>
      </c>
      <c r="BE113">
        <v>-0.2</v>
      </c>
      <c r="BF113">
        <v>-0.3</v>
      </c>
      <c r="BG113">
        <v>0</v>
      </c>
      <c r="BH113">
        <v>0</v>
      </c>
      <c r="BI113">
        <v>0.59</v>
      </c>
      <c r="BJ113">
        <v>0</v>
      </c>
      <c r="BK113">
        <v>0.6</v>
      </c>
      <c r="BL113">
        <v>-0.15</v>
      </c>
      <c r="BM113">
        <v>-6.08</v>
      </c>
      <c r="BN113">
        <v>0</v>
      </c>
      <c r="BO113">
        <v>0</v>
      </c>
      <c r="BP113">
        <v>11753</v>
      </c>
      <c r="BQ113" cm="1">
        <f t="array" ref="BQ113:CH113">VLOOKUP(A113,battedball_pitchers_2019!A:U,{3,4,5,6,7,8,9,10,11,12,13,14,15,16,17,18,19,20},FALSE)</f>
        <v>0.29899999999999999</v>
      </c>
      <c r="BR113">
        <v>2.36</v>
      </c>
      <c r="BS113">
        <v>0.17100000000000001</v>
      </c>
      <c r="BT113">
        <v>0.58199999999999996</v>
      </c>
      <c r="BU113">
        <v>0.247</v>
      </c>
      <c r="BV113">
        <v>9.5000000000000001E-2</v>
      </c>
      <c r="BW113">
        <v>0.11899999999999999</v>
      </c>
      <c r="BX113">
        <v>26</v>
      </c>
      <c r="BY113">
        <v>3.84</v>
      </c>
      <c r="BZ113">
        <v>404</v>
      </c>
      <c r="CA113">
        <v>648</v>
      </c>
      <c r="CB113">
        <v>1052</v>
      </c>
      <c r="CC113">
        <v>0.39800000000000002</v>
      </c>
      <c r="CD113">
        <v>0.33900000000000002</v>
      </c>
      <c r="CE113">
        <v>0.26300000000000001</v>
      </c>
      <c r="CF113">
        <v>0.19900000000000001</v>
      </c>
      <c r="CG113">
        <v>0.45600000000000002</v>
      </c>
      <c r="CH113">
        <v>0.34499999999999997</v>
      </c>
      <c r="CI113" cm="1">
        <f t="array" ref="CI113:CS113">VLOOKUP(A113,verticalmove_pitchers_2019!A:N,{3,4,5,6,7,8,9,10,11,12,13},FALSE)</f>
        <v>61</v>
      </c>
      <c r="CJ113">
        <v>5.9</v>
      </c>
      <c r="CK113">
        <v>2.6</v>
      </c>
      <c r="CL113">
        <v>0</v>
      </c>
      <c r="CM113">
        <v>2.2000000000000002</v>
      </c>
      <c r="CN113">
        <v>3</v>
      </c>
      <c r="CO113">
        <v>-3.1</v>
      </c>
      <c r="CP113">
        <v>0</v>
      </c>
      <c r="CQ113">
        <v>0</v>
      </c>
      <c r="CR113">
        <v>0</v>
      </c>
      <c r="CS113">
        <v>0</v>
      </c>
      <c r="CT113" cm="1">
        <f t="array" ref="CT113:DD113">VLOOKUP(A113,velocity_pitchers_2019!A:N,{3,4,5,6,7,8,9,10,11,12,13},FALSE)</f>
        <v>61</v>
      </c>
      <c r="CU113">
        <v>90.1</v>
      </c>
      <c r="CV113">
        <v>87.5</v>
      </c>
      <c r="CW113">
        <v>0</v>
      </c>
      <c r="CX113">
        <v>89.4</v>
      </c>
      <c r="CY113">
        <v>86.8</v>
      </c>
      <c r="CZ113">
        <v>80</v>
      </c>
      <c r="DA113">
        <v>0</v>
      </c>
      <c r="DB113">
        <v>0</v>
      </c>
      <c r="DC113">
        <v>0</v>
      </c>
      <c r="DD113">
        <v>0</v>
      </c>
    </row>
    <row r="114" spans="1:108" x14ac:dyDescent="0.3">
      <c r="A114" t="s">
        <v>157</v>
      </c>
      <c r="B114" t="str" cm="1">
        <f t="array" ref="B114:Y114">VLOOKUP(A114,standard_pitchers_2019!A:Y,{2,3,4,5,6,7,8,9,10,11,12,13,14,15,16,17,18,19,20,21,22,23,24,25},FALSE)</f>
        <v>Pirates</v>
      </c>
      <c r="C114">
        <v>4</v>
      </c>
      <c r="D114">
        <v>5</v>
      </c>
      <c r="E114">
        <v>3.72</v>
      </c>
      <c r="F114">
        <v>72</v>
      </c>
      <c r="G114">
        <v>0</v>
      </c>
      <c r="H114">
        <v>0</v>
      </c>
      <c r="I114">
        <v>0</v>
      </c>
      <c r="J114">
        <v>1</v>
      </c>
      <c r="K114">
        <v>16</v>
      </c>
      <c r="L114">
        <v>4</v>
      </c>
      <c r="M114">
        <v>65.099999999999994</v>
      </c>
      <c r="N114">
        <v>285</v>
      </c>
      <c r="O114">
        <v>65</v>
      </c>
      <c r="P114">
        <v>30</v>
      </c>
      <c r="Q114">
        <v>27</v>
      </c>
      <c r="R114">
        <v>14</v>
      </c>
      <c r="S114">
        <v>23</v>
      </c>
      <c r="T114">
        <v>3</v>
      </c>
      <c r="U114">
        <v>2</v>
      </c>
      <c r="V114">
        <v>1</v>
      </c>
      <c r="W114">
        <v>0</v>
      </c>
      <c r="X114">
        <v>63</v>
      </c>
      <c r="Y114">
        <v>13549</v>
      </c>
      <c r="Z114" cm="1">
        <f t="array" ref="Z114:AR114">VLOOKUP(A114,advanced_pitchers_2019!A:Y,{3,4,5,6,7,8,9,10,11,12,13,14,15,16,17,18,19,20,21},FALSE)</f>
        <v>8.68</v>
      </c>
      <c r="AA114">
        <v>3.17</v>
      </c>
      <c r="AB114">
        <v>2.74</v>
      </c>
      <c r="AC114">
        <v>1.93</v>
      </c>
      <c r="AD114">
        <v>0.221</v>
      </c>
      <c r="AE114">
        <v>8.1000000000000003E-2</v>
      </c>
      <c r="AF114">
        <v>0.14000000000000001</v>
      </c>
      <c r="AG114">
        <v>0.25</v>
      </c>
      <c r="AH114">
        <v>1.35</v>
      </c>
      <c r="AI114">
        <v>0.27900000000000003</v>
      </c>
      <c r="AJ114">
        <v>0.85199999999999998</v>
      </c>
      <c r="AK114">
        <v>86</v>
      </c>
      <c r="AL114">
        <v>118</v>
      </c>
      <c r="AM114">
        <v>113</v>
      </c>
      <c r="AN114">
        <v>3.72</v>
      </c>
      <c r="AO114">
        <v>5.22</v>
      </c>
      <c r="AP114">
        <v>-1.5</v>
      </c>
      <c r="AQ114">
        <v>4.99</v>
      </c>
      <c r="AR114">
        <v>4.3</v>
      </c>
      <c r="AS114" cm="1">
        <f t="array" ref="AS114:BA114">VLOOKUP(A114,plate_discipline_pitchers_2019!A:L,{3,4,5,6,7,8,9,10,11},FALSE)</f>
        <v>0.33100000000000002</v>
      </c>
      <c r="AT114">
        <v>0.67400000000000004</v>
      </c>
      <c r="AU114">
        <v>0.48399999999999999</v>
      </c>
      <c r="AV114">
        <v>0.624</v>
      </c>
      <c r="AW114">
        <v>0.871</v>
      </c>
      <c r="AX114">
        <v>0.77800000000000002</v>
      </c>
      <c r="AY114">
        <v>0.44600000000000001</v>
      </c>
      <c r="AZ114">
        <v>0.65600000000000003</v>
      </c>
      <c r="BA114">
        <v>0.108</v>
      </c>
      <c r="BB114" cm="1">
        <f t="array" ref="BB114:BP114">VLOOKUP(A114,pitchvalue_pitchers_2019!A:Q,{3,4,5,6,7,8,9,10,11,12,13,14,15,16,17},FALSE)</f>
        <v>2.7</v>
      </c>
      <c r="BC114">
        <v>-4.5</v>
      </c>
      <c r="BD114">
        <v>0</v>
      </c>
      <c r="BE114">
        <v>0</v>
      </c>
      <c r="BF114">
        <v>-0.2</v>
      </c>
      <c r="BG114">
        <v>0</v>
      </c>
      <c r="BH114">
        <v>0</v>
      </c>
      <c r="BI114">
        <v>0.27</v>
      </c>
      <c r="BJ114">
        <v>-2.64</v>
      </c>
      <c r="BK114">
        <v>0</v>
      </c>
      <c r="BL114">
        <v>0</v>
      </c>
      <c r="BM114">
        <v>-4.7699999999999996</v>
      </c>
      <c r="BN114">
        <v>0</v>
      </c>
      <c r="BO114">
        <v>0</v>
      </c>
      <c r="BP114">
        <v>13549</v>
      </c>
      <c r="BQ114" cm="1">
        <f t="array" ref="BQ114:CH114">VLOOKUP(A114,battedball_pitchers_2019!A:U,{3,4,5,6,7,8,9,10,11,12,13,14,15,16,17,18,19,20},FALSE)</f>
        <v>0.27900000000000003</v>
      </c>
      <c r="BR114">
        <v>0.98</v>
      </c>
      <c r="BS114">
        <v>0.153</v>
      </c>
      <c r="BT114">
        <v>0.41799999999999998</v>
      </c>
      <c r="BU114">
        <v>0.42899999999999999</v>
      </c>
      <c r="BV114">
        <v>9.5000000000000001E-2</v>
      </c>
      <c r="BW114">
        <v>0.16700000000000001</v>
      </c>
      <c r="BX114">
        <v>46</v>
      </c>
      <c r="BY114">
        <v>6.34</v>
      </c>
      <c r="BZ114">
        <v>405</v>
      </c>
      <c r="CA114">
        <v>757</v>
      </c>
      <c r="CB114">
        <v>1162</v>
      </c>
      <c r="CC114">
        <v>0.42299999999999999</v>
      </c>
      <c r="CD114">
        <v>0.27600000000000002</v>
      </c>
      <c r="CE114">
        <v>0.30099999999999999</v>
      </c>
      <c r="CF114">
        <v>0.17299999999999999</v>
      </c>
      <c r="CG114">
        <v>0.44400000000000001</v>
      </c>
      <c r="CH114">
        <v>0.38300000000000001</v>
      </c>
      <c r="CI114" cm="1">
        <f t="array" ref="CI114:CS114">VLOOKUP(A114,verticalmove_pitchers_2019!A:N,{3,4,5,6,7,8,9,10,11,12,13},FALSE)</f>
        <v>65.099999999999994</v>
      </c>
      <c r="CJ114">
        <v>8.1999999999999993</v>
      </c>
      <c r="CK114">
        <v>0</v>
      </c>
      <c r="CL114">
        <v>0</v>
      </c>
      <c r="CM114">
        <v>4.2</v>
      </c>
      <c r="CN114">
        <v>7.5</v>
      </c>
      <c r="CO114">
        <v>0</v>
      </c>
      <c r="CP114">
        <v>-3.3</v>
      </c>
      <c r="CQ114">
        <v>0</v>
      </c>
      <c r="CR114">
        <v>0</v>
      </c>
      <c r="CS114">
        <v>0</v>
      </c>
      <c r="CT114" cm="1">
        <f t="array" ref="CT114:DD114">VLOOKUP(A114,velocity_pitchers_2019!A:N,{3,4,5,6,7,8,9,10,11,12,13},FALSE)</f>
        <v>65.099999999999994</v>
      </c>
      <c r="CU114">
        <v>93.5</v>
      </c>
      <c r="CV114">
        <v>0</v>
      </c>
      <c r="CW114">
        <v>0</v>
      </c>
      <c r="CX114">
        <v>92.2</v>
      </c>
      <c r="CY114">
        <v>87.5</v>
      </c>
      <c r="CZ114">
        <v>0</v>
      </c>
      <c r="DA114">
        <v>81.900000000000006</v>
      </c>
      <c r="DB114">
        <v>0</v>
      </c>
      <c r="DC114">
        <v>0</v>
      </c>
      <c r="DD114">
        <v>0</v>
      </c>
    </row>
    <row r="115" spans="1:108" x14ac:dyDescent="0.3">
      <c r="A115" t="s">
        <v>215</v>
      </c>
      <c r="B115" t="str" cm="1">
        <f t="array" ref="B115:Y115">VLOOKUP(A115,standard_pitchers_2019!A:Y,{2,3,4,5,6,7,8,9,10,11,12,13,14,15,16,17,18,19,20,21,22,23,24,25},FALSE)</f>
        <v>- - -</v>
      </c>
      <c r="C115">
        <v>12</v>
      </c>
      <c r="D115">
        <v>8</v>
      </c>
      <c r="E115">
        <v>4.1500000000000004</v>
      </c>
      <c r="F115">
        <v>28</v>
      </c>
      <c r="G115">
        <v>28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141</v>
      </c>
      <c r="N115">
        <v>599</v>
      </c>
      <c r="O115">
        <v>131</v>
      </c>
      <c r="P115">
        <v>72</v>
      </c>
      <c r="Q115">
        <v>65</v>
      </c>
      <c r="R115">
        <v>25</v>
      </c>
      <c r="S115">
        <v>55</v>
      </c>
      <c r="T115">
        <v>2</v>
      </c>
      <c r="U115">
        <v>1</v>
      </c>
      <c r="V115">
        <v>4</v>
      </c>
      <c r="W115">
        <v>0</v>
      </c>
      <c r="X115">
        <v>146</v>
      </c>
      <c r="Y115">
        <v>7593</v>
      </c>
      <c r="Z115" cm="1">
        <f t="array" ref="Z115:AR115">VLOOKUP(A115,advanced_pitchers_2019!A:Y,{3,4,5,6,7,8,9,10,11,12,13,14,15,16,17,18,19,20,21},FALSE)</f>
        <v>9.32</v>
      </c>
      <c r="AA115">
        <v>3.51</v>
      </c>
      <c r="AB115">
        <v>2.65</v>
      </c>
      <c r="AC115">
        <v>1.6</v>
      </c>
      <c r="AD115">
        <v>0.24399999999999999</v>
      </c>
      <c r="AE115">
        <v>9.1999999999999998E-2</v>
      </c>
      <c r="AF115">
        <v>0.152</v>
      </c>
      <c r="AG115">
        <v>0.24099999999999999</v>
      </c>
      <c r="AH115">
        <v>1.32</v>
      </c>
      <c r="AI115">
        <v>0.28499999999999998</v>
      </c>
      <c r="AJ115">
        <v>0.75700000000000001</v>
      </c>
      <c r="AK115">
        <v>96</v>
      </c>
      <c r="AL115">
        <v>104</v>
      </c>
      <c r="AM115">
        <v>104</v>
      </c>
      <c r="AN115">
        <v>4.1500000000000004</v>
      </c>
      <c r="AO115">
        <v>4.6399999999999997</v>
      </c>
      <c r="AP115">
        <v>-0.49</v>
      </c>
      <c r="AQ115">
        <v>4.6100000000000003</v>
      </c>
      <c r="AR115">
        <v>4.53</v>
      </c>
      <c r="AS115" cm="1">
        <f t="array" ref="AS115:BA115">VLOOKUP(A115,plate_discipline_pitchers_2019!A:L,{3,4,5,6,7,8,9,10,11},FALSE)</f>
        <v>0.33</v>
      </c>
      <c r="AT115">
        <v>0.67200000000000004</v>
      </c>
      <c r="AU115">
        <v>0.47099999999999997</v>
      </c>
      <c r="AV115">
        <v>0.64100000000000001</v>
      </c>
      <c r="AW115">
        <v>0.88500000000000001</v>
      </c>
      <c r="AX115">
        <v>0.78500000000000003</v>
      </c>
      <c r="AY115">
        <v>0.41299999999999998</v>
      </c>
      <c r="AZ115">
        <v>0.63400000000000001</v>
      </c>
      <c r="BA115">
        <v>0.10100000000000001</v>
      </c>
      <c r="BB115" cm="1">
        <f t="array" ref="BB115:BP115">VLOOKUP(A115,pitchvalue_pitchers_2019!A:Q,{3,4,5,6,7,8,9,10,11,12,13,14,15,16,17},FALSE)</f>
        <v>2.6</v>
      </c>
      <c r="BC115">
        <v>-1.6</v>
      </c>
      <c r="BD115">
        <v>-0.9</v>
      </c>
      <c r="BE115">
        <v>1.1000000000000001</v>
      </c>
      <c r="BF115">
        <v>-1.7</v>
      </c>
      <c r="BG115">
        <v>0</v>
      </c>
      <c r="BH115">
        <v>0</v>
      </c>
      <c r="BI115">
        <v>0.21</v>
      </c>
      <c r="BJ115">
        <v>-0.71</v>
      </c>
      <c r="BK115">
        <v>-6.75</v>
      </c>
      <c r="BL115">
        <v>0.14000000000000001</v>
      </c>
      <c r="BM115">
        <v>-1</v>
      </c>
      <c r="BN115">
        <v>0</v>
      </c>
      <c r="BO115">
        <v>0</v>
      </c>
      <c r="BP115">
        <v>7593</v>
      </c>
      <c r="BQ115" cm="1">
        <f t="array" ref="BQ115:CH115">VLOOKUP(A115,battedball_pitchers_2019!A:U,{3,4,5,6,7,8,9,10,11,12,13,14,15,16,17,18,19,20},FALSE)</f>
        <v>0.28499999999999998</v>
      </c>
      <c r="BR115">
        <v>0.98</v>
      </c>
      <c r="BS115">
        <v>0.185</v>
      </c>
      <c r="BT115">
        <v>0.40300000000000002</v>
      </c>
      <c r="BU115">
        <v>0.41299999999999998</v>
      </c>
      <c r="BV115">
        <v>9.9000000000000005E-2</v>
      </c>
      <c r="BW115">
        <v>0.155</v>
      </c>
      <c r="BX115">
        <v>80</v>
      </c>
      <c r="BY115">
        <v>5.1100000000000003</v>
      </c>
      <c r="BZ115">
        <v>889</v>
      </c>
      <c r="CA115">
        <v>1567</v>
      </c>
      <c r="CB115">
        <v>2456</v>
      </c>
      <c r="CC115">
        <v>0.35499999999999998</v>
      </c>
      <c r="CD115">
        <v>0.36</v>
      </c>
      <c r="CE115">
        <v>0.28499999999999998</v>
      </c>
      <c r="CF115">
        <v>0.17599999999999999</v>
      </c>
      <c r="CG115">
        <v>0.438</v>
      </c>
      <c r="CH115">
        <v>0.38500000000000001</v>
      </c>
      <c r="CI115" cm="1">
        <f t="array" ref="CI115:CS115">VLOOKUP(A115,verticalmove_pitchers_2019!A:N,{3,4,5,6,7,8,9,10,11,12,13},FALSE)</f>
        <v>141</v>
      </c>
      <c r="CJ115">
        <v>9.3000000000000007</v>
      </c>
      <c r="CK115">
        <v>0</v>
      </c>
      <c r="CL115">
        <v>0</v>
      </c>
      <c r="CM115">
        <v>7.2</v>
      </c>
      <c r="CN115">
        <v>3.5</v>
      </c>
      <c r="CO115">
        <v>2.8</v>
      </c>
      <c r="CP115">
        <v>-9</v>
      </c>
      <c r="CQ115">
        <v>0</v>
      </c>
      <c r="CR115">
        <v>0</v>
      </c>
      <c r="CS115">
        <v>0</v>
      </c>
      <c r="CT115" cm="1">
        <f t="array" ref="CT115:DD115">VLOOKUP(A115,velocity_pitchers_2019!A:N,{3,4,5,6,7,8,9,10,11,12,13},FALSE)</f>
        <v>141</v>
      </c>
      <c r="CU115">
        <v>93</v>
      </c>
      <c r="CV115">
        <v>0</v>
      </c>
      <c r="CW115">
        <v>0</v>
      </c>
      <c r="CX115">
        <v>92.2</v>
      </c>
      <c r="CY115">
        <v>86</v>
      </c>
      <c r="CZ115">
        <v>87.8</v>
      </c>
      <c r="DA115">
        <v>80.900000000000006</v>
      </c>
      <c r="DB115">
        <v>0</v>
      </c>
      <c r="DC115">
        <v>0</v>
      </c>
      <c r="DD115">
        <v>0</v>
      </c>
    </row>
    <row r="116" spans="1:108" x14ac:dyDescent="0.3">
      <c r="A116" t="s">
        <v>203</v>
      </c>
      <c r="B116" t="str" cm="1">
        <f t="array" ref="B116:Y116">VLOOKUP(A116,standard_pitchers_2019!A:Y,{2,3,4,5,6,7,8,9,10,11,12,13,14,15,16,17,18,19,20,21,22,23,24,25},FALSE)</f>
        <v>- - -</v>
      </c>
      <c r="C116">
        <v>6</v>
      </c>
      <c r="D116">
        <v>12</v>
      </c>
      <c r="E116">
        <v>4.0599999999999996</v>
      </c>
      <c r="F116">
        <v>30</v>
      </c>
      <c r="G116">
        <v>23</v>
      </c>
      <c r="H116">
        <v>0</v>
      </c>
      <c r="I116">
        <v>0</v>
      </c>
      <c r="J116">
        <v>0</v>
      </c>
      <c r="K116">
        <v>1</v>
      </c>
      <c r="L116">
        <v>0</v>
      </c>
      <c r="M116">
        <v>135.1</v>
      </c>
      <c r="N116">
        <v>580</v>
      </c>
      <c r="O116">
        <v>127</v>
      </c>
      <c r="P116">
        <v>63</v>
      </c>
      <c r="Q116">
        <v>61</v>
      </c>
      <c r="R116">
        <v>19</v>
      </c>
      <c r="S116">
        <v>56</v>
      </c>
      <c r="T116">
        <v>6</v>
      </c>
      <c r="U116">
        <v>5</v>
      </c>
      <c r="V116">
        <v>4</v>
      </c>
      <c r="W116">
        <v>0</v>
      </c>
      <c r="X116">
        <v>127</v>
      </c>
      <c r="Y116">
        <v>19309</v>
      </c>
      <c r="Z116" cm="1">
        <f t="array" ref="Z116:AR116">VLOOKUP(A116,advanced_pitchers_2019!A:Y,{3,4,5,6,7,8,9,10,11,12,13,14,15,16,17,18,19,20,21},FALSE)</f>
        <v>8.4499999999999993</v>
      </c>
      <c r="AA116">
        <v>3.72</v>
      </c>
      <c r="AB116">
        <v>2.27</v>
      </c>
      <c r="AC116">
        <v>1.26</v>
      </c>
      <c r="AD116">
        <v>0.219</v>
      </c>
      <c r="AE116">
        <v>9.7000000000000003E-2</v>
      </c>
      <c r="AF116">
        <v>0.122</v>
      </c>
      <c r="AG116">
        <v>0.245</v>
      </c>
      <c r="AH116">
        <v>1.35</v>
      </c>
      <c r="AI116">
        <v>0.28999999999999998</v>
      </c>
      <c r="AJ116">
        <v>0.77400000000000002</v>
      </c>
      <c r="AK116">
        <v>96</v>
      </c>
      <c r="AL116">
        <v>104</v>
      </c>
      <c r="AM116">
        <v>114</v>
      </c>
      <c r="AN116">
        <v>4.0599999999999996</v>
      </c>
      <c r="AO116">
        <v>4.51</v>
      </c>
      <c r="AP116">
        <v>-0.46</v>
      </c>
      <c r="AQ116">
        <v>5.09</v>
      </c>
      <c r="AR116">
        <v>4.8899999999999997</v>
      </c>
      <c r="AS116" cm="1">
        <f t="array" ref="AS116:BA116">VLOOKUP(A116,plate_discipline_pitchers_2019!A:L,{3,4,5,6,7,8,9,10,11},FALSE)</f>
        <v>0.33500000000000002</v>
      </c>
      <c r="AT116">
        <v>0.70799999999999996</v>
      </c>
      <c r="AU116">
        <v>0.48799999999999999</v>
      </c>
      <c r="AV116">
        <v>0.65600000000000003</v>
      </c>
      <c r="AW116">
        <v>0.82799999999999996</v>
      </c>
      <c r="AX116">
        <v>0.75800000000000001</v>
      </c>
      <c r="AY116">
        <v>0.40899999999999997</v>
      </c>
      <c r="AZ116">
        <v>0.58299999999999996</v>
      </c>
      <c r="BA116">
        <v>0.11799999999999999</v>
      </c>
      <c r="BB116" cm="1">
        <f t="array" ref="BB116:BP116">VLOOKUP(A116,pitchvalue_pitchers_2019!A:Q,{3,4,5,6,7,8,9,10,11,12,13,14,15,16,17},FALSE)</f>
        <v>2.6</v>
      </c>
      <c r="BC116">
        <v>0</v>
      </c>
      <c r="BD116">
        <v>-3.8</v>
      </c>
      <c r="BE116">
        <v>-5.6</v>
      </c>
      <c r="BF116">
        <v>11.1</v>
      </c>
      <c r="BG116">
        <v>0</v>
      </c>
      <c r="BH116">
        <v>0</v>
      </c>
      <c r="BI116">
        <v>0.26</v>
      </c>
      <c r="BJ116">
        <v>0</v>
      </c>
      <c r="BK116">
        <v>-1.54</v>
      </c>
      <c r="BL116">
        <v>-3.44</v>
      </c>
      <c r="BM116">
        <v>1.27</v>
      </c>
      <c r="BN116">
        <v>0</v>
      </c>
      <c r="BO116">
        <v>0</v>
      </c>
      <c r="BP116">
        <v>19309</v>
      </c>
      <c r="BQ116" cm="1">
        <f t="array" ref="BQ116:CH116">VLOOKUP(A116,battedball_pitchers_2019!A:U,{3,4,5,6,7,8,9,10,11,12,13,14,15,16,17,18,19,20},FALSE)</f>
        <v>0.28999999999999998</v>
      </c>
      <c r="BR116">
        <v>0.82</v>
      </c>
      <c r="BS116">
        <v>0.22</v>
      </c>
      <c r="BT116">
        <v>0.35199999999999998</v>
      </c>
      <c r="BU116">
        <v>0.42799999999999999</v>
      </c>
      <c r="BV116">
        <v>0.11700000000000001</v>
      </c>
      <c r="BW116">
        <v>0.11700000000000001</v>
      </c>
      <c r="BX116">
        <v>53</v>
      </c>
      <c r="BY116">
        <v>3.52</v>
      </c>
      <c r="BZ116">
        <v>824</v>
      </c>
      <c r="CA116">
        <v>1466</v>
      </c>
      <c r="CB116">
        <v>2290</v>
      </c>
      <c r="CC116">
        <v>0.38500000000000001</v>
      </c>
      <c r="CD116">
        <v>0.33900000000000002</v>
      </c>
      <c r="CE116">
        <v>0.27600000000000002</v>
      </c>
      <c r="CF116">
        <v>0.156</v>
      </c>
      <c r="CG116">
        <v>0.42599999999999999</v>
      </c>
      <c r="CH116">
        <v>0.41799999999999998</v>
      </c>
      <c r="CI116" cm="1">
        <f t="array" ref="CI116:CS116">VLOOKUP(A116,verticalmove_pitchers_2019!A:N,{3,4,5,6,7,8,9,10,11,12,13},FALSE)</f>
        <v>135.1</v>
      </c>
      <c r="CJ116">
        <v>9.6999999999999993</v>
      </c>
      <c r="CK116">
        <v>0</v>
      </c>
      <c r="CL116">
        <v>4.8</v>
      </c>
      <c r="CM116">
        <v>8.4</v>
      </c>
      <c r="CN116">
        <v>3.9</v>
      </c>
      <c r="CO116">
        <v>2.2999999999999998</v>
      </c>
      <c r="CP116">
        <v>-4.9000000000000004</v>
      </c>
      <c r="CQ116">
        <v>0</v>
      </c>
      <c r="CR116">
        <v>0</v>
      </c>
      <c r="CS116">
        <v>0</v>
      </c>
      <c r="CT116" cm="1">
        <f t="array" ref="CT116:DD116">VLOOKUP(A116,velocity_pitchers_2019!A:N,{3,4,5,6,7,8,9,10,11,12,13},FALSE)</f>
        <v>135.1</v>
      </c>
      <c r="CU116">
        <v>91.2</v>
      </c>
      <c r="CV116">
        <v>0</v>
      </c>
      <c r="CW116">
        <v>85.8</v>
      </c>
      <c r="CX116">
        <v>91.9</v>
      </c>
      <c r="CY116">
        <v>83.8</v>
      </c>
      <c r="CZ116">
        <v>85.6</v>
      </c>
      <c r="DA116">
        <v>79.400000000000006</v>
      </c>
      <c r="DB116">
        <v>0</v>
      </c>
      <c r="DC116">
        <v>0</v>
      </c>
      <c r="DD116">
        <v>0</v>
      </c>
    </row>
    <row r="117" spans="1:108" x14ac:dyDescent="0.3">
      <c r="A117" t="s">
        <v>302</v>
      </c>
      <c r="B117" t="str" cm="1">
        <f t="array" ref="B117:Y117">VLOOKUP(A117,standard_pitchers_2019!A:Y,{2,3,4,5,6,7,8,9,10,11,12,13,14,15,16,17,18,19,20,21,22,23,24,25},FALSE)</f>
        <v>Tigers</v>
      </c>
      <c r="C117">
        <v>1</v>
      </c>
      <c r="D117">
        <v>4</v>
      </c>
      <c r="E117">
        <v>4.8600000000000003</v>
      </c>
      <c r="F117">
        <v>13</v>
      </c>
      <c r="G117">
        <v>8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53.2</v>
      </c>
      <c r="N117">
        <v>235</v>
      </c>
      <c r="O117">
        <v>68</v>
      </c>
      <c r="P117">
        <v>30</v>
      </c>
      <c r="Q117">
        <v>29</v>
      </c>
      <c r="R117">
        <v>9</v>
      </c>
      <c r="S117">
        <v>7</v>
      </c>
      <c r="T117">
        <v>0</v>
      </c>
      <c r="U117">
        <v>2</v>
      </c>
      <c r="V117">
        <v>1</v>
      </c>
      <c r="W117">
        <v>0</v>
      </c>
      <c r="X117">
        <v>47</v>
      </c>
      <c r="Y117">
        <v>17735</v>
      </c>
      <c r="Z117" cm="1">
        <f t="array" ref="Z117:AR117">VLOOKUP(A117,advanced_pitchers_2019!A:Y,{3,4,5,6,7,8,9,10,11,12,13,14,15,16,17,18,19,20,21},FALSE)</f>
        <v>7.88</v>
      </c>
      <c r="AA117">
        <v>1.17</v>
      </c>
      <c r="AB117">
        <v>6.71</v>
      </c>
      <c r="AC117">
        <v>1.51</v>
      </c>
      <c r="AD117">
        <v>0.2</v>
      </c>
      <c r="AE117">
        <v>0.03</v>
      </c>
      <c r="AF117">
        <v>0.17</v>
      </c>
      <c r="AG117">
        <v>0.30099999999999999</v>
      </c>
      <c r="AH117">
        <v>1.4</v>
      </c>
      <c r="AI117">
        <v>0.34699999999999998</v>
      </c>
      <c r="AJ117">
        <v>0.73</v>
      </c>
      <c r="AK117">
        <v>104</v>
      </c>
      <c r="AL117">
        <v>90</v>
      </c>
      <c r="AM117">
        <v>98</v>
      </c>
      <c r="AN117">
        <v>4.8600000000000003</v>
      </c>
      <c r="AO117">
        <v>4.1500000000000004</v>
      </c>
      <c r="AP117">
        <v>0.72</v>
      </c>
      <c r="AQ117">
        <v>4.49</v>
      </c>
      <c r="AR117">
        <v>4.3099999999999996</v>
      </c>
      <c r="AS117" cm="1">
        <f t="array" ref="AS117:BA117">VLOOKUP(A117,plate_discipline_pitchers_2019!A:L,{3,4,5,6,7,8,9,10,11},FALSE)</f>
        <v>0.35099999999999998</v>
      </c>
      <c r="AT117">
        <v>0.753</v>
      </c>
      <c r="AU117">
        <v>0.52400000000000002</v>
      </c>
      <c r="AV117">
        <v>0.77</v>
      </c>
      <c r="AW117">
        <v>0.876</v>
      </c>
      <c r="AX117">
        <v>0.83599999999999997</v>
      </c>
      <c r="AY117">
        <v>0.43099999999999999</v>
      </c>
      <c r="AZ117">
        <v>0.65100000000000002</v>
      </c>
      <c r="BA117">
        <v>8.5999999999999993E-2</v>
      </c>
      <c r="BB117" cm="1">
        <f t="array" ref="BB117:BP117">VLOOKUP(A117,pitchvalue_pitchers_2019!A:Q,{3,4,5,6,7,8,9,10,11,12,13,14,15,16,17},FALSE)</f>
        <v>2.6</v>
      </c>
      <c r="BC117">
        <v>-6.2</v>
      </c>
      <c r="BD117">
        <v>0.9</v>
      </c>
      <c r="BE117">
        <v>0</v>
      </c>
      <c r="BF117">
        <v>-2.9</v>
      </c>
      <c r="BG117">
        <v>0</v>
      </c>
      <c r="BH117">
        <v>0</v>
      </c>
      <c r="BI117">
        <v>0.51</v>
      </c>
      <c r="BJ117">
        <v>-3.77</v>
      </c>
      <c r="BK117">
        <v>0.62</v>
      </c>
      <c r="BL117">
        <v>0</v>
      </c>
      <c r="BM117">
        <v>-2.8</v>
      </c>
      <c r="BN117">
        <v>0</v>
      </c>
      <c r="BO117">
        <v>0</v>
      </c>
      <c r="BP117">
        <v>17735</v>
      </c>
      <c r="BQ117" cm="1">
        <f t="array" ref="BQ117:CH117">VLOOKUP(A117,battedball_pitchers_2019!A:U,{3,4,5,6,7,8,9,10,11,12,13,14,15,16,17,18,19,20},FALSE)</f>
        <v>0.34699999999999998</v>
      </c>
      <c r="BR117">
        <v>0.94</v>
      </c>
      <c r="BS117">
        <v>0.25800000000000001</v>
      </c>
      <c r="BT117">
        <v>0.36</v>
      </c>
      <c r="BU117">
        <v>0.38200000000000001</v>
      </c>
      <c r="BV117">
        <v>0.13200000000000001</v>
      </c>
      <c r="BW117">
        <v>0.13200000000000001</v>
      </c>
      <c r="BX117">
        <v>30</v>
      </c>
      <c r="BY117">
        <v>5.03</v>
      </c>
      <c r="BZ117">
        <v>296</v>
      </c>
      <c r="CA117">
        <v>622</v>
      </c>
      <c r="CB117">
        <v>918</v>
      </c>
      <c r="CC117">
        <v>0.39100000000000001</v>
      </c>
      <c r="CD117">
        <v>0.34599999999999997</v>
      </c>
      <c r="CE117">
        <v>0.26300000000000001</v>
      </c>
      <c r="CF117">
        <v>9.5000000000000001E-2</v>
      </c>
      <c r="CG117">
        <v>0.497</v>
      </c>
      <c r="CH117">
        <v>0.40799999999999997</v>
      </c>
      <c r="CI117" cm="1">
        <f t="array" ref="CI117:CS117">VLOOKUP(A117,verticalmove_pitchers_2019!A:N,{3,4,5,6,7,8,9,10,11,12,13},FALSE)</f>
        <v>53.2</v>
      </c>
      <c r="CJ117">
        <v>8.1</v>
      </c>
      <c r="CK117">
        <v>0</v>
      </c>
      <c r="CL117">
        <v>0</v>
      </c>
      <c r="CM117">
        <v>5.9</v>
      </c>
      <c r="CN117">
        <v>3.6</v>
      </c>
      <c r="CO117">
        <v>2.7</v>
      </c>
      <c r="CP117">
        <v>-1.5</v>
      </c>
      <c r="CQ117">
        <v>0</v>
      </c>
      <c r="CR117">
        <v>0</v>
      </c>
      <c r="CS117">
        <v>0</v>
      </c>
      <c r="CT117" cm="1">
        <f t="array" ref="CT117:DD117">VLOOKUP(A117,velocity_pitchers_2019!A:N,{3,4,5,6,7,8,9,10,11,12,13},FALSE)</f>
        <v>53.2</v>
      </c>
      <c r="CU117">
        <v>90.7</v>
      </c>
      <c r="CV117">
        <v>0</v>
      </c>
      <c r="CW117">
        <v>0</v>
      </c>
      <c r="CX117">
        <v>90.7</v>
      </c>
      <c r="CY117">
        <v>84.1</v>
      </c>
      <c r="CZ117">
        <v>85.3</v>
      </c>
      <c r="DA117">
        <v>81.2</v>
      </c>
      <c r="DB117">
        <v>0</v>
      </c>
      <c r="DC117">
        <v>0</v>
      </c>
      <c r="DD117">
        <v>0</v>
      </c>
    </row>
    <row r="118" spans="1:108" x14ac:dyDescent="0.3">
      <c r="A118" t="s">
        <v>284</v>
      </c>
      <c r="B118" t="str" cm="1">
        <f t="array" ref="B118:Y118">VLOOKUP(A118,standard_pitchers_2019!A:Y,{2,3,4,5,6,7,8,9,10,11,12,13,14,15,16,17,18,19,20,21,22,23,24,25},FALSE)</f>
        <v>Diamondbacks</v>
      </c>
      <c r="C118">
        <v>5</v>
      </c>
      <c r="D118">
        <v>5</v>
      </c>
      <c r="E118">
        <v>4.71</v>
      </c>
      <c r="F118">
        <v>54</v>
      </c>
      <c r="G118">
        <v>0</v>
      </c>
      <c r="H118">
        <v>0</v>
      </c>
      <c r="I118">
        <v>0</v>
      </c>
      <c r="J118">
        <v>1</v>
      </c>
      <c r="K118">
        <v>4</v>
      </c>
      <c r="L118">
        <v>3</v>
      </c>
      <c r="M118">
        <v>70.2</v>
      </c>
      <c r="N118">
        <v>310</v>
      </c>
      <c r="O118">
        <v>72</v>
      </c>
      <c r="P118">
        <v>37</v>
      </c>
      <c r="Q118">
        <v>37</v>
      </c>
      <c r="R118">
        <v>8</v>
      </c>
      <c r="S118">
        <v>27</v>
      </c>
      <c r="T118">
        <v>4</v>
      </c>
      <c r="U118">
        <v>3</v>
      </c>
      <c r="V118">
        <v>9</v>
      </c>
      <c r="W118">
        <v>2</v>
      </c>
      <c r="X118">
        <v>79</v>
      </c>
      <c r="Y118">
        <v>12022</v>
      </c>
      <c r="Z118" cm="1">
        <f t="array" ref="Z118:AR118">VLOOKUP(A118,advanced_pitchers_2019!A:Y,{3,4,5,6,7,8,9,10,11,12,13,14,15,16,17,18,19,20,21},FALSE)</f>
        <v>10.06</v>
      </c>
      <c r="AA118">
        <v>3.44</v>
      </c>
      <c r="AB118">
        <v>2.93</v>
      </c>
      <c r="AC118">
        <v>1.02</v>
      </c>
      <c r="AD118">
        <v>0.255</v>
      </c>
      <c r="AE118">
        <v>8.6999999999999994E-2</v>
      </c>
      <c r="AF118">
        <v>0.16800000000000001</v>
      </c>
      <c r="AG118">
        <v>0.25700000000000001</v>
      </c>
      <c r="AH118">
        <v>1.4</v>
      </c>
      <c r="AI118">
        <v>0.33200000000000002</v>
      </c>
      <c r="AJ118">
        <v>0.71599999999999997</v>
      </c>
      <c r="AK118">
        <v>107</v>
      </c>
      <c r="AL118">
        <v>85</v>
      </c>
      <c r="AM118">
        <v>87</v>
      </c>
      <c r="AN118">
        <v>4.71</v>
      </c>
      <c r="AO118">
        <v>3.72</v>
      </c>
      <c r="AP118">
        <v>0.99</v>
      </c>
      <c r="AQ118">
        <v>3.88</v>
      </c>
      <c r="AR118">
        <v>3.82</v>
      </c>
      <c r="AS118" cm="1">
        <f t="array" ref="AS118:BA118">VLOOKUP(A118,plate_discipline_pitchers_2019!A:L,{3,4,5,6,7,8,9,10,11},FALSE)</f>
        <v>0.307</v>
      </c>
      <c r="AT118">
        <v>0.67900000000000005</v>
      </c>
      <c r="AU118">
        <v>0.47</v>
      </c>
      <c r="AV118">
        <v>0.68600000000000005</v>
      </c>
      <c r="AW118">
        <v>0.84599999999999997</v>
      </c>
      <c r="AX118">
        <v>0.78800000000000003</v>
      </c>
      <c r="AY118">
        <v>0.438</v>
      </c>
      <c r="AZ118">
        <v>0.61299999999999999</v>
      </c>
      <c r="BA118">
        <v>0.1</v>
      </c>
      <c r="BB118" cm="1">
        <f t="array" ref="BB118:BP118">VLOOKUP(A118,pitchvalue_pitchers_2019!A:Q,{3,4,5,6,7,8,9,10,11,12,13,14,15,16,17},FALSE)</f>
        <v>2.6</v>
      </c>
      <c r="BC118">
        <v>-0.3</v>
      </c>
      <c r="BD118">
        <v>0</v>
      </c>
      <c r="BE118">
        <v>-4.5</v>
      </c>
      <c r="BF118">
        <v>1.2</v>
      </c>
      <c r="BG118">
        <v>0</v>
      </c>
      <c r="BH118">
        <v>0</v>
      </c>
      <c r="BI118">
        <v>0.42</v>
      </c>
      <c r="BJ118">
        <v>-3.38</v>
      </c>
      <c r="BK118">
        <v>0</v>
      </c>
      <c r="BL118">
        <v>-3.29</v>
      </c>
      <c r="BM118">
        <v>0.26</v>
      </c>
      <c r="BN118">
        <v>0</v>
      </c>
      <c r="BO118">
        <v>0</v>
      </c>
      <c r="BP118">
        <v>12022</v>
      </c>
      <c r="BQ118" cm="1">
        <f t="array" ref="BQ118:CH118">VLOOKUP(A118,battedball_pitchers_2019!A:U,{3,4,5,6,7,8,9,10,11,12,13,14,15,16,17,18,19,20},FALSE)</f>
        <v>0.33200000000000002</v>
      </c>
      <c r="BR118">
        <v>1.71</v>
      </c>
      <c r="BS118">
        <v>0.20300000000000001</v>
      </c>
      <c r="BT118">
        <v>0.503</v>
      </c>
      <c r="BU118">
        <v>0.29399999999999998</v>
      </c>
      <c r="BV118">
        <v>0.121</v>
      </c>
      <c r="BW118">
        <v>0.13800000000000001</v>
      </c>
      <c r="BX118">
        <v>41</v>
      </c>
      <c r="BY118">
        <v>5.22</v>
      </c>
      <c r="BZ118">
        <v>423</v>
      </c>
      <c r="CA118">
        <v>781</v>
      </c>
      <c r="CB118">
        <v>1204</v>
      </c>
      <c r="CC118">
        <v>0.375</v>
      </c>
      <c r="CD118">
        <v>0.37</v>
      </c>
      <c r="CE118">
        <v>0.255</v>
      </c>
      <c r="CF118">
        <v>0.16</v>
      </c>
      <c r="CG118">
        <v>0.45</v>
      </c>
      <c r="CH118">
        <v>0.39</v>
      </c>
      <c r="CI118" cm="1">
        <f t="array" ref="CI118:CS118">VLOOKUP(A118,verticalmove_pitchers_2019!A:N,{3,4,5,6,7,8,9,10,11,12,13},FALSE)</f>
        <v>70.2</v>
      </c>
      <c r="CJ118">
        <v>8.9</v>
      </c>
      <c r="CK118">
        <v>0</v>
      </c>
      <c r="CL118">
        <v>0</v>
      </c>
      <c r="CM118">
        <v>3.2</v>
      </c>
      <c r="CN118">
        <v>-0.1</v>
      </c>
      <c r="CO118">
        <v>-1.1000000000000001</v>
      </c>
      <c r="CP118">
        <v>-7.4</v>
      </c>
      <c r="CQ118">
        <v>0</v>
      </c>
      <c r="CR118">
        <v>0</v>
      </c>
      <c r="CS118">
        <v>0</v>
      </c>
      <c r="CT118" cm="1">
        <f t="array" ref="CT118:DD118">VLOOKUP(A118,velocity_pitchers_2019!A:N,{3,4,5,6,7,8,9,10,11,12,13},FALSE)</f>
        <v>70.2</v>
      </c>
      <c r="CU118">
        <v>92.6</v>
      </c>
      <c r="CV118">
        <v>0</v>
      </c>
      <c r="CW118">
        <v>0</v>
      </c>
      <c r="CX118">
        <v>91.6</v>
      </c>
      <c r="CY118">
        <v>86.1</v>
      </c>
      <c r="CZ118">
        <v>85.1</v>
      </c>
      <c r="DA118">
        <v>81</v>
      </c>
      <c r="DB118">
        <v>0</v>
      </c>
      <c r="DC118">
        <v>0</v>
      </c>
      <c r="DD118">
        <v>0</v>
      </c>
    </row>
    <row r="119" spans="1:108" x14ac:dyDescent="0.3">
      <c r="A119" t="s">
        <v>119</v>
      </c>
      <c r="B119" t="str" cm="1">
        <f t="array" ref="B119:Y119">VLOOKUP(A119,standard_pitchers_2019!A:Y,{2,3,4,5,6,7,8,9,10,11,12,13,14,15,16,17,18,19,20,21,22,23,24,25},FALSE)</f>
        <v>- - -</v>
      </c>
      <c r="C119">
        <v>5</v>
      </c>
      <c r="D119">
        <v>4</v>
      </c>
      <c r="E119">
        <v>3.32</v>
      </c>
      <c r="F119">
        <v>68</v>
      </c>
      <c r="G119">
        <v>0</v>
      </c>
      <c r="H119">
        <v>0</v>
      </c>
      <c r="I119">
        <v>0</v>
      </c>
      <c r="J119">
        <v>1</v>
      </c>
      <c r="K119">
        <v>16</v>
      </c>
      <c r="L119">
        <v>4</v>
      </c>
      <c r="M119">
        <v>65</v>
      </c>
      <c r="N119">
        <v>264</v>
      </c>
      <c r="O119">
        <v>52</v>
      </c>
      <c r="P119">
        <v>24</v>
      </c>
      <c r="Q119">
        <v>24</v>
      </c>
      <c r="R119">
        <v>8</v>
      </c>
      <c r="S119">
        <v>18</v>
      </c>
      <c r="T119">
        <v>4</v>
      </c>
      <c r="U119">
        <v>2</v>
      </c>
      <c r="V119">
        <v>4</v>
      </c>
      <c r="W119">
        <v>0</v>
      </c>
      <c r="X119">
        <v>110</v>
      </c>
      <c r="Y119">
        <v>18337</v>
      </c>
      <c r="Z119" cm="1">
        <f t="array" ref="Z119:AR119">VLOOKUP(A119,advanced_pitchers_2019!A:Y,{3,4,5,6,7,8,9,10,11,12,13,14,15,16,17,18,19,20,21},FALSE)</f>
        <v>15.23</v>
      </c>
      <c r="AA119">
        <v>2.4900000000000002</v>
      </c>
      <c r="AB119">
        <v>6.11</v>
      </c>
      <c r="AC119">
        <v>1.1100000000000001</v>
      </c>
      <c r="AD119">
        <v>0.41699999999999998</v>
      </c>
      <c r="AE119">
        <v>6.8000000000000005E-2</v>
      </c>
      <c r="AF119">
        <v>0.34799999999999998</v>
      </c>
      <c r="AG119">
        <v>0.21299999999999999</v>
      </c>
      <c r="AH119">
        <v>1.08</v>
      </c>
      <c r="AI119">
        <v>0.34899999999999998</v>
      </c>
      <c r="AJ119">
        <v>0.78900000000000003</v>
      </c>
      <c r="AK119">
        <v>78</v>
      </c>
      <c r="AL119">
        <v>54</v>
      </c>
      <c r="AM119">
        <v>55</v>
      </c>
      <c r="AN119">
        <v>3.32</v>
      </c>
      <c r="AO119">
        <v>2.35</v>
      </c>
      <c r="AP119">
        <v>0.97</v>
      </c>
      <c r="AQ119">
        <v>2.44</v>
      </c>
      <c r="AR119">
        <v>2.21</v>
      </c>
      <c r="AS119" cm="1">
        <f t="array" ref="AS119:BA119">VLOOKUP(A119,plate_discipline_pitchers_2019!A:L,{3,4,5,6,7,8,9,10,11},FALSE)</f>
        <v>0.36699999999999999</v>
      </c>
      <c r="AT119">
        <v>0.72399999999999998</v>
      </c>
      <c r="AU119">
        <v>0.54</v>
      </c>
      <c r="AV119">
        <v>0.46899999999999997</v>
      </c>
      <c r="AW119">
        <v>0.73</v>
      </c>
      <c r="AX119">
        <v>0.63800000000000001</v>
      </c>
      <c r="AY119">
        <v>0.48299999999999998</v>
      </c>
      <c r="AZ119">
        <v>0.67</v>
      </c>
      <c r="BA119">
        <v>0.19500000000000001</v>
      </c>
      <c r="BB119" cm="1">
        <f t="array" ref="BB119:BP119">VLOOKUP(A119,pitchvalue_pitchers_2019!A:Q,{3,4,5,6,7,8,9,10,11,12,13,14,15,16,17},FALSE)</f>
        <v>2.5</v>
      </c>
      <c r="BC119">
        <v>0</v>
      </c>
      <c r="BD119">
        <v>0</v>
      </c>
      <c r="BE119">
        <v>9.9</v>
      </c>
      <c r="BF119">
        <v>0</v>
      </c>
      <c r="BG119">
        <v>0</v>
      </c>
      <c r="BH119">
        <v>0</v>
      </c>
      <c r="BI119">
        <v>0.38</v>
      </c>
      <c r="BJ119">
        <v>0</v>
      </c>
      <c r="BK119">
        <v>0</v>
      </c>
      <c r="BL119">
        <v>2.2400000000000002</v>
      </c>
      <c r="BM119">
        <v>0</v>
      </c>
      <c r="BN119">
        <v>0</v>
      </c>
      <c r="BO119">
        <v>0</v>
      </c>
      <c r="BP119">
        <v>18337</v>
      </c>
      <c r="BQ119" cm="1">
        <f t="array" ref="BQ119:CH119">VLOOKUP(A119,battedball_pitchers_2019!A:U,{3,4,5,6,7,8,9,10,11,12,13,14,15,16,17,18,19,20},FALSE)</f>
        <v>0.34899999999999998</v>
      </c>
      <c r="BR119">
        <v>0.69</v>
      </c>
      <c r="BS119">
        <v>0.29499999999999998</v>
      </c>
      <c r="BT119">
        <v>0.28799999999999998</v>
      </c>
      <c r="BU119">
        <v>0.41699999999999998</v>
      </c>
      <c r="BV119">
        <v>0.127</v>
      </c>
      <c r="BW119">
        <v>0.14499999999999999</v>
      </c>
      <c r="BX119">
        <v>30</v>
      </c>
      <c r="BY119">
        <v>4.1500000000000004</v>
      </c>
      <c r="BZ119">
        <v>337</v>
      </c>
      <c r="CA119">
        <v>764</v>
      </c>
      <c r="CB119">
        <v>1101</v>
      </c>
      <c r="CC119">
        <v>0.41799999999999998</v>
      </c>
      <c r="CD119">
        <v>0.313</v>
      </c>
      <c r="CE119">
        <v>0.26900000000000002</v>
      </c>
      <c r="CF119">
        <v>0.14899999999999999</v>
      </c>
      <c r="CG119">
        <v>0.44</v>
      </c>
      <c r="CH119">
        <v>0.41</v>
      </c>
      <c r="CI119" cm="1">
        <f t="array" ref="CI119:CS119">VLOOKUP(A119,verticalmove_pitchers_2019!A:N,{3,4,5,6,7,8,9,10,11,12,13},FALSE)</f>
        <v>65</v>
      </c>
      <c r="CJ119">
        <v>10.7</v>
      </c>
      <c r="CK119">
        <v>0</v>
      </c>
      <c r="CL119">
        <v>0</v>
      </c>
      <c r="CM119">
        <v>0</v>
      </c>
      <c r="CN119">
        <v>0</v>
      </c>
      <c r="CO119">
        <v>-2.1</v>
      </c>
      <c r="CP119">
        <v>0</v>
      </c>
      <c r="CQ119">
        <v>0</v>
      </c>
      <c r="CR119">
        <v>0</v>
      </c>
      <c r="CS119">
        <v>0</v>
      </c>
      <c r="CT119" cm="1">
        <f t="array" ref="CT119:DD119">VLOOKUP(A119,velocity_pitchers_2019!A:N,{3,4,5,6,7,8,9,10,11,12,13},FALSE)</f>
        <v>65</v>
      </c>
      <c r="CU119">
        <v>96.3</v>
      </c>
      <c r="CV119">
        <v>0</v>
      </c>
      <c r="CW119">
        <v>0</v>
      </c>
      <c r="CX119">
        <v>0</v>
      </c>
      <c r="CY119">
        <v>0</v>
      </c>
      <c r="CZ119">
        <v>83.3</v>
      </c>
      <c r="DA119">
        <v>0</v>
      </c>
      <c r="DB119">
        <v>0</v>
      </c>
      <c r="DC119">
        <v>0</v>
      </c>
      <c r="DD119">
        <v>0</v>
      </c>
    </row>
    <row r="120" spans="1:108" x14ac:dyDescent="0.3">
      <c r="A120" t="s">
        <v>258</v>
      </c>
      <c r="B120" t="str" cm="1">
        <f t="array" ref="B120:Y120">VLOOKUP(A120,standard_pitchers_2019!A:Y,{2,3,4,5,6,7,8,9,10,11,12,13,14,15,16,17,18,19,20,21,22,23,24,25},FALSE)</f>
        <v>Braves</v>
      </c>
      <c r="C120">
        <v>8</v>
      </c>
      <c r="D120">
        <v>6</v>
      </c>
      <c r="E120">
        <v>4.54</v>
      </c>
      <c r="F120">
        <v>21</v>
      </c>
      <c r="G120">
        <v>21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117</v>
      </c>
      <c r="N120">
        <v>491</v>
      </c>
      <c r="O120">
        <v>109</v>
      </c>
      <c r="P120">
        <v>65</v>
      </c>
      <c r="Q120">
        <v>59</v>
      </c>
      <c r="R120">
        <v>23</v>
      </c>
      <c r="S120">
        <v>37</v>
      </c>
      <c r="T120">
        <v>2</v>
      </c>
      <c r="U120">
        <v>2</v>
      </c>
      <c r="V120">
        <v>5</v>
      </c>
      <c r="W120">
        <v>0</v>
      </c>
      <c r="X120">
        <v>105</v>
      </c>
      <c r="Y120">
        <v>10811</v>
      </c>
      <c r="Z120" cm="1">
        <f t="array" ref="Z120:AR120">VLOOKUP(A120,advanced_pitchers_2019!A:Y,{3,4,5,6,7,8,9,10,11,12,13,14,15,16,17,18,19,20,21},FALSE)</f>
        <v>8.08</v>
      </c>
      <c r="AA120">
        <v>2.85</v>
      </c>
      <c r="AB120">
        <v>2.84</v>
      </c>
      <c r="AC120">
        <v>1.77</v>
      </c>
      <c r="AD120">
        <v>0.214</v>
      </c>
      <c r="AE120">
        <v>7.4999999999999997E-2</v>
      </c>
      <c r="AF120">
        <v>0.13800000000000001</v>
      </c>
      <c r="AG120">
        <v>0.24099999999999999</v>
      </c>
      <c r="AH120">
        <v>1.25</v>
      </c>
      <c r="AI120">
        <v>0.26500000000000001</v>
      </c>
      <c r="AJ120">
        <v>0.71699999999999997</v>
      </c>
      <c r="AK120">
        <v>102</v>
      </c>
      <c r="AL120">
        <v>114</v>
      </c>
      <c r="AM120">
        <v>107</v>
      </c>
      <c r="AN120">
        <v>4.54</v>
      </c>
      <c r="AO120">
        <v>4.97</v>
      </c>
      <c r="AP120">
        <v>-0.44</v>
      </c>
      <c r="AQ120">
        <v>4.7300000000000004</v>
      </c>
      <c r="AR120">
        <v>4.71</v>
      </c>
      <c r="AS120" cm="1">
        <f t="array" ref="AS120:BA120">VLOOKUP(A120,plate_discipline_pitchers_2019!A:L,{3,4,5,6,7,8,9,10,11},FALSE)</f>
        <v>0.28699999999999998</v>
      </c>
      <c r="AT120">
        <v>0.73699999999999999</v>
      </c>
      <c r="AU120">
        <v>0.48599999999999999</v>
      </c>
      <c r="AV120">
        <v>0.63</v>
      </c>
      <c r="AW120">
        <v>0.85899999999999999</v>
      </c>
      <c r="AX120">
        <v>0.78300000000000003</v>
      </c>
      <c r="AY120">
        <v>0.442</v>
      </c>
      <c r="AZ120">
        <v>0.60299999999999998</v>
      </c>
      <c r="BA120">
        <v>0.105</v>
      </c>
      <c r="BB120" cm="1">
        <f t="array" ref="BB120:BP120">VLOOKUP(A120,pitchvalue_pitchers_2019!A:Q,{3,4,5,6,7,8,9,10,11,12,13,14,15,16,17},FALSE)</f>
        <v>2.5</v>
      </c>
      <c r="BC120">
        <v>-1.9</v>
      </c>
      <c r="BD120">
        <v>0</v>
      </c>
      <c r="BE120">
        <v>-2.2000000000000002</v>
      </c>
      <c r="BF120">
        <v>2.6</v>
      </c>
      <c r="BG120">
        <v>0</v>
      </c>
      <c r="BH120">
        <v>0</v>
      </c>
      <c r="BI120">
        <v>0.25</v>
      </c>
      <c r="BJ120">
        <v>-0.35</v>
      </c>
      <c r="BK120">
        <v>0</v>
      </c>
      <c r="BL120">
        <v>-1.19</v>
      </c>
      <c r="BM120">
        <v>1.47</v>
      </c>
      <c r="BN120">
        <v>0</v>
      </c>
      <c r="BO120">
        <v>0</v>
      </c>
      <c r="BP120">
        <v>10811</v>
      </c>
      <c r="BQ120" cm="1">
        <f t="array" ref="BQ120:CH120">VLOOKUP(A120,battedball_pitchers_2019!A:U,{3,4,5,6,7,8,9,10,11,12,13,14,15,16,17,18,19,20},FALSE)</f>
        <v>0.26500000000000001</v>
      </c>
      <c r="BR120">
        <v>0.91</v>
      </c>
      <c r="BS120">
        <v>0.23100000000000001</v>
      </c>
      <c r="BT120">
        <v>0.36699999999999999</v>
      </c>
      <c r="BU120">
        <v>0.40200000000000002</v>
      </c>
      <c r="BV120">
        <v>0.125</v>
      </c>
      <c r="BW120">
        <v>0.16900000000000001</v>
      </c>
      <c r="BX120">
        <v>79</v>
      </c>
      <c r="BY120">
        <v>6.08</v>
      </c>
      <c r="BZ120">
        <v>661</v>
      </c>
      <c r="CA120">
        <v>1227</v>
      </c>
      <c r="CB120">
        <v>1888</v>
      </c>
      <c r="CC120">
        <v>0.46100000000000002</v>
      </c>
      <c r="CD120">
        <v>0.34</v>
      </c>
      <c r="CE120">
        <v>0.19900000000000001</v>
      </c>
      <c r="CF120">
        <v>0.184</v>
      </c>
      <c r="CG120">
        <v>0.41199999999999998</v>
      </c>
      <c r="CH120">
        <v>0.40300000000000002</v>
      </c>
      <c r="CI120" cm="1">
        <f t="array" ref="CI120:CS120">VLOOKUP(A120,verticalmove_pitchers_2019!A:N,{3,4,5,6,7,8,9,10,11,12,13},FALSE)</f>
        <v>117</v>
      </c>
      <c r="CJ120">
        <v>8.4</v>
      </c>
      <c r="CK120">
        <v>0</v>
      </c>
      <c r="CL120">
        <v>0</v>
      </c>
      <c r="CM120">
        <v>5.4</v>
      </c>
      <c r="CN120">
        <v>5.7</v>
      </c>
      <c r="CO120">
        <v>1.8</v>
      </c>
      <c r="CP120">
        <v>-2.8</v>
      </c>
      <c r="CQ120">
        <v>0</v>
      </c>
      <c r="CR120">
        <v>0</v>
      </c>
      <c r="CS120">
        <v>0</v>
      </c>
      <c r="CT120" cm="1">
        <f t="array" ref="CT120:DD120">VLOOKUP(A120,velocity_pitchers_2019!A:N,{3,4,5,6,7,8,9,10,11,12,13},FALSE)</f>
        <v>117</v>
      </c>
      <c r="CU120">
        <v>94.9</v>
      </c>
      <c r="CV120">
        <v>0</v>
      </c>
      <c r="CW120">
        <v>0</v>
      </c>
      <c r="CX120">
        <v>95</v>
      </c>
      <c r="CY120">
        <v>86.8</v>
      </c>
      <c r="CZ120">
        <v>85.5</v>
      </c>
      <c r="DA120">
        <v>79.5</v>
      </c>
      <c r="DB120">
        <v>0</v>
      </c>
      <c r="DC120">
        <v>0</v>
      </c>
      <c r="DD120">
        <v>0</v>
      </c>
    </row>
    <row r="121" spans="1:108" x14ac:dyDescent="0.3">
      <c r="A121" t="s">
        <v>73</v>
      </c>
      <c r="B121" t="str" cm="1">
        <f t="array" ref="B121:Y121">VLOOKUP(A121,standard_pitchers_2019!A:Y,{2,3,4,5,6,7,8,9,10,11,12,13,14,15,16,17,18,19,20,21,22,23,24,25},FALSE)</f>
        <v>Astros</v>
      </c>
      <c r="C121">
        <v>4</v>
      </c>
      <c r="D121">
        <v>3</v>
      </c>
      <c r="E121">
        <v>2.63</v>
      </c>
      <c r="F121">
        <v>66</v>
      </c>
      <c r="G121">
        <v>0</v>
      </c>
      <c r="H121">
        <v>0</v>
      </c>
      <c r="I121">
        <v>0</v>
      </c>
      <c r="J121">
        <v>38</v>
      </c>
      <c r="K121">
        <v>0</v>
      </c>
      <c r="L121">
        <v>6</v>
      </c>
      <c r="M121">
        <v>65</v>
      </c>
      <c r="N121">
        <v>253</v>
      </c>
      <c r="O121">
        <v>45</v>
      </c>
      <c r="P121">
        <v>20</v>
      </c>
      <c r="Q121">
        <v>19</v>
      </c>
      <c r="R121">
        <v>8</v>
      </c>
      <c r="S121">
        <v>12</v>
      </c>
      <c r="T121">
        <v>0</v>
      </c>
      <c r="U121">
        <v>2</v>
      </c>
      <c r="V121">
        <v>1</v>
      </c>
      <c r="W121">
        <v>0</v>
      </c>
      <c r="X121">
        <v>73</v>
      </c>
      <c r="Y121">
        <v>13764</v>
      </c>
      <c r="Z121" cm="1">
        <f t="array" ref="Z121:AR121">VLOOKUP(A121,advanced_pitchers_2019!A:Y,{3,4,5,6,7,8,9,10,11,12,13,14,15,16,17,18,19,20,21},FALSE)</f>
        <v>10.11</v>
      </c>
      <c r="AA121">
        <v>1.66</v>
      </c>
      <c r="AB121">
        <v>6.08</v>
      </c>
      <c r="AC121">
        <v>1.1100000000000001</v>
      </c>
      <c r="AD121">
        <v>0.28899999999999998</v>
      </c>
      <c r="AE121">
        <v>4.7E-2</v>
      </c>
      <c r="AF121">
        <v>0.24099999999999999</v>
      </c>
      <c r="AG121">
        <v>0.188</v>
      </c>
      <c r="AH121">
        <v>0.88</v>
      </c>
      <c r="AI121">
        <v>0.23400000000000001</v>
      </c>
      <c r="AJ121">
        <v>0.81599999999999995</v>
      </c>
      <c r="AK121">
        <v>59</v>
      </c>
      <c r="AL121">
        <v>71</v>
      </c>
      <c r="AM121">
        <v>79</v>
      </c>
      <c r="AN121">
        <v>2.63</v>
      </c>
      <c r="AO121">
        <v>3.21</v>
      </c>
      <c r="AP121">
        <v>-0.57999999999999996</v>
      </c>
      <c r="AQ121">
        <v>3.6</v>
      </c>
      <c r="AR121">
        <v>3.18</v>
      </c>
      <c r="AS121" cm="1">
        <f t="array" ref="AS121:BA121">VLOOKUP(A121,plate_discipline_pitchers_2019!A:L,{3,4,5,6,7,8,9,10,11},FALSE)</f>
        <v>0.36899999999999999</v>
      </c>
      <c r="AT121">
        <v>0.755</v>
      </c>
      <c r="AU121">
        <v>0.53700000000000003</v>
      </c>
      <c r="AV121">
        <v>0.54700000000000004</v>
      </c>
      <c r="AW121">
        <v>0.77500000000000002</v>
      </c>
      <c r="AX121">
        <v>0.68600000000000005</v>
      </c>
      <c r="AY121">
        <v>0.434</v>
      </c>
      <c r="AZ121">
        <v>0.66</v>
      </c>
      <c r="BA121">
        <v>0.16900000000000001</v>
      </c>
      <c r="BB121" cm="1">
        <f t="array" ref="BB121:BP121">VLOOKUP(A121,pitchvalue_pitchers_2019!A:Q,{3,4,5,6,7,8,9,10,11,12,13,14,15,16,17},FALSE)</f>
        <v>2.5</v>
      </c>
      <c r="BC121">
        <v>4.8</v>
      </c>
      <c r="BD121">
        <v>7.4</v>
      </c>
      <c r="BE121">
        <v>0</v>
      </c>
      <c r="BF121">
        <v>3.1</v>
      </c>
      <c r="BG121">
        <v>0</v>
      </c>
      <c r="BH121">
        <v>0</v>
      </c>
      <c r="BI121">
        <v>0.52</v>
      </c>
      <c r="BJ121">
        <v>2.73</v>
      </c>
      <c r="BK121">
        <v>5.52</v>
      </c>
      <c r="BL121">
        <v>0</v>
      </c>
      <c r="BM121">
        <v>1.75</v>
      </c>
      <c r="BN121">
        <v>0</v>
      </c>
      <c r="BO121">
        <v>0</v>
      </c>
      <c r="BP121">
        <v>13764</v>
      </c>
      <c r="BQ121" cm="1">
        <f t="array" ref="BQ121:CH121">VLOOKUP(A121,battedball_pitchers_2019!A:U,{3,4,5,6,7,8,9,10,11,12,13,14,15,16,17,18,19,20},FALSE)</f>
        <v>0.23400000000000001</v>
      </c>
      <c r="BR121">
        <v>0.98</v>
      </c>
      <c r="BS121">
        <v>0.218</v>
      </c>
      <c r="BT121">
        <v>0.38800000000000001</v>
      </c>
      <c r="BU121">
        <v>0.39400000000000002</v>
      </c>
      <c r="BV121">
        <v>0.13800000000000001</v>
      </c>
      <c r="BW121">
        <v>0.123</v>
      </c>
      <c r="BX121">
        <v>6</v>
      </c>
      <c r="BY121">
        <v>0.83</v>
      </c>
      <c r="BZ121">
        <v>319</v>
      </c>
      <c r="CA121">
        <v>642</v>
      </c>
      <c r="CB121">
        <v>961</v>
      </c>
      <c r="CC121">
        <v>0.38600000000000001</v>
      </c>
      <c r="CD121">
        <v>0.35499999999999998</v>
      </c>
      <c r="CE121">
        <v>0.25900000000000001</v>
      </c>
      <c r="CF121">
        <v>0.20499999999999999</v>
      </c>
      <c r="CG121">
        <v>0.434</v>
      </c>
      <c r="CH121">
        <v>0.36099999999999999</v>
      </c>
      <c r="CI121" cm="1">
        <f t="array" ref="CI121:CS121">VLOOKUP(A121,verticalmove_pitchers_2019!A:N,{3,4,5,6,7,8,9,10,11,12,13},FALSE)</f>
        <v>65</v>
      </c>
      <c r="CJ121">
        <v>10</v>
      </c>
      <c r="CK121">
        <v>5.0999999999999996</v>
      </c>
      <c r="CL121">
        <v>0</v>
      </c>
      <c r="CM121">
        <v>8.6999999999999993</v>
      </c>
      <c r="CN121">
        <v>6.1</v>
      </c>
      <c r="CO121">
        <v>1.1000000000000001</v>
      </c>
      <c r="CP121">
        <v>0</v>
      </c>
      <c r="CQ121">
        <v>0</v>
      </c>
      <c r="CR121">
        <v>0</v>
      </c>
      <c r="CS121">
        <v>0</v>
      </c>
      <c r="CT121" cm="1">
        <f t="array" ref="CT121:DD121">VLOOKUP(A121,velocity_pitchers_2019!A:N,{3,4,5,6,7,8,9,10,11,12,13},FALSE)</f>
        <v>65</v>
      </c>
      <c r="CU121">
        <v>96.9</v>
      </c>
      <c r="CV121">
        <v>91.5</v>
      </c>
      <c r="CW121">
        <v>0</v>
      </c>
      <c r="CX121">
        <v>96</v>
      </c>
      <c r="CY121">
        <v>84.6</v>
      </c>
      <c r="CZ121">
        <v>88.1</v>
      </c>
      <c r="DA121">
        <v>0</v>
      </c>
      <c r="DB121">
        <v>0</v>
      </c>
      <c r="DC121">
        <v>0</v>
      </c>
      <c r="DD121">
        <v>0</v>
      </c>
    </row>
    <row r="122" spans="1:108" x14ac:dyDescent="0.3">
      <c r="A122" t="s">
        <v>160</v>
      </c>
      <c r="B122" t="str" cm="1">
        <f t="array" ref="B122:Y122">VLOOKUP(A122,standard_pitchers_2019!A:Y,{2,3,4,5,6,7,8,9,10,11,12,13,14,15,16,17,18,19,20,21,22,23,24,25},FALSE)</f>
        <v>Braves</v>
      </c>
      <c r="C122">
        <v>2</v>
      </c>
      <c r="D122">
        <v>1</v>
      </c>
      <c r="E122">
        <v>3.74</v>
      </c>
      <c r="F122">
        <v>51</v>
      </c>
      <c r="G122">
        <v>1</v>
      </c>
      <c r="H122">
        <v>0</v>
      </c>
      <c r="I122">
        <v>0</v>
      </c>
      <c r="J122">
        <v>2</v>
      </c>
      <c r="K122">
        <v>7</v>
      </c>
      <c r="L122">
        <v>2</v>
      </c>
      <c r="M122">
        <v>79.099999999999994</v>
      </c>
      <c r="N122">
        <v>320</v>
      </c>
      <c r="O122">
        <v>82</v>
      </c>
      <c r="P122">
        <v>35</v>
      </c>
      <c r="Q122">
        <v>33</v>
      </c>
      <c r="R122">
        <v>14</v>
      </c>
      <c r="S122">
        <v>7</v>
      </c>
      <c r="T122">
        <v>0</v>
      </c>
      <c r="U122">
        <v>0</v>
      </c>
      <c r="V122">
        <v>2</v>
      </c>
      <c r="W122">
        <v>0</v>
      </c>
      <c r="X122">
        <v>51</v>
      </c>
      <c r="Y122">
        <v>9388</v>
      </c>
      <c r="Z122" cm="1">
        <f t="array" ref="Z122:AR122">VLOOKUP(A122,advanced_pitchers_2019!A:Y,{3,4,5,6,7,8,9,10,11,12,13,14,15,16,17,18,19,20,21},FALSE)</f>
        <v>5.79</v>
      </c>
      <c r="AA122">
        <v>0.79</v>
      </c>
      <c r="AB122">
        <v>7.29</v>
      </c>
      <c r="AC122">
        <v>1.59</v>
      </c>
      <c r="AD122">
        <v>0.159</v>
      </c>
      <c r="AE122">
        <v>2.1999999999999999E-2</v>
      </c>
      <c r="AF122">
        <v>0.13800000000000001</v>
      </c>
      <c r="AG122">
        <v>0.26200000000000001</v>
      </c>
      <c r="AH122">
        <v>1.1200000000000001</v>
      </c>
      <c r="AI122">
        <v>0.27400000000000002</v>
      </c>
      <c r="AJ122">
        <v>0.77800000000000002</v>
      </c>
      <c r="AK122">
        <v>84</v>
      </c>
      <c r="AL122">
        <v>102</v>
      </c>
      <c r="AM122">
        <v>112</v>
      </c>
      <c r="AN122">
        <v>3.74</v>
      </c>
      <c r="AO122">
        <v>4.49</v>
      </c>
      <c r="AP122">
        <v>-0.74</v>
      </c>
      <c r="AQ122">
        <v>4.95</v>
      </c>
      <c r="AR122">
        <v>4.58</v>
      </c>
      <c r="AS122" cm="1">
        <f t="array" ref="AS122:BA122">VLOOKUP(A122,plate_discipline_pitchers_2019!A:L,{3,4,5,6,7,8,9,10,11},FALSE)</f>
        <v>0.34799999999999998</v>
      </c>
      <c r="AT122">
        <v>0.747</v>
      </c>
      <c r="AU122">
        <v>0.51100000000000001</v>
      </c>
      <c r="AV122">
        <v>0.70099999999999996</v>
      </c>
      <c r="AW122">
        <v>0.89900000000000002</v>
      </c>
      <c r="AX122">
        <v>0.81899999999999995</v>
      </c>
      <c r="AY122">
        <v>0.40799999999999997</v>
      </c>
      <c r="AZ122">
        <v>0.64400000000000002</v>
      </c>
      <c r="BA122">
        <v>9.1999999999999998E-2</v>
      </c>
      <c r="BB122" cm="1">
        <f t="array" ref="BB122:BP122">VLOOKUP(A122,pitchvalue_pitchers_2019!A:Q,{3,4,5,6,7,8,9,10,11,12,13,14,15,16,17},FALSE)</f>
        <v>2.5</v>
      </c>
      <c r="BC122">
        <v>0</v>
      </c>
      <c r="BD122">
        <v>8.1999999999999993</v>
      </c>
      <c r="BE122">
        <v>1</v>
      </c>
      <c r="BF122">
        <v>-5</v>
      </c>
      <c r="BG122">
        <v>0</v>
      </c>
      <c r="BH122">
        <v>0</v>
      </c>
      <c r="BI122">
        <v>0.7</v>
      </c>
      <c r="BJ122">
        <v>0</v>
      </c>
      <c r="BK122">
        <v>1.68</v>
      </c>
      <c r="BL122">
        <v>0.52</v>
      </c>
      <c r="BM122">
        <v>-5.19</v>
      </c>
      <c r="BN122">
        <v>0</v>
      </c>
      <c r="BO122">
        <v>0</v>
      </c>
      <c r="BP122">
        <v>9388</v>
      </c>
      <c r="BQ122" cm="1">
        <f t="array" ref="BQ122:CH122">VLOOKUP(A122,battedball_pitchers_2019!A:U,{3,4,5,6,7,8,9,10,11,12,13,14,15,16,17,18,19,20},FALSE)</f>
        <v>0.27400000000000002</v>
      </c>
      <c r="BR122">
        <v>0.78</v>
      </c>
      <c r="BS122">
        <v>0.23699999999999999</v>
      </c>
      <c r="BT122">
        <v>0.33500000000000002</v>
      </c>
      <c r="BU122">
        <v>0.42799999999999999</v>
      </c>
      <c r="BV122">
        <v>9.0999999999999998E-2</v>
      </c>
      <c r="BW122">
        <v>0.127</v>
      </c>
      <c r="BX122">
        <v>43</v>
      </c>
      <c r="BY122">
        <v>4.88</v>
      </c>
      <c r="BZ122">
        <v>374</v>
      </c>
      <c r="CA122">
        <v>762</v>
      </c>
      <c r="CB122">
        <v>1136</v>
      </c>
      <c r="CC122">
        <v>0.43099999999999999</v>
      </c>
      <c r="CD122">
        <v>0.32800000000000001</v>
      </c>
      <c r="CE122">
        <v>0.24</v>
      </c>
      <c r="CF122">
        <v>0.16400000000000001</v>
      </c>
      <c r="CG122">
        <v>0.47699999999999998</v>
      </c>
      <c r="CH122">
        <v>0.35899999999999999</v>
      </c>
      <c r="CI122" cm="1">
        <f t="array" ref="CI122:CS122">VLOOKUP(A122,verticalmove_pitchers_2019!A:N,{3,4,5,6,7,8,9,10,11,12,13},FALSE)</f>
        <v>79.099999999999994</v>
      </c>
      <c r="CJ122">
        <v>8.1</v>
      </c>
      <c r="CK122">
        <v>5.3</v>
      </c>
      <c r="CL122">
        <v>0</v>
      </c>
      <c r="CM122">
        <v>0</v>
      </c>
      <c r="CN122">
        <v>3.2</v>
      </c>
      <c r="CO122">
        <v>0</v>
      </c>
      <c r="CP122">
        <v>-5.2</v>
      </c>
      <c r="CQ122">
        <v>0</v>
      </c>
      <c r="CR122">
        <v>0</v>
      </c>
      <c r="CS122">
        <v>0</v>
      </c>
      <c r="CT122" cm="1">
        <f t="array" ref="CT122:DD122">VLOOKUP(A122,velocity_pitchers_2019!A:N,{3,4,5,6,7,8,9,10,11,12,13},FALSE)</f>
        <v>79.099999999999994</v>
      </c>
      <c r="CU122">
        <v>89.3</v>
      </c>
      <c r="CV122">
        <v>86.9</v>
      </c>
      <c r="CW122">
        <v>0</v>
      </c>
      <c r="CX122">
        <v>0</v>
      </c>
      <c r="CY122">
        <v>84.8</v>
      </c>
      <c r="CZ122">
        <v>0</v>
      </c>
      <c r="DA122">
        <v>76.5</v>
      </c>
      <c r="DB122">
        <v>0</v>
      </c>
      <c r="DC122">
        <v>0</v>
      </c>
      <c r="DD122">
        <v>0</v>
      </c>
    </row>
    <row r="123" spans="1:108" x14ac:dyDescent="0.3">
      <c r="A123" t="s">
        <v>240</v>
      </c>
      <c r="B123" t="str" cm="1">
        <f t="array" ref="B123:Y123">VLOOKUP(A123,standard_pitchers_2019!A:Y,{2,3,4,5,6,7,8,9,10,11,12,13,14,15,16,17,18,19,20,21,22,23,24,25},FALSE)</f>
        <v>Red Sox</v>
      </c>
      <c r="C123">
        <v>6</v>
      </c>
      <c r="D123">
        <v>11</v>
      </c>
      <c r="E123">
        <v>4.4000000000000004</v>
      </c>
      <c r="F123">
        <v>25</v>
      </c>
      <c r="G123">
        <v>25</v>
      </c>
      <c r="H123">
        <v>1</v>
      </c>
      <c r="I123">
        <v>1</v>
      </c>
      <c r="J123">
        <v>0</v>
      </c>
      <c r="K123">
        <v>0</v>
      </c>
      <c r="L123">
        <v>0</v>
      </c>
      <c r="M123">
        <v>147.1</v>
      </c>
      <c r="N123">
        <v>612</v>
      </c>
      <c r="O123">
        <v>123</v>
      </c>
      <c r="P123">
        <v>80</v>
      </c>
      <c r="Q123">
        <v>72</v>
      </c>
      <c r="R123">
        <v>24</v>
      </c>
      <c r="S123">
        <v>37</v>
      </c>
      <c r="T123">
        <v>0</v>
      </c>
      <c r="U123">
        <v>13</v>
      </c>
      <c r="V123">
        <v>2</v>
      </c>
      <c r="W123">
        <v>0</v>
      </c>
      <c r="X123">
        <v>218</v>
      </c>
      <c r="Y123">
        <v>10603</v>
      </c>
      <c r="Z123" cm="1">
        <f t="array" ref="Z123:AR123">VLOOKUP(A123,advanced_pitchers_2019!A:Y,{3,4,5,6,7,8,9,10,11,12,13,14,15,16,17,18,19,20,21},FALSE)</f>
        <v>13.32</v>
      </c>
      <c r="AA123">
        <v>2.2599999999999998</v>
      </c>
      <c r="AB123">
        <v>5.89</v>
      </c>
      <c r="AC123">
        <v>1.47</v>
      </c>
      <c r="AD123">
        <v>0.35599999999999998</v>
      </c>
      <c r="AE123">
        <v>0.06</v>
      </c>
      <c r="AF123">
        <v>0.29599999999999999</v>
      </c>
      <c r="AG123">
        <v>0.219</v>
      </c>
      <c r="AH123">
        <v>1.0900000000000001</v>
      </c>
      <c r="AI123">
        <v>0.309</v>
      </c>
      <c r="AJ123">
        <v>0.66700000000000004</v>
      </c>
      <c r="AK123">
        <v>91</v>
      </c>
      <c r="AL123">
        <v>75</v>
      </c>
      <c r="AM123">
        <v>64</v>
      </c>
      <c r="AN123">
        <v>4.4000000000000004</v>
      </c>
      <c r="AO123">
        <v>3.39</v>
      </c>
      <c r="AP123">
        <v>1.01</v>
      </c>
      <c r="AQ123">
        <v>2.93</v>
      </c>
      <c r="AR123">
        <v>3</v>
      </c>
      <c r="AS123" cm="1">
        <f t="array" ref="AS123:BA123">VLOOKUP(A123,plate_discipline_pitchers_2019!A:L,{3,4,5,6,7,8,9,10,11},FALSE)</f>
        <v>0.35099999999999998</v>
      </c>
      <c r="AT123">
        <v>0.621</v>
      </c>
      <c r="AU123">
        <v>0.47199999999999998</v>
      </c>
      <c r="AV123">
        <v>0.56499999999999995</v>
      </c>
      <c r="AW123">
        <v>0.79200000000000004</v>
      </c>
      <c r="AX123">
        <v>0.69799999999999995</v>
      </c>
      <c r="AY123">
        <v>0.44800000000000001</v>
      </c>
      <c r="AZ123">
        <v>0.66</v>
      </c>
      <c r="BA123">
        <v>0.14199999999999999</v>
      </c>
      <c r="BB123" cm="1">
        <f t="array" ref="BB123:BP123">VLOOKUP(A123,pitchvalue_pitchers_2019!A:Q,{3,4,5,6,7,8,9,10,11,12,13,14,15,16,17},FALSE)</f>
        <v>2.2999999999999998</v>
      </c>
      <c r="BC123">
        <v>5.6</v>
      </c>
      <c r="BD123">
        <v>0</v>
      </c>
      <c r="BE123">
        <v>0</v>
      </c>
      <c r="BF123">
        <v>2</v>
      </c>
      <c r="BG123">
        <v>0</v>
      </c>
      <c r="BH123">
        <v>0</v>
      </c>
      <c r="BI123">
        <v>0.2</v>
      </c>
      <c r="BJ123">
        <v>0.59</v>
      </c>
      <c r="BK123">
        <v>0</v>
      </c>
      <c r="BL123">
        <v>0</v>
      </c>
      <c r="BM123">
        <v>0.53</v>
      </c>
      <c r="BN123">
        <v>0</v>
      </c>
      <c r="BO123">
        <v>0</v>
      </c>
      <c r="BP123">
        <v>10603</v>
      </c>
      <c r="BQ123" cm="1">
        <f t="array" ref="BQ123:CH123">VLOOKUP(A123,battedball_pitchers_2019!A:U,{3,4,5,6,7,8,9,10,11,12,13,14,15,16,17,18,19,20},FALSE)</f>
        <v>0.309</v>
      </c>
      <c r="BR123">
        <v>1.19</v>
      </c>
      <c r="BS123">
        <v>0.21099999999999999</v>
      </c>
      <c r="BT123">
        <v>0.42799999999999999</v>
      </c>
      <c r="BU123">
        <v>0.36099999999999999</v>
      </c>
      <c r="BV123">
        <v>8.8999999999999996E-2</v>
      </c>
      <c r="BW123">
        <v>0.19500000000000001</v>
      </c>
      <c r="BX123">
        <v>64</v>
      </c>
      <c r="BY123">
        <v>3.91</v>
      </c>
      <c r="BZ123">
        <v>824</v>
      </c>
      <c r="CA123">
        <v>1642</v>
      </c>
      <c r="CB123">
        <v>2466</v>
      </c>
      <c r="CC123">
        <v>0.41899999999999998</v>
      </c>
      <c r="CD123">
        <v>0.32800000000000001</v>
      </c>
      <c r="CE123">
        <v>0.253</v>
      </c>
      <c r="CF123">
        <v>0.16900000000000001</v>
      </c>
      <c r="CG123">
        <v>0.47099999999999997</v>
      </c>
      <c r="CH123">
        <v>0.36</v>
      </c>
      <c r="CI123" cm="1">
        <f t="array" ref="CI123:CS123">VLOOKUP(A123,verticalmove_pitchers_2019!A:N,{3,4,5,6,7,8,9,10,11,12,13},FALSE)</f>
        <v>147.1</v>
      </c>
      <c r="CJ123">
        <v>6.4</v>
      </c>
      <c r="CK123">
        <v>0</v>
      </c>
      <c r="CL123">
        <v>0</v>
      </c>
      <c r="CM123">
        <v>2</v>
      </c>
      <c r="CN123">
        <v>-1.1000000000000001</v>
      </c>
      <c r="CO123">
        <v>-3.4</v>
      </c>
      <c r="CP123">
        <v>0</v>
      </c>
      <c r="CQ123">
        <v>0</v>
      </c>
      <c r="CR123">
        <v>0</v>
      </c>
      <c r="CS123">
        <v>0</v>
      </c>
      <c r="CT123" cm="1">
        <f t="array" ref="CT123:DD123">VLOOKUP(A123,velocity_pitchers_2019!A:N,{3,4,5,6,7,8,9,10,11,12,13},FALSE)</f>
        <v>147.1</v>
      </c>
      <c r="CU123">
        <v>93.7</v>
      </c>
      <c r="CV123">
        <v>0</v>
      </c>
      <c r="CW123">
        <v>0</v>
      </c>
      <c r="CX123">
        <v>92.3</v>
      </c>
      <c r="CY123">
        <v>85.5</v>
      </c>
      <c r="CZ123">
        <v>79.2</v>
      </c>
      <c r="DA123">
        <v>0</v>
      </c>
      <c r="DB123">
        <v>0</v>
      </c>
      <c r="DC123">
        <v>0</v>
      </c>
      <c r="DD123">
        <v>0</v>
      </c>
    </row>
    <row r="124" spans="1:108" x14ac:dyDescent="0.3">
      <c r="A124" t="s">
        <v>106</v>
      </c>
      <c r="B124" t="str" cm="1">
        <f t="array" ref="B124:Y124">VLOOKUP(A124,standard_pitchers_2019!A:Y,{2,3,4,5,6,7,8,9,10,11,12,13,14,15,16,17,18,19,20,21,22,23,24,25},FALSE)</f>
        <v>Braves</v>
      </c>
      <c r="C124">
        <v>6</v>
      </c>
      <c r="D124">
        <v>3</v>
      </c>
      <c r="E124">
        <v>3.16</v>
      </c>
      <c r="F124">
        <v>55</v>
      </c>
      <c r="G124">
        <v>4</v>
      </c>
      <c r="H124">
        <v>0</v>
      </c>
      <c r="I124">
        <v>0</v>
      </c>
      <c r="J124">
        <v>1</v>
      </c>
      <c r="K124">
        <v>16</v>
      </c>
      <c r="L124">
        <v>2</v>
      </c>
      <c r="M124">
        <v>68.099999999999994</v>
      </c>
      <c r="N124">
        <v>293</v>
      </c>
      <c r="O124">
        <v>61</v>
      </c>
      <c r="P124">
        <v>28</v>
      </c>
      <c r="Q124">
        <v>24</v>
      </c>
      <c r="R124">
        <v>8</v>
      </c>
      <c r="S124">
        <v>29</v>
      </c>
      <c r="T124">
        <v>1</v>
      </c>
      <c r="U124">
        <v>3</v>
      </c>
      <c r="V124">
        <v>4</v>
      </c>
      <c r="W124">
        <v>0</v>
      </c>
      <c r="X124">
        <v>65</v>
      </c>
      <c r="Y124">
        <v>16943</v>
      </c>
      <c r="Z124" cm="1">
        <f t="array" ref="Z124:AR124">VLOOKUP(A124,advanced_pitchers_2019!A:Y,{3,4,5,6,7,8,9,10,11,12,13,14,15,16,17,18,19,20,21},FALSE)</f>
        <v>8.56</v>
      </c>
      <c r="AA124">
        <v>3.82</v>
      </c>
      <c r="AB124">
        <v>2.2400000000000002</v>
      </c>
      <c r="AC124">
        <v>1.05</v>
      </c>
      <c r="AD124">
        <v>0.222</v>
      </c>
      <c r="AE124">
        <v>9.9000000000000005E-2</v>
      </c>
      <c r="AF124">
        <v>0.123</v>
      </c>
      <c r="AG124">
        <v>0.23400000000000001</v>
      </c>
      <c r="AH124">
        <v>1.32</v>
      </c>
      <c r="AI124">
        <v>0.28199999999999997</v>
      </c>
      <c r="AJ124">
        <v>0.79500000000000004</v>
      </c>
      <c r="AK124">
        <v>71</v>
      </c>
      <c r="AL124">
        <v>97</v>
      </c>
      <c r="AM124">
        <v>104</v>
      </c>
      <c r="AN124">
        <v>3.16</v>
      </c>
      <c r="AO124">
        <v>4.24</v>
      </c>
      <c r="AP124">
        <v>-1.08</v>
      </c>
      <c r="AQ124">
        <v>4.6100000000000003</v>
      </c>
      <c r="AR124">
        <v>4.46</v>
      </c>
      <c r="AS124" cm="1">
        <f t="array" ref="AS124:BA124">VLOOKUP(A124,plate_discipline_pitchers_2019!A:L,{3,4,5,6,7,8,9,10,11},FALSE)</f>
        <v>0.29299999999999998</v>
      </c>
      <c r="AT124">
        <v>0.66900000000000004</v>
      </c>
      <c r="AU124">
        <v>0.45500000000000002</v>
      </c>
      <c r="AV124">
        <v>0.71599999999999997</v>
      </c>
      <c r="AW124">
        <v>0.84399999999999997</v>
      </c>
      <c r="AX124">
        <v>0.79700000000000004</v>
      </c>
      <c r="AY124">
        <v>0.43099999999999999</v>
      </c>
      <c r="AZ124">
        <v>0.56699999999999995</v>
      </c>
      <c r="BA124">
        <v>9.1999999999999998E-2</v>
      </c>
      <c r="BB124" cm="1">
        <f t="array" ref="BB124:BP124">VLOOKUP(A124,pitchvalue_pitchers_2019!A:Q,{3,4,5,6,7,8,9,10,11,12,13,14,15,16,17},FALSE)</f>
        <v>2.2000000000000002</v>
      </c>
      <c r="BC124">
        <v>0.7</v>
      </c>
      <c r="BD124">
        <v>0</v>
      </c>
      <c r="BE124">
        <v>3.7</v>
      </c>
      <c r="BF124">
        <v>-1</v>
      </c>
      <c r="BG124">
        <v>0</v>
      </c>
      <c r="BH124">
        <v>0</v>
      </c>
      <c r="BI124">
        <v>0.28999999999999998</v>
      </c>
      <c r="BJ124">
        <v>0.66</v>
      </c>
      <c r="BK124">
        <v>0</v>
      </c>
      <c r="BL124">
        <v>1.64</v>
      </c>
      <c r="BM124">
        <v>-1.19</v>
      </c>
      <c r="BN124">
        <v>0</v>
      </c>
      <c r="BO124">
        <v>0</v>
      </c>
      <c r="BP124">
        <v>16943</v>
      </c>
      <c r="BQ124" cm="1">
        <f t="array" ref="BQ124:CH124">VLOOKUP(A124,battedball_pitchers_2019!A:U,{3,4,5,6,7,8,9,10,11,12,13,14,15,16,17,18,19,20},FALSE)</f>
        <v>0.28199999999999997</v>
      </c>
      <c r="BR124">
        <v>1.46</v>
      </c>
      <c r="BS124">
        <v>0.17499999999999999</v>
      </c>
      <c r="BT124">
        <v>0.49</v>
      </c>
      <c r="BU124">
        <v>0.33500000000000002</v>
      </c>
      <c r="BV124">
        <v>9.1999999999999998E-2</v>
      </c>
      <c r="BW124">
        <v>0.123</v>
      </c>
      <c r="BX124">
        <v>49</v>
      </c>
      <c r="BY124">
        <v>6.45</v>
      </c>
      <c r="BZ124">
        <v>441</v>
      </c>
      <c r="CA124">
        <v>740</v>
      </c>
      <c r="CB124">
        <v>1181</v>
      </c>
      <c r="CC124">
        <v>0.33700000000000002</v>
      </c>
      <c r="CD124">
        <v>0.38300000000000001</v>
      </c>
      <c r="CE124">
        <v>0.28100000000000003</v>
      </c>
      <c r="CF124">
        <v>0.14799999999999999</v>
      </c>
      <c r="CG124">
        <v>0.495</v>
      </c>
      <c r="CH124">
        <v>0.35699999999999998</v>
      </c>
      <c r="CI124" cm="1">
        <f t="array" ref="CI124:CS124">VLOOKUP(A124,verticalmove_pitchers_2019!A:N,{3,4,5,6,7,8,9,10,11,12,13},FALSE)</f>
        <v>68.099999999999994</v>
      </c>
      <c r="CJ124">
        <v>9.1</v>
      </c>
      <c r="CK124">
        <v>0</v>
      </c>
      <c r="CL124">
        <v>0</v>
      </c>
      <c r="CM124">
        <v>9.1</v>
      </c>
      <c r="CN124">
        <v>4.3</v>
      </c>
      <c r="CO124">
        <v>-4.9000000000000004</v>
      </c>
      <c r="CP124">
        <v>-11.2</v>
      </c>
      <c r="CQ124">
        <v>0</v>
      </c>
      <c r="CR124">
        <v>0</v>
      </c>
      <c r="CS124">
        <v>0</v>
      </c>
      <c r="CT124" cm="1">
        <f t="array" ref="CT124:DD124">VLOOKUP(A124,velocity_pitchers_2019!A:N,{3,4,5,6,7,8,9,10,11,12,13},FALSE)</f>
        <v>68.099999999999994</v>
      </c>
      <c r="CU124">
        <v>94.3</v>
      </c>
      <c r="CV124">
        <v>0</v>
      </c>
      <c r="CW124">
        <v>0</v>
      </c>
      <c r="CX124">
        <v>93.9</v>
      </c>
      <c r="CY124">
        <v>87.4</v>
      </c>
      <c r="CZ124">
        <v>81.3</v>
      </c>
      <c r="DA124">
        <v>78.7</v>
      </c>
      <c r="DB124">
        <v>0</v>
      </c>
      <c r="DC124">
        <v>0</v>
      </c>
      <c r="DD124">
        <v>0</v>
      </c>
    </row>
    <row r="125" spans="1:108" x14ac:dyDescent="0.3">
      <c r="A125" t="s">
        <v>101</v>
      </c>
      <c r="B125" t="str" cm="1">
        <f t="array" ref="B125:Y125">VLOOKUP(A125,standard_pitchers_2019!A:Y,{2,3,4,5,6,7,8,9,10,11,12,13,14,15,16,17,18,19,20,21,22,23,24,25},FALSE)</f>
        <v>Marlins</v>
      </c>
      <c r="C125">
        <v>4</v>
      </c>
      <c r="D125">
        <v>2</v>
      </c>
      <c r="E125">
        <v>3.02</v>
      </c>
      <c r="F125">
        <v>53</v>
      </c>
      <c r="G125">
        <v>0</v>
      </c>
      <c r="H125">
        <v>0</v>
      </c>
      <c r="I125">
        <v>0</v>
      </c>
      <c r="J125">
        <v>0</v>
      </c>
      <c r="K125">
        <v>6</v>
      </c>
      <c r="L125">
        <v>1</v>
      </c>
      <c r="M125">
        <v>50.2</v>
      </c>
      <c r="N125">
        <v>206</v>
      </c>
      <c r="O125">
        <v>40</v>
      </c>
      <c r="P125">
        <v>17</v>
      </c>
      <c r="Q125">
        <v>17</v>
      </c>
      <c r="R125">
        <v>4</v>
      </c>
      <c r="S125">
        <v>16</v>
      </c>
      <c r="T125">
        <v>2</v>
      </c>
      <c r="U125">
        <v>2</v>
      </c>
      <c r="V125">
        <v>4</v>
      </c>
      <c r="W125">
        <v>0</v>
      </c>
      <c r="X125">
        <v>39</v>
      </c>
      <c r="Y125">
        <v>18282</v>
      </c>
      <c r="Z125" cm="1">
        <f t="array" ref="Z125:AR125">VLOOKUP(A125,advanced_pitchers_2019!A:Y,{3,4,5,6,7,8,9,10,11,12,13,14,15,16,17,18,19,20,21},FALSE)</f>
        <v>6.93</v>
      </c>
      <c r="AA125">
        <v>2.84</v>
      </c>
      <c r="AB125">
        <v>2.44</v>
      </c>
      <c r="AC125">
        <v>0.71</v>
      </c>
      <c r="AD125">
        <v>0.189</v>
      </c>
      <c r="AE125">
        <v>7.8E-2</v>
      </c>
      <c r="AF125">
        <v>0.112</v>
      </c>
      <c r="AG125">
        <v>0.21299999999999999</v>
      </c>
      <c r="AH125">
        <v>1.1100000000000001</v>
      </c>
      <c r="AI125">
        <v>0.248</v>
      </c>
      <c r="AJ125">
        <v>0.78200000000000003</v>
      </c>
      <c r="AK125">
        <v>72</v>
      </c>
      <c r="AL125">
        <v>87</v>
      </c>
      <c r="AM125">
        <v>107</v>
      </c>
      <c r="AN125">
        <v>3.02</v>
      </c>
      <c r="AO125">
        <v>3.77</v>
      </c>
      <c r="AP125">
        <v>-0.75</v>
      </c>
      <c r="AQ125">
        <v>4.74</v>
      </c>
      <c r="AR125">
        <v>4.53</v>
      </c>
      <c r="AS125" cm="1">
        <f t="array" ref="AS125:BA125">VLOOKUP(A125,plate_discipline_pitchers_2019!A:L,{3,4,5,6,7,8,9,10,11},FALSE)</f>
        <v>0.29699999999999999</v>
      </c>
      <c r="AT125">
        <v>0.68300000000000005</v>
      </c>
      <c r="AU125">
        <v>0.46899999999999997</v>
      </c>
      <c r="AV125">
        <v>0.74399999999999999</v>
      </c>
      <c r="AW125">
        <v>0.84799999999999998</v>
      </c>
      <c r="AX125">
        <v>0.81200000000000006</v>
      </c>
      <c r="AY125">
        <v>0.44500000000000001</v>
      </c>
      <c r="AZ125">
        <v>0.505</v>
      </c>
      <c r="BA125">
        <v>8.7999999999999995E-2</v>
      </c>
      <c r="BB125" cm="1">
        <f t="array" ref="BB125:BP125">VLOOKUP(A125,pitchvalue_pitchers_2019!A:Q,{3,4,5,6,7,8,9,10,11,12,13,14,15,16,17},FALSE)</f>
        <v>2.2000000000000002</v>
      </c>
      <c r="BC125">
        <v>3.2</v>
      </c>
      <c r="BD125">
        <v>0</v>
      </c>
      <c r="BE125">
        <v>0</v>
      </c>
      <c r="BF125">
        <v>5.4</v>
      </c>
      <c r="BG125">
        <v>0</v>
      </c>
      <c r="BH125">
        <v>0</v>
      </c>
      <c r="BI125">
        <v>0.73</v>
      </c>
      <c r="BJ125">
        <v>0.98</v>
      </c>
      <c r="BK125">
        <v>0</v>
      </c>
      <c r="BL125">
        <v>0</v>
      </c>
      <c r="BM125">
        <v>4.0599999999999996</v>
      </c>
      <c r="BN125">
        <v>0</v>
      </c>
      <c r="BO125">
        <v>0</v>
      </c>
      <c r="BP125">
        <v>18282</v>
      </c>
      <c r="BQ125" cm="1">
        <f t="array" ref="BQ125:CH125">VLOOKUP(A125,battedball_pitchers_2019!A:U,{3,4,5,6,7,8,9,10,11,12,13,14,15,16,17,18,19,20},FALSE)</f>
        <v>0.248</v>
      </c>
      <c r="BR125">
        <v>1.33</v>
      </c>
      <c r="BS125">
        <v>0.17899999999999999</v>
      </c>
      <c r="BT125">
        <v>0.46899999999999997</v>
      </c>
      <c r="BU125">
        <v>0.35199999999999998</v>
      </c>
      <c r="BV125">
        <v>5.8999999999999997E-2</v>
      </c>
      <c r="BW125">
        <v>7.8E-2</v>
      </c>
      <c r="BX125">
        <v>29</v>
      </c>
      <c r="BY125">
        <v>5.15</v>
      </c>
      <c r="BZ125">
        <v>268</v>
      </c>
      <c r="CA125">
        <v>491</v>
      </c>
      <c r="CB125">
        <v>759</v>
      </c>
      <c r="CC125">
        <v>0.38900000000000001</v>
      </c>
      <c r="CD125">
        <v>0.40899999999999997</v>
      </c>
      <c r="CE125">
        <v>0.20100000000000001</v>
      </c>
      <c r="CF125">
        <v>0.16800000000000001</v>
      </c>
      <c r="CG125">
        <v>0.48299999999999998</v>
      </c>
      <c r="CH125">
        <v>0.34899999999999998</v>
      </c>
      <c r="CI125" cm="1">
        <f t="array" ref="CI125:CS125">VLOOKUP(A125,verticalmove_pitchers_2019!A:N,{3,4,5,6,7,8,9,10,11,12,13},FALSE)</f>
        <v>50.2</v>
      </c>
      <c r="CJ125">
        <v>6.1</v>
      </c>
      <c r="CK125">
        <v>0</v>
      </c>
      <c r="CL125">
        <v>0</v>
      </c>
      <c r="CM125">
        <v>0</v>
      </c>
      <c r="CN125">
        <v>3.2</v>
      </c>
      <c r="CO125">
        <v>-0.8</v>
      </c>
      <c r="CP125">
        <v>0</v>
      </c>
      <c r="CQ125">
        <v>0</v>
      </c>
      <c r="CR125">
        <v>0</v>
      </c>
      <c r="CS125">
        <v>0</v>
      </c>
      <c r="CT125" cm="1">
        <f t="array" ref="CT125:DD125">VLOOKUP(A125,velocity_pitchers_2019!A:N,{3,4,5,6,7,8,9,10,11,12,13},FALSE)</f>
        <v>50.2</v>
      </c>
      <c r="CU125">
        <v>93.6</v>
      </c>
      <c r="CV125">
        <v>0</v>
      </c>
      <c r="CW125">
        <v>0</v>
      </c>
      <c r="CX125">
        <v>0</v>
      </c>
      <c r="CY125">
        <v>87.3</v>
      </c>
      <c r="CZ125">
        <v>84.6</v>
      </c>
      <c r="DA125">
        <v>0</v>
      </c>
      <c r="DB125">
        <v>0</v>
      </c>
      <c r="DC125">
        <v>0</v>
      </c>
      <c r="DD125">
        <v>0</v>
      </c>
    </row>
    <row r="126" spans="1:108" x14ac:dyDescent="0.3">
      <c r="A126" t="s">
        <v>219</v>
      </c>
      <c r="B126" t="str" cm="1">
        <f t="array" ref="B126:Y126">VLOOKUP(A126,standard_pitchers_2019!A:Y,{2,3,4,5,6,7,8,9,10,11,12,13,14,15,16,17,18,19,20,21,22,23,24,25},FALSE)</f>
        <v>Yankees</v>
      </c>
      <c r="C126">
        <v>4</v>
      </c>
      <c r="D126">
        <v>4</v>
      </c>
      <c r="E126">
        <v>4.17</v>
      </c>
      <c r="F126">
        <v>54</v>
      </c>
      <c r="G126">
        <v>15</v>
      </c>
      <c r="H126">
        <v>0</v>
      </c>
      <c r="I126">
        <v>0</v>
      </c>
      <c r="J126">
        <v>2</v>
      </c>
      <c r="K126">
        <v>4</v>
      </c>
      <c r="L126">
        <v>0</v>
      </c>
      <c r="M126">
        <v>69</v>
      </c>
      <c r="N126">
        <v>295</v>
      </c>
      <c r="O126">
        <v>66</v>
      </c>
      <c r="P126">
        <v>35</v>
      </c>
      <c r="Q126">
        <v>32</v>
      </c>
      <c r="R126">
        <v>10</v>
      </c>
      <c r="S126">
        <v>19</v>
      </c>
      <c r="T126">
        <v>0</v>
      </c>
      <c r="U126">
        <v>6</v>
      </c>
      <c r="V126">
        <v>2</v>
      </c>
      <c r="W126">
        <v>0</v>
      </c>
      <c r="X126">
        <v>98</v>
      </c>
      <c r="Y126">
        <v>15552</v>
      </c>
      <c r="Z126" cm="1">
        <f t="array" ref="Z126:AR126">VLOOKUP(A126,advanced_pitchers_2019!A:Y,{3,4,5,6,7,8,9,10,11,12,13,14,15,16,17,18,19,20,21},FALSE)</f>
        <v>12.78</v>
      </c>
      <c r="AA126">
        <v>2.48</v>
      </c>
      <c r="AB126">
        <v>5.16</v>
      </c>
      <c r="AC126">
        <v>1.3</v>
      </c>
      <c r="AD126">
        <v>0.33200000000000002</v>
      </c>
      <c r="AE126">
        <v>6.4000000000000001E-2</v>
      </c>
      <c r="AF126">
        <v>0.26800000000000002</v>
      </c>
      <c r="AG126">
        <v>0.24399999999999999</v>
      </c>
      <c r="AH126">
        <v>1.23</v>
      </c>
      <c r="AI126">
        <v>0.34599999999999997</v>
      </c>
      <c r="AJ126">
        <v>0.72699999999999998</v>
      </c>
      <c r="AK126">
        <v>91</v>
      </c>
      <c r="AL126">
        <v>72</v>
      </c>
      <c r="AM126">
        <v>78</v>
      </c>
      <c r="AN126">
        <v>4.17</v>
      </c>
      <c r="AO126">
        <v>3.34</v>
      </c>
      <c r="AP126">
        <v>0.83</v>
      </c>
      <c r="AQ126">
        <v>3.56</v>
      </c>
      <c r="AR126">
        <v>3.04</v>
      </c>
      <c r="AS126" cm="1">
        <f t="array" ref="AS126:BA126">VLOOKUP(A126,plate_discipline_pitchers_2019!A:L,{3,4,5,6,7,8,9,10,11},FALSE)</f>
        <v>0.313</v>
      </c>
      <c r="AT126">
        <v>0.74399999999999999</v>
      </c>
      <c r="AU126">
        <v>0.50800000000000001</v>
      </c>
      <c r="AV126">
        <v>0.61099999999999999</v>
      </c>
      <c r="AW126">
        <v>0.79100000000000004</v>
      </c>
      <c r="AX126">
        <v>0.73</v>
      </c>
      <c r="AY126">
        <v>0.45300000000000001</v>
      </c>
      <c r="AZ126">
        <v>0.69199999999999995</v>
      </c>
      <c r="BA126">
        <v>0.13700000000000001</v>
      </c>
      <c r="BB126" cm="1">
        <f t="array" ref="BB126:BP126">VLOOKUP(A126,pitchvalue_pitchers_2019!A:Q,{3,4,5,6,7,8,9,10,11,12,13,14,15,16,17},FALSE)</f>
        <v>2.2000000000000002</v>
      </c>
      <c r="BC126">
        <v>1.2</v>
      </c>
      <c r="BD126">
        <v>0</v>
      </c>
      <c r="BE126">
        <v>0</v>
      </c>
      <c r="BF126">
        <v>0</v>
      </c>
      <c r="BG126">
        <v>-2.2000000000000002</v>
      </c>
      <c r="BH126">
        <v>0</v>
      </c>
      <c r="BI126">
        <v>0.22</v>
      </c>
      <c r="BJ126">
        <v>0.44</v>
      </c>
      <c r="BK126">
        <v>0</v>
      </c>
      <c r="BL126">
        <v>0</v>
      </c>
      <c r="BM126">
        <v>0</v>
      </c>
      <c r="BN126">
        <v>-12.29</v>
      </c>
      <c r="BO126">
        <v>0</v>
      </c>
      <c r="BP126">
        <v>15552</v>
      </c>
      <c r="BQ126" cm="1">
        <f t="array" ref="BQ126:CH126">VLOOKUP(A126,battedball_pitchers_2019!A:U,{3,4,5,6,7,8,9,10,11,12,13,14,15,16,17,18,19,20},FALSE)</f>
        <v>0.34599999999999997</v>
      </c>
      <c r="BR126">
        <v>0.84</v>
      </c>
      <c r="BS126">
        <v>0.221</v>
      </c>
      <c r="BT126">
        <v>0.35499999999999998</v>
      </c>
      <c r="BU126">
        <v>0.42399999999999999</v>
      </c>
      <c r="BV126">
        <v>0.16400000000000001</v>
      </c>
      <c r="BW126">
        <v>0.13700000000000001</v>
      </c>
      <c r="BX126">
        <v>37</v>
      </c>
      <c r="BY126">
        <v>4.83</v>
      </c>
      <c r="BZ126">
        <v>455</v>
      </c>
      <c r="CA126">
        <v>865</v>
      </c>
      <c r="CB126">
        <v>1320</v>
      </c>
      <c r="CC126">
        <v>0.29099999999999998</v>
      </c>
      <c r="CD126">
        <v>0.34899999999999998</v>
      </c>
      <c r="CE126">
        <v>0.36</v>
      </c>
      <c r="CF126">
        <v>0.157</v>
      </c>
      <c r="CG126">
        <v>0.39500000000000002</v>
      </c>
      <c r="CH126">
        <v>0.44800000000000001</v>
      </c>
      <c r="CI126" cm="1">
        <f t="array" ref="CI126:CS126">VLOOKUP(A126,verticalmove_pitchers_2019!A:N,{3,4,5,6,7,8,9,10,11,12,13},FALSE)</f>
        <v>69</v>
      </c>
      <c r="CJ126">
        <v>9.6</v>
      </c>
      <c r="CK126">
        <v>0</v>
      </c>
      <c r="CL126">
        <v>6.9</v>
      </c>
      <c r="CM126">
        <v>0</v>
      </c>
      <c r="CN126">
        <v>0</v>
      </c>
      <c r="CO126">
        <v>0.8</v>
      </c>
      <c r="CP126">
        <v>0</v>
      </c>
      <c r="CQ126">
        <v>0</v>
      </c>
      <c r="CR126">
        <v>0</v>
      </c>
      <c r="CS126">
        <v>0</v>
      </c>
      <c r="CT126" cm="1">
        <f t="array" ref="CT126:DD126">VLOOKUP(A126,velocity_pitchers_2019!A:N,{3,4,5,6,7,8,9,10,11,12,13},FALSE)</f>
        <v>69</v>
      </c>
      <c r="CU126">
        <v>96.5</v>
      </c>
      <c r="CV126">
        <v>0</v>
      </c>
      <c r="CW126">
        <v>88.7</v>
      </c>
      <c r="CX126">
        <v>0</v>
      </c>
      <c r="CY126">
        <v>0</v>
      </c>
      <c r="CZ126">
        <v>87.7</v>
      </c>
      <c r="DA126">
        <v>0</v>
      </c>
      <c r="DB126">
        <v>0</v>
      </c>
      <c r="DC126">
        <v>0</v>
      </c>
      <c r="DD126">
        <v>0</v>
      </c>
    </row>
    <row r="127" spans="1:108" x14ac:dyDescent="0.3">
      <c r="A127" t="s">
        <v>145</v>
      </c>
      <c r="B127" t="str" cm="1">
        <f t="array" ref="B127:Y127">VLOOKUP(A127,standard_pitchers_2019!A:Y,{2,3,4,5,6,7,8,9,10,11,12,13,14,15,16,17,18,19,20,21,22,23,24,25},FALSE)</f>
        <v>Orioles</v>
      </c>
      <c r="C127">
        <v>12</v>
      </c>
      <c r="D127">
        <v>11</v>
      </c>
      <c r="E127">
        <v>3.6</v>
      </c>
      <c r="F127">
        <v>31</v>
      </c>
      <c r="G127">
        <v>27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155</v>
      </c>
      <c r="N127">
        <v>637</v>
      </c>
      <c r="O127">
        <v>138</v>
      </c>
      <c r="P127">
        <v>68</v>
      </c>
      <c r="Q127">
        <v>62</v>
      </c>
      <c r="R127">
        <v>23</v>
      </c>
      <c r="S127">
        <v>38</v>
      </c>
      <c r="T127">
        <v>0</v>
      </c>
      <c r="U127">
        <v>5</v>
      </c>
      <c r="V127">
        <v>5</v>
      </c>
      <c r="W127">
        <v>0</v>
      </c>
      <c r="X127">
        <v>121</v>
      </c>
      <c r="Y127">
        <v>16269</v>
      </c>
      <c r="Z127" cm="1">
        <f t="array" ref="Z127:AR127">VLOOKUP(A127,advanced_pitchers_2019!A:Y,{3,4,5,6,7,8,9,10,11,12,13,14,15,16,17,18,19,20,21},FALSE)</f>
        <v>7.03</v>
      </c>
      <c r="AA127">
        <v>2.21</v>
      </c>
      <c r="AB127">
        <v>3.18</v>
      </c>
      <c r="AC127">
        <v>1.34</v>
      </c>
      <c r="AD127">
        <v>0.19</v>
      </c>
      <c r="AE127">
        <v>0.06</v>
      </c>
      <c r="AF127">
        <v>0.13</v>
      </c>
      <c r="AG127">
        <v>0.23200000000000001</v>
      </c>
      <c r="AH127">
        <v>1.1399999999999999</v>
      </c>
      <c r="AI127">
        <v>0.25600000000000001</v>
      </c>
      <c r="AJ127">
        <v>0.75900000000000001</v>
      </c>
      <c r="AK127">
        <v>77</v>
      </c>
      <c r="AL127">
        <v>92</v>
      </c>
      <c r="AM127">
        <v>119</v>
      </c>
      <c r="AN127">
        <v>3.6</v>
      </c>
      <c r="AO127">
        <v>4.41</v>
      </c>
      <c r="AP127">
        <v>-0.81</v>
      </c>
      <c r="AQ127">
        <v>5.48</v>
      </c>
      <c r="AR127">
        <v>5.0199999999999996</v>
      </c>
      <c r="AS127" cm="1">
        <f t="array" ref="AS127:BA127">VLOOKUP(A127,plate_discipline_pitchers_2019!A:L,{3,4,5,6,7,8,9,10,11},FALSE)</f>
        <v>0.32300000000000001</v>
      </c>
      <c r="AT127">
        <v>0.72</v>
      </c>
      <c r="AU127">
        <v>0.47799999999999998</v>
      </c>
      <c r="AV127">
        <v>0.73499999999999999</v>
      </c>
      <c r="AW127">
        <v>0.83399999999999996</v>
      </c>
      <c r="AX127">
        <v>0.79300000000000004</v>
      </c>
      <c r="AY127">
        <v>0.38900000000000001</v>
      </c>
      <c r="AZ127">
        <v>0.63300000000000001</v>
      </c>
      <c r="BA127">
        <v>9.9000000000000005E-2</v>
      </c>
      <c r="BB127" cm="1">
        <f t="array" ref="BB127:BP127">VLOOKUP(A127,pitchvalue_pitchers_2019!A:Q,{3,4,5,6,7,8,9,10,11,12,13,14,15,16,17},FALSE)</f>
        <v>2.1</v>
      </c>
      <c r="BC127">
        <v>4</v>
      </c>
      <c r="BD127">
        <v>0</v>
      </c>
      <c r="BE127">
        <v>-5.6</v>
      </c>
      <c r="BF127">
        <v>12.3</v>
      </c>
      <c r="BG127">
        <v>0</v>
      </c>
      <c r="BH127">
        <v>0</v>
      </c>
      <c r="BI127">
        <v>0.16</v>
      </c>
      <c r="BJ127">
        <v>1.05</v>
      </c>
      <c r="BK127">
        <v>0</v>
      </c>
      <c r="BL127">
        <v>-3.43</v>
      </c>
      <c r="BM127">
        <v>1.58</v>
      </c>
      <c r="BN127">
        <v>0</v>
      </c>
      <c r="BO127">
        <v>0</v>
      </c>
      <c r="BP127">
        <v>16269</v>
      </c>
      <c r="BQ127" cm="1">
        <f t="array" ref="BQ127:CH127">VLOOKUP(A127,battedball_pitchers_2019!A:U,{3,4,5,6,7,8,9,10,11,12,13,14,15,16,17,18,19,20},FALSE)</f>
        <v>0.25600000000000001</v>
      </c>
      <c r="BR127">
        <v>0.62</v>
      </c>
      <c r="BS127">
        <v>0.191</v>
      </c>
      <c r="BT127">
        <v>0.309</v>
      </c>
      <c r="BU127">
        <v>0.5</v>
      </c>
      <c r="BV127">
        <v>0.112</v>
      </c>
      <c r="BW127">
        <v>9.9000000000000005E-2</v>
      </c>
      <c r="BX127">
        <v>88</v>
      </c>
      <c r="BY127">
        <v>5.1100000000000003</v>
      </c>
      <c r="BZ127">
        <v>1005</v>
      </c>
      <c r="CA127">
        <v>1676</v>
      </c>
      <c r="CB127">
        <v>2681</v>
      </c>
      <c r="CC127">
        <v>0.39</v>
      </c>
      <c r="CD127">
        <v>0.309</v>
      </c>
      <c r="CE127">
        <v>0.30099999999999999</v>
      </c>
      <c r="CF127">
        <v>0.16900000000000001</v>
      </c>
      <c r="CG127">
        <v>0.55300000000000005</v>
      </c>
      <c r="CH127">
        <v>0.27800000000000002</v>
      </c>
      <c r="CI127" cm="1">
        <f t="array" ref="CI127:CS127">VLOOKUP(A127,verticalmove_pitchers_2019!A:N,{3,4,5,6,7,8,9,10,11,12,13},FALSE)</f>
        <v>155</v>
      </c>
      <c r="CJ127">
        <v>10.6</v>
      </c>
      <c r="CK127">
        <v>0</v>
      </c>
      <c r="CL127">
        <v>0</v>
      </c>
      <c r="CM127">
        <v>9.6999999999999993</v>
      </c>
      <c r="CN127">
        <v>9.4</v>
      </c>
      <c r="CO127">
        <v>2.7</v>
      </c>
      <c r="CP127">
        <v>-3.5</v>
      </c>
      <c r="CQ127">
        <v>0</v>
      </c>
      <c r="CR127">
        <v>2.2000000000000002</v>
      </c>
      <c r="CS127">
        <v>0</v>
      </c>
      <c r="CT127" cm="1">
        <f t="array" ref="CT127:DD127">VLOOKUP(A127,velocity_pitchers_2019!A:N,{3,4,5,6,7,8,9,10,11,12,13},FALSE)</f>
        <v>155</v>
      </c>
      <c r="CU127">
        <v>92.1</v>
      </c>
      <c r="CV127">
        <v>0</v>
      </c>
      <c r="CW127">
        <v>0</v>
      </c>
      <c r="CX127">
        <v>91.8</v>
      </c>
      <c r="CY127">
        <v>81.2</v>
      </c>
      <c r="CZ127">
        <v>83.9</v>
      </c>
      <c r="DA127">
        <v>77</v>
      </c>
      <c r="DB127">
        <v>0</v>
      </c>
      <c r="DC127">
        <v>84.6</v>
      </c>
      <c r="DD127">
        <v>0</v>
      </c>
    </row>
    <row r="128" spans="1:108" x14ac:dyDescent="0.3">
      <c r="A128" t="s">
        <v>309</v>
      </c>
      <c r="B128" t="str" cm="1">
        <f t="array" ref="B128:Y128">VLOOKUP(A128,standard_pitchers_2019!A:Y,{2,3,4,5,6,7,8,9,10,11,12,13,14,15,16,17,18,19,20,21,22,23,24,25},FALSE)</f>
        <v>Blue Jays</v>
      </c>
      <c r="C128">
        <v>1</v>
      </c>
      <c r="D128">
        <v>3</v>
      </c>
      <c r="E128">
        <v>4.91</v>
      </c>
      <c r="F128">
        <v>68</v>
      </c>
      <c r="G128">
        <v>0</v>
      </c>
      <c r="H128">
        <v>0</v>
      </c>
      <c r="I128">
        <v>0</v>
      </c>
      <c r="J128">
        <v>0</v>
      </c>
      <c r="K128">
        <v>18</v>
      </c>
      <c r="L128">
        <v>1</v>
      </c>
      <c r="M128">
        <v>51.1</v>
      </c>
      <c r="N128">
        <v>227</v>
      </c>
      <c r="O128">
        <v>45</v>
      </c>
      <c r="P128">
        <v>29</v>
      </c>
      <c r="Q128">
        <v>28</v>
      </c>
      <c r="R128">
        <v>8</v>
      </c>
      <c r="S128">
        <v>27</v>
      </c>
      <c r="T128">
        <v>2</v>
      </c>
      <c r="U128">
        <v>1</v>
      </c>
      <c r="V128">
        <v>4</v>
      </c>
      <c r="W128">
        <v>0</v>
      </c>
      <c r="X128">
        <v>55</v>
      </c>
      <c r="Y128">
        <v>15042</v>
      </c>
      <c r="Z128" cm="1">
        <f t="array" ref="Z128:AR128">VLOOKUP(A128,advanced_pitchers_2019!A:Y,{3,4,5,6,7,8,9,10,11,12,13,14,15,16,17,18,19,20,21},FALSE)</f>
        <v>9.64</v>
      </c>
      <c r="AA128">
        <v>4.7300000000000004</v>
      </c>
      <c r="AB128">
        <v>2.04</v>
      </c>
      <c r="AC128">
        <v>1.4</v>
      </c>
      <c r="AD128">
        <v>0.24199999999999999</v>
      </c>
      <c r="AE128">
        <v>0.11899999999999999</v>
      </c>
      <c r="AF128">
        <v>0.123</v>
      </c>
      <c r="AG128">
        <v>0.22600000000000001</v>
      </c>
      <c r="AH128">
        <v>1.4</v>
      </c>
      <c r="AI128">
        <v>0.27200000000000002</v>
      </c>
      <c r="AJ128">
        <v>0.71199999999999997</v>
      </c>
      <c r="AK128">
        <v>107</v>
      </c>
      <c r="AL128">
        <v>102</v>
      </c>
      <c r="AM128">
        <v>90</v>
      </c>
      <c r="AN128">
        <v>4.91</v>
      </c>
      <c r="AO128">
        <v>4.7300000000000004</v>
      </c>
      <c r="AP128">
        <v>0.18</v>
      </c>
      <c r="AQ128">
        <v>4.0999999999999996</v>
      </c>
      <c r="AR128">
        <v>4.3</v>
      </c>
      <c r="AS128" cm="1">
        <f t="array" ref="AS128:BA128">VLOOKUP(A128,plate_discipline_pitchers_2019!A:L,{3,4,5,6,7,8,9,10,11},FALSE)</f>
        <v>0.377</v>
      </c>
      <c r="AT128">
        <v>0.69899999999999995</v>
      </c>
      <c r="AU128">
        <v>0.47599999999999998</v>
      </c>
      <c r="AV128">
        <v>0.59299999999999997</v>
      </c>
      <c r="AW128">
        <v>0.83799999999999997</v>
      </c>
      <c r="AX128">
        <v>0.70299999999999996</v>
      </c>
      <c r="AY128">
        <v>0.30599999999999999</v>
      </c>
      <c r="AZ128">
        <v>0.55500000000000005</v>
      </c>
      <c r="BA128">
        <v>0.14099999999999999</v>
      </c>
      <c r="BB128" cm="1">
        <f t="array" ref="BB128:BP128">VLOOKUP(A128,pitchvalue_pitchers_2019!A:Q,{3,4,5,6,7,8,9,10,11,12,13,14,15,16,17},FALSE)</f>
        <v>2.1</v>
      </c>
      <c r="BC128">
        <v>-2.5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0.36</v>
      </c>
      <c r="BJ128">
        <v>-0.77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15042</v>
      </c>
      <c r="BQ128" cm="1">
        <f t="array" ref="BQ128:CH128">VLOOKUP(A128,battedball_pitchers_2019!A:U,{3,4,5,6,7,8,9,10,11,12,13,14,15,16,17,18,19,20},FALSE)</f>
        <v>0.27200000000000002</v>
      </c>
      <c r="BR128">
        <v>2.08</v>
      </c>
      <c r="BS128">
        <v>0.21299999999999999</v>
      </c>
      <c r="BT128">
        <v>0.53200000000000003</v>
      </c>
      <c r="BU128">
        <v>0.255</v>
      </c>
      <c r="BV128">
        <v>8.3000000000000004E-2</v>
      </c>
      <c r="BW128">
        <v>0.222</v>
      </c>
      <c r="BX128">
        <v>13</v>
      </c>
      <c r="BY128">
        <v>2.2799999999999998</v>
      </c>
      <c r="BZ128">
        <v>370</v>
      </c>
      <c r="CA128">
        <v>551</v>
      </c>
      <c r="CB128">
        <v>921</v>
      </c>
      <c r="CC128">
        <v>0.39900000000000002</v>
      </c>
      <c r="CD128">
        <v>0.378</v>
      </c>
      <c r="CE128">
        <v>0.224</v>
      </c>
      <c r="CF128">
        <v>0.16800000000000001</v>
      </c>
      <c r="CG128">
        <v>0.46200000000000002</v>
      </c>
      <c r="CH128">
        <v>0.371</v>
      </c>
      <c r="CI128" cm="1">
        <f t="array" ref="CI128:CS128">VLOOKUP(A128,verticalmove_pitchers_2019!A:N,{3,4,5,6,7,8,9,10,11,12,13},FALSE)</f>
        <v>51.1</v>
      </c>
      <c r="CJ128">
        <v>7.8</v>
      </c>
      <c r="CK128">
        <v>0</v>
      </c>
      <c r="CL128">
        <v>0</v>
      </c>
      <c r="CM128">
        <v>5.6</v>
      </c>
      <c r="CN128">
        <v>2.5</v>
      </c>
      <c r="CO128">
        <v>1.6</v>
      </c>
      <c r="CP128">
        <v>2</v>
      </c>
      <c r="CQ128">
        <v>0</v>
      </c>
      <c r="CR128">
        <v>0</v>
      </c>
      <c r="CS128">
        <v>0</v>
      </c>
      <c r="CT128" cm="1">
        <f t="array" ref="CT128:DD128">VLOOKUP(A128,velocity_pitchers_2019!A:N,{3,4,5,6,7,8,9,10,11,12,13},FALSE)</f>
        <v>51.1</v>
      </c>
      <c r="CU128">
        <v>93.9</v>
      </c>
      <c r="CV128">
        <v>0</v>
      </c>
      <c r="CW128">
        <v>0</v>
      </c>
      <c r="CX128">
        <v>94.8</v>
      </c>
      <c r="CY128">
        <v>90.2</v>
      </c>
      <c r="CZ128">
        <v>88.1</v>
      </c>
      <c r="DA128">
        <v>85.9</v>
      </c>
      <c r="DB128">
        <v>0</v>
      </c>
      <c r="DC128">
        <v>0</v>
      </c>
      <c r="DD128">
        <v>0</v>
      </c>
    </row>
    <row r="129" spans="1:108" x14ac:dyDescent="0.3">
      <c r="A129" t="s">
        <v>184</v>
      </c>
      <c r="B129" t="str" cm="1">
        <f t="array" ref="B129:Y129">VLOOKUP(A129,standard_pitchers_2019!A:Y,{2,3,4,5,6,7,8,9,10,11,12,13,14,15,16,17,18,19,20,21,22,23,24,25},FALSE)</f>
        <v>Athletics</v>
      </c>
      <c r="C129">
        <v>15</v>
      </c>
      <c r="D129">
        <v>4</v>
      </c>
      <c r="E129">
        <v>3.9</v>
      </c>
      <c r="F129">
        <v>33</v>
      </c>
      <c r="G129">
        <v>33</v>
      </c>
      <c r="H129">
        <v>1</v>
      </c>
      <c r="I129">
        <v>1</v>
      </c>
      <c r="J129">
        <v>0</v>
      </c>
      <c r="K129">
        <v>0</v>
      </c>
      <c r="L129">
        <v>0</v>
      </c>
      <c r="M129">
        <v>184.2</v>
      </c>
      <c r="N129">
        <v>754</v>
      </c>
      <c r="O129">
        <v>166</v>
      </c>
      <c r="P129">
        <v>82</v>
      </c>
      <c r="Q129">
        <v>80</v>
      </c>
      <c r="R129">
        <v>30</v>
      </c>
      <c r="S129">
        <v>53</v>
      </c>
      <c r="T129">
        <v>0</v>
      </c>
      <c r="U129">
        <v>9</v>
      </c>
      <c r="V129">
        <v>13</v>
      </c>
      <c r="W129">
        <v>1</v>
      </c>
      <c r="X129">
        <v>126</v>
      </c>
      <c r="Y129">
        <v>7754</v>
      </c>
      <c r="Z129" cm="1">
        <f t="array" ref="Z129:AR129">VLOOKUP(A129,advanced_pitchers_2019!A:Y,{3,4,5,6,7,8,9,10,11,12,13,14,15,16,17,18,19,20,21},FALSE)</f>
        <v>6.14</v>
      </c>
      <c r="AA129">
        <v>2.58</v>
      </c>
      <c r="AB129">
        <v>2.38</v>
      </c>
      <c r="AC129">
        <v>1.46</v>
      </c>
      <c r="AD129">
        <v>0.16700000000000001</v>
      </c>
      <c r="AE129">
        <v>7.0000000000000007E-2</v>
      </c>
      <c r="AF129">
        <v>9.7000000000000003E-2</v>
      </c>
      <c r="AG129">
        <v>0.24</v>
      </c>
      <c r="AH129">
        <v>1.19</v>
      </c>
      <c r="AI129">
        <v>0.254</v>
      </c>
      <c r="AJ129">
        <v>0.78500000000000003</v>
      </c>
      <c r="AK129">
        <v>87</v>
      </c>
      <c r="AL129">
        <v>111</v>
      </c>
      <c r="AM129">
        <v>113</v>
      </c>
      <c r="AN129">
        <v>3.9</v>
      </c>
      <c r="AO129">
        <v>4.97</v>
      </c>
      <c r="AP129">
        <v>-1.07</v>
      </c>
      <c r="AQ129">
        <v>5.19</v>
      </c>
      <c r="AR129">
        <v>5.19</v>
      </c>
      <c r="AS129" cm="1">
        <f t="array" ref="AS129:BA129">VLOOKUP(A129,plate_discipline_pitchers_2019!A:L,{3,4,5,6,7,8,9,10,11},FALSE)</f>
        <v>0.30099999999999999</v>
      </c>
      <c r="AT129">
        <v>0.67</v>
      </c>
      <c r="AU129">
        <v>0.47099999999999997</v>
      </c>
      <c r="AV129">
        <v>0.73499999999999999</v>
      </c>
      <c r="AW129">
        <v>0.88500000000000001</v>
      </c>
      <c r="AX129">
        <v>0.83299999999999996</v>
      </c>
      <c r="AY129">
        <v>0.46</v>
      </c>
      <c r="AZ129">
        <v>0.65</v>
      </c>
      <c r="BA129">
        <v>7.9000000000000001E-2</v>
      </c>
      <c r="BB129" cm="1">
        <f t="array" ref="BB129:BP129">VLOOKUP(A129,pitchvalue_pitchers_2019!A:Q,{3,4,5,6,7,8,9,10,11,12,13,14,15,16,17},FALSE)</f>
        <v>2.1</v>
      </c>
      <c r="BC129">
        <v>-1</v>
      </c>
      <c r="BD129">
        <v>4.2</v>
      </c>
      <c r="BE129">
        <v>5.4</v>
      </c>
      <c r="BF129">
        <v>4.7</v>
      </c>
      <c r="BG129">
        <v>0</v>
      </c>
      <c r="BH129">
        <v>0</v>
      </c>
      <c r="BI129">
        <v>0.14000000000000001</v>
      </c>
      <c r="BJ129">
        <v>-3.64</v>
      </c>
      <c r="BK129">
        <v>0.85</v>
      </c>
      <c r="BL129">
        <v>1.08</v>
      </c>
      <c r="BM129">
        <v>1.3</v>
      </c>
      <c r="BN129">
        <v>0</v>
      </c>
      <c r="BO129">
        <v>0</v>
      </c>
      <c r="BP129">
        <v>7754</v>
      </c>
      <c r="BQ129" cm="1">
        <f t="array" ref="BQ129:CH129">VLOOKUP(A129,battedball_pitchers_2019!A:U,{3,4,5,6,7,8,9,10,11,12,13,14,15,16,17,18,19,20},FALSE)</f>
        <v>0.254</v>
      </c>
      <c r="BR129">
        <v>1.03</v>
      </c>
      <c r="BS129">
        <v>0.21299999999999999</v>
      </c>
      <c r="BT129">
        <v>0.39900000000000002</v>
      </c>
      <c r="BU129">
        <v>0.38800000000000001</v>
      </c>
      <c r="BV129">
        <v>0.13800000000000001</v>
      </c>
      <c r="BW129">
        <v>0.13800000000000001</v>
      </c>
      <c r="BX129">
        <v>114</v>
      </c>
      <c r="BY129">
        <v>5.56</v>
      </c>
      <c r="BZ129">
        <v>1009</v>
      </c>
      <c r="CA129">
        <v>1890</v>
      </c>
      <c r="CB129">
        <v>2899</v>
      </c>
      <c r="CC129">
        <v>0.438</v>
      </c>
      <c r="CD129">
        <v>0.30399999999999999</v>
      </c>
      <c r="CE129">
        <v>0.25800000000000001</v>
      </c>
      <c r="CF129">
        <v>0.17</v>
      </c>
      <c r="CG129">
        <v>0.44</v>
      </c>
      <c r="CH129">
        <v>0.39</v>
      </c>
      <c r="CI129" cm="1">
        <f t="array" ref="CI129:CS129">VLOOKUP(A129,verticalmove_pitchers_2019!A:N,{3,4,5,6,7,8,9,10,11,12,13},FALSE)</f>
        <v>184.2</v>
      </c>
      <c r="CJ129">
        <v>10.1</v>
      </c>
      <c r="CK129">
        <v>5.3</v>
      </c>
      <c r="CL129">
        <v>0</v>
      </c>
      <c r="CM129">
        <v>7.1</v>
      </c>
      <c r="CN129">
        <v>3</v>
      </c>
      <c r="CO129">
        <v>2.2999999999999998</v>
      </c>
      <c r="CP129">
        <v>-11.7</v>
      </c>
      <c r="CQ129">
        <v>0</v>
      </c>
      <c r="CR129">
        <v>0</v>
      </c>
      <c r="CS129">
        <v>0</v>
      </c>
      <c r="CT129" cm="1">
        <f t="array" ref="CT129:DD129">VLOOKUP(A129,velocity_pitchers_2019!A:N,{3,4,5,6,7,8,9,10,11,12,13},FALSE)</f>
        <v>184.2</v>
      </c>
      <c r="CU129">
        <v>90.8</v>
      </c>
      <c r="CV129">
        <v>86.4</v>
      </c>
      <c r="CW129">
        <v>0</v>
      </c>
      <c r="CX129">
        <v>90.4</v>
      </c>
      <c r="CY129">
        <v>84.3</v>
      </c>
      <c r="CZ129">
        <v>84.4</v>
      </c>
      <c r="DA129">
        <v>74.3</v>
      </c>
      <c r="DB129">
        <v>0</v>
      </c>
      <c r="DC129">
        <v>0</v>
      </c>
      <c r="DD129">
        <v>0</v>
      </c>
    </row>
    <row r="130" spans="1:108" x14ac:dyDescent="0.3">
      <c r="A130" t="s">
        <v>307</v>
      </c>
      <c r="B130" t="str" cm="1">
        <f t="array" ref="B130:Y130">VLOOKUP(A130,standard_pitchers_2019!A:Y,{2,3,4,5,6,7,8,9,10,11,12,13,14,15,16,17,18,19,20,21,22,23,24,25},FALSE)</f>
        <v>Phillies</v>
      </c>
      <c r="C130">
        <v>7</v>
      </c>
      <c r="D130">
        <v>8</v>
      </c>
      <c r="E130">
        <v>4.91</v>
      </c>
      <c r="F130">
        <v>33</v>
      </c>
      <c r="G130">
        <v>23</v>
      </c>
      <c r="H130">
        <v>0</v>
      </c>
      <c r="I130">
        <v>0</v>
      </c>
      <c r="J130">
        <v>0</v>
      </c>
      <c r="K130">
        <v>2</v>
      </c>
      <c r="L130">
        <v>0</v>
      </c>
      <c r="M130">
        <v>117.1</v>
      </c>
      <c r="N130">
        <v>516</v>
      </c>
      <c r="O130">
        <v>120</v>
      </c>
      <c r="P130">
        <v>69</v>
      </c>
      <c r="Q130">
        <v>64</v>
      </c>
      <c r="R130">
        <v>26</v>
      </c>
      <c r="S130">
        <v>43</v>
      </c>
      <c r="T130">
        <v>2</v>
      </c>
      <c r="U130">
        <v>9</v>
      </c>
      <c r="V130">
        <v>5</v>
      </c>
      <c r="W130">
        <v>0</v>
      </c>
      <c r="X130">
        <v>130</v>
      </c>
      <c r="Y130">
        <v>11189</v>
      </c>
      <c r="Z130" cm="1">
        <f t="array" ref="Z130:AR130">VLOOKUP(A130,advanced_pitchers_2019!A:Y,{3,4,5,6,7,8,9,10,11,12,13,14,15,16,17,18,19,20,21},FALSE)</f>
        <v>9.9700000000000006</v>
      </c>
      <c r="AA130">
        <v>3.3</v>
      </c>
      <c r="AB130">
        <v>3.02</v>
      </c>
      <c r="AC130">
        <v>1.99</v>
      </c>
      <c r="AD130">
        <v>0.252</v>
      </c>
      <c r="AE130">
        <v>8.3000000000000004E-2</v>
      </c>
      <c r="AF130">
        <v>0.16900000000000001</v>
      </c>
      <c r="AG130">
        <v>0.25900000000000001</v>
      </c>
      <c r="AH130">
        <v>1.39</v>
      </c>
      <c r="AI130">
        <v>0.30499999999999999</v>
      </c>
      <c r="AJ130">
        <v>0.76</v>
      </c>
      <c r="AK130">
        <v>111</v>
      </c>
      <c r="AL130">
        <v>115</v>
      </c>
      <c r="AM130">
        <v>107</v>
      </c>
      <c r="AN130">
        <v>4.91</v>
      </c>
      <c r="AO130">
        <v>5.21</v>
      </c>
      <c r="AP130">
        <v>-0.3</v>
      </c>
      <c r="AQ130">
        <v>4.75</v>
      </c>
      <c r="AR130">
        <v>4.3600000000000003</v>
      </c>
      <c r="AS130" cm="1">
        <f t="array" ref="AS130:BA130">VLOOKUP(A130,plate_discipline_pitchers_2019!A:L,{3,4,5,6,7,8,9,10,11},FALSE)</f>
        <v>0.312</v>
      </c>
      <c r="AT130">
        <v>0.72899999999999998</v>
      </c>
      <c r="AU130">
        <v>0.49199999999999999</v>
      </c>
      <c r="AV130">
        <v>0.66</v>
      </c>
      <c r="AW130">
        <v>0.83499999999999996</v>
      </c>
      <c r="AX130">
        <v>0.77200000000000002</v>
      </c>
      <c r="AY130">
        <v>0.43099999999999999</v>
      </c>
      <c r="AZ130">
        <v>0.59499999999999997</v>
      </c>
      <c r="BA130">
        <v>0.112</v>
      </c>
      <c r="BB130" cm="1">
        <f t="array" ref="BB130:BP130">VLOOKUP(A130,pitchvalue_pitchers_2019!A:Q,{3,4,5,6,7,8,9,10,11,12,13,14,15,16,17},FALSE)</f>
        <v>2.1</v>
      </c>
      <c r="BC130">
        <v>-10</v>
      </c>
      <c r="BD130">
        <v>0</v>
      </c>
      <c r="BE130">
        <v>-2.7</v>
      </c>
      <c r="BF130">
        <v>-1.9</v>
      </c>
      <c r="BG130">
        <v>0</v>
      </c>
      <c r="BH130">
        <v>0</v>
      </c>
      <c r="BI130">
        <v>0.15</v>
      </c>
      <c r="BJ130">
        <v>-2.3199999999999998</v>
      </c>
      <c r="BK130">
        <v>0</v>
      </c>
      <c r="BL130">
        <v>-1.07</v>
      </c>
      <c r="BM130">
        <v>-8.1199999999999992</v>
      </c>
      <c r="BN130">
        <v>0</v>
      </c>
      <c r="BO130">
        <v>0</v>
      </c>
      <c r="BP130">
        <v>11189</v>
      </c>
      <c r="BQ130" cm="1">
        <f t="array" ref="BQ130:CH130">VLOOKUP(A130,battedball_pitchers_2019!A:U,{3,4,5,6,7,8,9,10,11,12,13,14,15,16,17,18,19,20},FALSE)</f>
        <v>0.30499999999999999</v>
      </c>
      <c r="BR130">
        <v>0.78</v>
      </c>
      <c r="BS130">
        <v>0.216</v>
      </c>
      <c r="BT130">
        <v>0.34300000000000003</v>
      </c>
      <c r="BU130">
        <v>0.441</v>
      </c>
      <c r="BV130">
        <v>8.4000000000000005E-2</v>
      </c>
      <c r="BW130">
        <v>0.182</v>
      </c>
      <c r="BX130">
        <v>74</v>
      </c>
      <c r="BY130">
        <v>5.68</v>
      </c>
      <c r="BZ130">
        <v>768</v>
      </c>
      <c r="CA130">
        <v>1352</v>
      </c>
      <c r="CB130">
        <v>2120</v>
      </c>
      <c r="CC130">
        <v>0.38700000000000001</v>
      </c>
      <c r="CD130">
        <v>0.33300000000000002</v>
      </c>
      <c r="CE130">
        <v>0.27900000000000003</v>
      </c>
      <c r="CF130">
        <v>0.126</v>
      </c>
      <c r="CG130">
        <v>0.39900000000000002</v>
      </c>
      <c r="CH130">
        <v>0.47399999999999998</v>
      </c>
      <c r="CI130" cm="1">
        <f t="array" ref="CI130:CS130">VLOOKUP(A130,verticalmove_pitchers_2019!A:N,{3,4,5,6,7,8,9,10,11,12,13},FALSE)</f>
        <v>117.1</v>
      </c>
      <c r="CJ130">
        <v>9.4</v>
      </c>
      <c r="CK130">
        <v>9.1</v>
      </c>
      <c r="CL130">
        <v>0</v>
      </c>
      <c r="CM130">
        <v>4.5</v>
      </c>
      <c r="CN130">
        <v>3.2</v>
      </c>
      <c r="CO130">
        <v>0.5</v>
      </c>
      <c r="CP130">
        <v>-6.4</v>
      </c>
      <c r="CQ130">
        <v>0</v>
      </c>
      <c r="CR130">
        <v>0</v>
      </c>
      <c r="CS130">
        <v>0</v>
      </c>
      <c r="CT130" cm="1">
        <f t="array" ref="CT130:DD130">VLOOKUP(A130,velocity_pitchers_2019!A:N,{3,4,5,6,7,8,9,10,11,12,13},FALSE)</f>
        <v>117.1</v>
      </c>
      <c r="CU130">
        <v>94.5</v>
      </c>
      <c r="CV130">
        <v>96.7</v>
      </c>
      <c r="CW130">
        <v>0</v>
      </c>
      <c r="CX130">
        <v>92.8</v>
      </c>
      <c r="CY130">
        <v>90.1</v>
      </c>
      <c r="CZ130">
        <v>86.7</v>
      </c>
      <c r="DA130">
        <v>83.3</v>
      </c>
      <c r="DB130">
        <v>0</v>
      </c>
      <c r="DC130">
        <v>0</v>
      </c>
      <c r="DD130">
        <v>0</v>
      </c>
    </row>
    <row r="131" spans="1:108" x14ac:dyDescent="0.3">
      <c r="A131" t="s">
        <v>141</v>
      </c>
      <c r="B131" t="str" cm="1">
        <f t="array" ref="B131:Y131">VLOOKUP(A131,standard_pitchers_2019!A:Y,{2,3,4,5,6,7,8,9,10,11,12,13,14,15,16,17,18,19,20,21,22,23,24,25},FALSE)</f>
        <v>Diamondbacks</v>
      </c>
      <c r="C131">
        <v>7</v>
      </c>
      <c r="D131">
        <v>5</v>
      </c>
      <c r="E131">
        <v>3.56</v>
      </c>
      <c r="F131">
        <v>17</v>
      </c>
      <c r="G131">
        <v>15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83.1</v>
      </c>
      <c r="N131">
        <v>349</v>
      </c>
      <c r="O131">
        <v>72</v>
      </c>
      <c r="P131">
        <v>40</v>
      </c>
      <c r="Q131">
        <v>33</v>
      </c>
      <c r="R131">
        <v>14</v>
      </c>
      <c r="S131">
        <v>27</v>
      </c>
      <c r="T131">
        <v>4</v>
      </c>
      <c r="U131">
        <v>4</v>
      </c>
      <c r="V131">
        <v>2</v>
      </c>
      <c r="W131">
        <v>0</v>
      </c>
      <c r="X131">
        <v>71</v>
      </c>
      <c r="Y131">
        <v>18333</v>
      </c>
      <c r="Z131" cm="1">
        <f t="array" ref="Z131:AR131">VLOOKUP(A131,advanced_pitchers_2019!A:Y,{3,4,5,6,7,8,9,10,11,12,13,14,15,16,17,18,19,20,21},FALSE)</f>
        <v>7.67</v>
      </c>
      <c r="AA131">
        <v>2.92</v>
      </c>
      <c r="AB131">
        <v>2.63</v>
      </c>
      <c r="AC131">
        <v>1.51</v>
      </c>
      <c r="AD131">
        <v>0.20300000000000001</v>
      </c>
      <c r="AE131">
        <v>7.6999999999999999E-2</v>
      </c>
      <c r="AF131">
        <v>0.126</v>
      </c>
      <c r="AG131">
        <v>0.22600000000000001</v>
      </c>
      <c r="AH131">
        <v>1.19</v>
      </c>
      <c r="AI131">
        <v>0.249</v>
      </c>
      <c r="AJ131">
        <v>0.755</v>
      </c>
      <c r="AK131">
        <v>81</v>
      </c>
      <c r="AL131">
        <v>110</v>
      </c>
      <c r="AM131">
        <v>105</v>
      </c>
      <c r="AN131">
        <v>3.56</v>
      </c>
      <c r="AO131">
        <v>4.8099999999999996</v>
      </c>
      <c r="AP131">
        <v>-1.25</v>
      </c>
      <c r="AQ131">
        <v>4.6500000000000004</v>
      </c>
      <c r="AR131">
        <v>4.68</v>
      </c>
      <c r="AS131" cm="1">
        <f t="array" ref="AS131:BA131">VLOOKUP(A131,plate_discipline_pitchers_2019!A:L,{3,4,5,6,7,8,9,10,11},FALSE)</f>
        <v>0.34300000000000003</v>
      </c>
      <c r="AT131">
        <v>0.69399999999999995</v>
      </c>
      <c r="AU131">
        <v>0.47399999999999998</v>
      </c>
      <c r="AV131">
        <v>0.59199999999999997</v>
      </c>
      <c r="AW131">
        <v>0.85499999999999998</v>
      </c>
      <c r="AX131">
        <v>0.73599999999999999</v>
      </c>
      <c r="AY131">
        <v>0.374</v>
      </c>
      <c r="AZ131">
        <v>0.60199999999999998</v>
      </c>
      <c r="BA131">
        <v>0.125</v>
      </c>
      <c r="BB131" cm="1">
        <f t="array" ref="BB131:BP131">VLOOKUP(A131,pitchvalue_pitchers_2019!A:Q,{3,4,5,6,7,8,9,10,11,12,13,14,15,16,17},FALSE)</f>
        <v>2</v>
      </c>
      <c r="BC131">
        <v>-2</v>
      </c>
      <c r="BD131">
        <v>0</v>
      </c>
      <c r="BE131">
        <v>7</v>
      </c>
      <c r="BF131">
        <v>-2.2000000000000002</v>
      </c>
      <c r="BG131">
        <v>0</v>
      </c>
      <c r="BH131">
        <v>0</v>
      </c>
      <c r="BI131">
        <v>0.42</v>
      </c>
      <c r="BJ131">
        <v>-0.67</v>
      </c>
      <c r="BK131">
        <v>0</v>
      </c>
      <c r="BL131">
        <v>2.6</v>
      </c>
      <c r="BM131">
        <v>-0.84</v>
      </c>
      <c r="BN131">
        <v>0</v>
      </c>
      <c r="BO131">
        <v>0</v>
      </c>
      <c r="BP131">
        <v>18333</v>
      </c>
      <c r="BQ131" cm="1">
        <f t="array" ref="BQ131:CH131">VLOOKUP(A131,battedball_pitchers_2019!A:U,{3,4,5,6,7,8,9,10,11,12,13,14,15,16,17,18,19,20},FALSE)</f>
        <v>0.249</v>
      </c>
      <c r="BR131">
        <v>1.38</v>
      </c>
      <c r="BS131">
        <v>0.16900000000000001</v>
      </c>
      <c r="BT131">
        <v>0.48099999999999998</v>
      </c>
      <c r="BU131">
        <v>0.35</v>
      </c>
      <c r="BV131">
        <v>9.4E-2</v>
      </c>
      <c r="BW131">
        <v>0.16500000000000001</v>
      </c>
      <c r="BX131">
        <v>50</v>
      </c>
      <c r="BY131">
        <v>5.4</v>
      </c>
      <c r="BZ131">
        <v>473</v>
      </c>
      <c r="CA131">
        <v>852</v>
      </c>
      <c r="CB131">
        <v>1325</v>
      </c>
      <c r="CC131">
        <v>0.49399999999999999</v>
      </c>
      <c r="CD131">
        <v>0.32</v>
      </c>
      <c r="CE131">
        <v>0.186</v>
      </c>
      <c r="CF131">
        <v>0.13400000000000001</v>
      </c>
      <c r="CG131">
        <v>0.44500000000000001</v>
      </c>
      <c r="CH131">
        <v>0.42099999999999999</v>
      </c>
      <c r="CI131" cm="1">
        <f t="array" ref="CI131:CS131">VLOOKUP(A131,verticalmove_pitchers_2019!A:N,{3,4,5,6,7,8,9,10,11,12,13},FALSE)</f>
        <v>83.1</v>
      </c>
      <c r="CJ131">
        <v>8</v>
      </c>
      <c r="CK131">
        <v>3.9</v>
      </c>
      <c r="CL131">
        <v>0</v>
      </c>
      <c r="CM131">
        <v>4.3</v>
      </c>
      <c r="CN131">
        <v>0.9</v>
      </c>
      <c r="CO131">
        <v>0</v>
      </c>
      <c r="CP131">
        <v>-2.9</v>
      </c>
      <c r="CQ131">
        <v>0</v>
      </c>
      <c r="CR131">
        <v>0</v>
      </c>
      <c r="CS131">
        <v>0</v>
      </c>
      <c r="CT131" cm="1">
        <f t="array" ref="CT131:DD131">VLOOKUP(A131,velocity_pitchers_2019!A:N,{3,4,5,6,7,8,9,10,11,12,13},FALSE)</f>
        <v>83.1</v>
      </c>
      <c r="CU131">
        <v>89.9</v>
      </c>
      <c r="CV131">
        <v>85.1</v>
      </c>
      <c r="CW131">
        <v>0</v>
      </c>
      <c r="CX131">
        <v>89.1</v>
      </c>
      <c r="CY131">
        <v>84.6</v>
      </c>
      <c r="CZ131">
        <v>0</v>
      </c>
      <c r="DA131">
        <v>81.5</v>
      </c>
      <c r="DB131">
        <v>0</v>
      </c>
      <c r="DC131">
        <v>0</v>
      </c>
      <c r="DD131">
        <v>0</v>
      </c>
    </row>
    <row r="132" spans="1:108" x14ac:dyDescent="0.3">
      <c r="A132" t="s">
        <v>235</v>
      </c>
      <c r="B132" t="str" cm="1">
        <f t="array" ref="B132:Y132">VLOOKUP(A132,standard_pitchers_2019!A:Y,{2,3,4,5,6,7,8,9,10,11,12,13,14,15,16,17,18,19,20,21,22,23,24,25},FALSE)</f>
        <v>Royals</v>
      </c>
      <c r="C132">
        <v>7</v>
      </c>
      <c r="D132">
        <v>6</v>
      </c>
      <c r="E132">
        <v>4.34</v>
      </c>
      <c r="F132">
        <v>23</v>
      </c>
      <c r="G132">
        <v>23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130.19999999999999</v>
      </c>
      <c r="N132">
        <v>555</v>
      </c>
      <c r="O132">
        <v>125</v>
      </c>
      <c r="P132">
        <v>69</v>
      </c>
      <c r="Q132">
        <v>63</v>
      </c>
      <c r="R132">
        <v>21</v>
      </c>
      <c r="S132">
        <v>46</v>
      </c>
      <c r="T132">
        <v>0</v>
      </c>
      <c r="U132">
        <v>8</v>
      </c>
      <c r="V132">
        <v>4</v>
      </c>
      <c r="W132">
        <v>0</v>
      </c>
      <c r="X132">
        <v>115</v>
      </c>
      <c r="Y132">
        <v>3542</v>
      </c>
      <c r="Z132" cm="1">
        <f t="array" ref="Z132:AR132">VLOOKUP(A132,advanced_pitchers_2019!A:Y,{3,4,5,6,7,8,9,10,11,12,13,14,15,16,17,18,19,20,21},FALSE)</f>
        <v>7.92</v>
      </c>
      <c r="AA132">
        <v>3.17</v>
      </c>
      <c r="AB132">
        <v>2.5</v>
      </c>
      <c r="AC132">
        <v>1.45</v>
      </c>
      <c r="AD132">
        <v>0.20699999999999999</v>
      </c>
      <c r="AE132">
        <v>8.3000000000000004E-2</v>
      </c>
      <c r="AF132">
        <v>0.124</v>
      </c>
      <c r="AG132">
        <v>0.25</v>
      </c>
      <c r="AH132">
        <v>1.31</v>
      </c>
      <c r="AI132">
        <v>0.28499999999999998</v>
      </c>
      <c r="AJ132">
        <v>0.73499999999999999</v>
      </c>
      <c r="AK132">
        <v>92</v>
      </c>
      <c r="AL132">
        <v>107</v>
      </c>
      <c r="AM132">
        <v>112</v>
      </c>
      <c r="AN132">
        <v>4.34</v>
      </c>
      <c r="AO132">
        <v>4.78</v>
      </c>
      <c r="AP132">
        <v>-0.44</v>
      </c>
      <c r="AQ132">
        <v>5.14</v>
      </c>
      <c r="AR132">
        <v>4.8899999999999997</v>
      </c>
      <c r="AS132" cm="1">
        <f t="array" ref="AS132:BA132">VLOOKUP(A132,plate_discipline_pitchers_2019!A:L,{3,4,5,6,7,8,9,10,11},FALSE)</f>
        <v>0.28699999999999998</v>
      </c>
      <c r="AT132">
        <v>0.7</v>
      </c>
      <c r="AU132">
        <v>0.47399999999999998</v>
      </c>
      <c r="AV132">
        <v>0.625</v>
      </c>
      <c r="AW132">
        <v>0.86199999999999999</v>
      </c>
      <c r="AX132">
        <v>0.78300000000000003</v>
      </c>
      <c r="AY132">
        <v>0.45300000000000001</v>
      </c>
      <c r="AZ132">
        <v>0.59799999999999998</v>
      </c>
      <c r="BA132">
        <v>0.10299999999999999</v>
      </c>
      <c r="BB132" cm="1">
        <f t="array" ref="BB132:BP132">VLOOKUP(A132,pitchvalue_pitchers_2019!A:Q,{3,4,5,6,7,8,9,10,11,12,13,14,15,16,17},FALSE)</f>
        <v>2</v>
      </c>
      <c r="BC132">
        <v>1.6</v>
      </c>
      <c r="BD132">
        <v>0</v>
      </c>
      <c r="BE132">
        <v>-1.3</v>
      </c>
      <c r="BF132">
        <v>2.5</v>
      </c>
      <c r="BG132">
        <v>0</v>
      </c>
      <c r="BH132">
        <v>0</v>
      </c>
      <c r="BI132">
        <v>0.17</v>
      </c>
      <c r="BJ132">
        <v>0.28000000000000003</v>
      </c>
      <c r="BK132">
        <v>0</v>
      </c>
      <c r="BL132">
        <v>-0.69</v>
      </c>
      <c r="BM132">
        <v>0.98</v>
      </c>
      <c r="BN132">
        <v>0</v>
      </c>
      <c r="BO132">
        <v>0</v>
      </c>
      <c r="BP132">
        <v>3542</v>
      </c>
      <c r="BQ132" cm="1">
        <f t="array" ref="BQ132:CH132">VLOOKUP(A132,battedball_pitchers_2019!A:U,{3,4,5,6,7,8,9,10,11,12,13,14,15,16,17,18,19,20},FALSE)</f>
        <v>0.28499999999999998</v>
      </c>
      <c r="BR132">
        <v>0.86</v>
      </c>
      <c r="BS132">
        <v>0.219</v>
      </c>
      <c r="BT132">
        <v>0.36</v>
      </c>
      <c r="BU132">
        <v>0.42</v>
      </c>
      <c r="BV132">
        <v>8.6999999999999994E-2</v>
      </c>
      <c r="BW132">
        <v>0.13</v>
      </c>
      <c r="BX132">
        <v>84</v>
      </c>
      <c r="BY132">
        <v>5.79</v>
      </c>
      <c r="BZ132">
        <v>785</v>
      </c>
      <c r="CA132">
        <v>1376</v>
      </c>
      <c r="CB132">
        <v>2161</v>
      </c>
      <c r="CC132">
        <v>0.40200000000000002</v>
      </c>
      <c r="CD132">
        <v>0.40400000000000003</v>
      </c>
      <c r="CE132">
        <v>0.19400000000000001</v>
      </c>
      <c r="CF132">
        <v>0.15</v>
      </c>
      <c r="CG132">
        <v>0.45900000000000002</v>
      </c>
      <c r="CH132">
        <v>0.39100000000000001</v>
      </c>
      <c r="CI132" cm="1">
        <f t="array" ref="CI132:CS132">VLOOKUP(A132,verticalmove_pitchers_2019!A:N,{3,4,5,6,7,8,9,10,11,12,13},FALSE)</f>
        <v>130.19999999999999</v>
      </c>
      <c r="CJ132">
        <v>9.6999999999999993</v>
      </c>
      <c r="CK132">
        <v>0</v>
      </c>
      <c r="CL132">
        <v>0</v>
      </c>
      <c r="CM132">
        <v>7.9</v>
      </c>
      <c r="CN132">
        <v>6</v>
      </c>
      <c r="CO132">
        <v>0.2</v>
      </c>
      <c r="CP132">
        <v>-9.9</v>
      </c>
      <c r="CQ132">
        <v>0</v>
      </c>
      <c r="CR132">
        <v>0</v>
      </c>
      <c r="CS132">
        <v>0</v>
      </c>
      <c r="CT132" cm="1">
        <f t="array" ref="CT132:DD132">VLOOKUP(A132,velocity_pitchers_2019!A:N,{3,4,5,6,7,8,9,10,11,12,13},FALSE)</f>
        <v>130.19999999999999</v>
      </c>
      <c r="CU132">
        <v>92.7</v>
      </c>
      <c r="CV132">
        <v>0</v>
      </c>
      <c r="CW132">
        <v>0</v>
      </c>
      <c r="CX132">
        <v>92.4</v>
      </c>
      <c r="CY132">
        <v>84.1</v>
      </c>
      <c r="CZ132">
        <v>84.3</v>
      </c>
      <c r="DA132">
        <v>76.5</v>
      </c>
      <c r="DB132">
        <v>0</v>
      </c>
      <c r="DC132">
        <v>0</v>
      </c>
      <c r="DD132">
        <v>0</v>
      </c>
    </row>
    <row r="133" spans="1:108" x14ac:dyDescent="0.3">
      <c r="A133" t="s">
        <v>270</v>
      </c>
      <c r="B133" t="str" cm="1">
        <f t="array" ref="B133:Y133">VLOOKUP(A133,standard_pitchers_2019!A:Y,{2,3,4,5,6,7,8,9,10,11,12,13,14,15,16,17,18,19,20,21,22,23,24,25},FALSE)</f>
        <v>Tigers</v>
      </c>
      <c r="C133">
        <v>3</v>
      </c>
      <c r="D133">
        <v>17</v>
      </c>
      <c r="E133">
        <v>4.6100000000000003</v>
      </c>
      <c r="F133">
        <v>30</v>
      </c>
      <c r="G133">
        <v>30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148.1</v>
      </c>
      <c r="N133">
        <v>656</v>
      </c>
      <c r="O133">
        <v>154</v>
      </c>
      <c r="P133">
        <v>86</v>
      </c>
      <c r="Q133">
        <v>76</v>
      </c>
      <c r="R133">
        <v>14</v>
      </c>
      <c r="S133">
        <v>59</v>
      </c>
      <c r="T133">
        <v>1</v>
      </c>
      <c r="U133">
        <v>16</v>
      </c>
      <c r="V133">
        <v>9</v>
      </c>
      <c r="W133">
        <v>0</v>
      </c>
      <c r="X133">
        <v>146</v>
      </c>
      <c r="Y133">
        <v>16207</v>
      </c>
      <c r="Z133" cm="1">
        <f t="array" ref="Z133:AR133">VLOOKUP(A133,advanced_pitchers_2019!A:Y,{3,4,5,6,7,8,9,10,11,12,13,14,15,16,17,18,19,20,21},FALSE)</f>
        <v>8.86</v>
      </c>
      <c r="AA133">
        <v>3.58</v>
      </c>
      <c r="AB133">
        <v>2.4700000000000002</v>
      </c>
      <c r="AC133">
        <v>0.85</v>
      </c>
      <c r="AD133">
        <v>0.223</v>
      </c>
      <c r="AE133">
        <v>0.09</v>
      </c>
      <c r="AF133">
        <v>0.13300000000000001</v>
      </c>
      <c r="AG133">
        <v>0.26500000000000001</v>
      </c>
      <c r="AH133">
        <v>1.44</v>
      </c>
      <c r="AI133">
        <v>0.33300000000000002</v>
      </c>
      <c r="AJ133">
        <v>0.68300000000000005</v>
      </c>
      <c r="AK133">
        <v>99</v>
      </c>
      <c r="AL133">
        <v>86</v>
      </c>
      <c r="AM133">
        <v>101</v>
      </c>
      <c r="AN133">
        <v>4.6100000000000003</v>
      </c>
      <c r="AO133">
        <v>3.99</v>
      </c>
      <c r="AP133">
        <v>0.62</v>
      </c>
      <c r="AQ133">
        <v>4.63</v>
      </c>
      <c r="AR133">
        <v>4.62</v>
      </c>
      <c r="AS133" cm="1">
        <f t="array" ref="AS133:BA133">VLOOKUP(A133,plate_discipline_pitchers_2019!A:L,{3,4,5,6,7,8,9,10,11},FALSE)</f>
        <v>0.311</v>
      </c>
      <c r="AT133">
        <v>0.70499999999999996</v>
      </c>
      <c r="AU133">
        <v>0.46800000000000003</v>
      </c>
      <c r="AV133">
        <v>0.622</v>
      </c>
      <c r="AW133">
        <v>0.872</v>
      </c>
      <c r="AX133">
        <v>0.77200000000000002</v>
      </c>
      <c r="AY133">
        <v>0.39900000000000002</v>
      </c>
      <c r="AZ133">
        <v>0.59799999999999998</v>
      </c>
      <c r="BA133">
        <v>0.107</v>
      </c>
      <c r="BB133" cm="1">
        <f t="array" ref="BB133:BP133">VLOOKUP(A133,pitchvalue_pitchers_2019!A:Q,{3,4,5,6,7,8,9,10,11,12,13,14,15,16,17},FALSE)</f>
        <v>2</v>
      </c>
      <c r="BC133">
        <v>-0.2</v>
      </c>
      <c r="BD133">
        <v>0</v>
      </c>
      <c r="BE133">
        <v>-6.1</v>
      </c>
      <c r="BF133">
        <v>0.1</v>
      </c>
      <c r="BG133">
        <v>0</v>
      </c>
      <c r="BH133">
        <v>0</v>
      </c>
      <c r="BI133">
        <v>0.11</v>
      </c>
      <c r="BJ133">
        <v>-0.04</v>
      </c>
      <c r="BK133">
        <v>0</v>
      </c>
      <c r="BL133">
        <v>-1.87</v>
      </c>
      <c r="BM133">
        <v>0.16</v>
      </c>
      <c r="BN133">
        <v>0</v>
      </c>
      <c r="BO133">
        <v>0</v>
      </c>
      <c r="BP133">
        <v>16207</v>
      </c>
      <c r="BQ133" cm="1">
        <f t="array" ref="BQ133:CH133">VLOOKUP(A133,battedball_pitchers_2019!A:U,{3,4,5,6,7,8,9,10,11,12,13,14,15,16,17,18,19,20},FALSE)</f>
        <v>0.33300000000000002</v>
      </c>
      <c r="BR133">
        <v>1.5</v>
      </c>
      <c r="BS133">
        <v>0.19500000000000001</v>
      </c>
      <c r="BT133">
        <v>0.48299999999999998</v>
      </c>
      <c r="BU133">
        <v>0.32300000000000001</v>
      </c>
      <c r="BV133">
        <v>0.05</v>
      </c>
      <c r="BW133">
        <v>0.10100000000000001</v>
      </c>
      <c r="BX133">
        <v>50</v>
      </c>
      <c r="BY133">
        <v>3.03</v>
      </c>
      <c r="BZ133">
        <v>1030</v>
      </c>
      <c r="CA133">
        <v>1631</v>
      </c>
      <c r="CB133">
        <v>2661</v>
      </c>
      <c r="CC133">
        <v>0.379</v>
      </c>
      <c r="CD133">
        <v>0.34</v>
      </c>
      <c r="CE133">
        <v>0.28000000000000003</v>
      </c>
      <c r="CF133">
        <v>0.13300000000000001</v>
      </c>
      <c r="CG133">
        <v>0.45300000000000001</v>
      </c>
      <c r="CH133">
        <v>0.41399999999999998</v>
      </c>
      <c r="CI133" cm="1">
        <f t="array" ref="CI133:CS133">VLOOKUP(A133,verticalmove_pitchers_2019!A:N,{3,4,5,6,7,8,9,10,11,12,13},FALSE)</f>
        <v>148.1</v>
      </c>
      <c r="CJ133">
        <v>5.8</v>
      </c>
      <c r="CK133">
        <v>0</v>
      </c>
      <c r="CL133">
        <v>0</v>
      </c>
      <c r="CM133">
        <v>3.4</v>
      </c>
      <c r="CN133">
        <v>1</v>
      </c>
      <c r="CO133">
        <v>-0.3</v>
      </c>
      <c r="CP133">
        <v>-8</v>
      </c>
      <c r="CQ133">
        <v>0</v>
      </c>
      <c r="CR133">
        <v>0</v>
      </c>
      <c r="CS133">
        <v>0</v>
      </c>
      <c r="CT133" cm="1">
        <f t="array" ref="CT133:DD133">VLOOKUP(A133,velocity_pitchers_2019!A:N,{3,4,5,6,7,8,9,10,11,12,13},FALSE)</f>
        <v>148.1</v>
      </c>
      <c r="CU133">
        <v>93.9</v>
      </c>
      <c r="CV133">
        <v>0</v>
      </c>
      <c r="CW133">
        <v>0</v>
      </c>
      <c r="CX133">
        <v>94.5</v>
      </c>
      <c r="CY133">
        <v>86.8</v>
      </c>
      <c r="CZ133">
        <v>86.7</v>
      </c>
      <c r="DA133">
        <v>80.599999999999994</v>
      </c>
      <c r="DB133">
        <v>0</v>
      </c>
      <c r="DC133">
        <v>0</v>
      </c>
      <c r="DD133">
        <v>0</v>
      </c>
    </row>
    <row r="134" spans="1:108" x14ac:dyDescent="0.3">
      <c r="A134" t="s">
        <v>238</v>
      </c>
      <c r="B134" t="str" cm="1">
        <f t="array" ref="B134:Y134">VLOOKUP(A134,standard_pitchers_2019!A:Y,{2,3,4,5,6,7,8,9,10,11,12,13,14,15,16,17,18,19,20,21,22,23,24,25},FALSE)</f>
        <v>Tigers</v>
      </c>
      <c r="C134">
        <v>4</v>
      </c>
      <c r="D134">
        <v>7</v>
      </c>
      <c r="E134">
        <v>4.37</v>
      </c>
      <c r="F134">
        <v>66</v>
      </c>
      <c r="G134">
        <v>0</v>
      </c>
      <c r="H134">
        <v>0</v>
      </c>
      <c r="I134">
        <v>0</v>
      </c>
      <c r="J134">
        <v>9</v>
      </c>
      <c r="K134">
        <v>15</v>
      </c>
      <c r="L134">
        <v>5</v>
      </c>
      <c r="M134">
        <v>59.2</v>
      </c>
      <c r="N134">
        <v>257</v>
      </c>
      <c r="O134">
        <v>56</v>
      </c>
      <c r="P134">
        <v>33</v>
      </c>
      <c r="Q134">
        <v>29</v>
      </c>
      <c r="R134">
        <v>13</v>
      </c>
      <c r="S134">
        <v>23</v>
      </c>
      <c r="T134">
        <v>1</v>
      </c>
      <c r="U134">
        <v>4</v>
      </c>
      <c r="V134">
        <v>1</v>
      </c>
      <c r="W134">
        <v>1</v>
      </c>
      <c r="X134">
        <v>82</v>
      </c>
      <c r="Y134">
        <v>15761</v>
      </c>
      <c r="Z134" cm="1">
        <f t="array" ref="Z134:AR134">VLOOKUP(A134,advanced_pitchers_2019!A:Y,{3,4,5,6,7,8,9,10,11,12,13,14,15,16,17,18,19,20,21},FALSE)</f>
        <v>12.37</v>
      </c>
      <c r="AA134">
        <v>3.47</v>
      </c>
      <c r="AB134">
        <v>3.57</v>
      </c>
      <c r="AC134">
        <v>1.96</v>
      </c>
      <c r="AD134">
        <v>0.31900000000000001</v>
      </c>
      <c r="AE134">
        <v>8.8999999999999996E-2</v>
      </c>
      <c r="AF134">
        <v>0.23</v>
      </c>
      <c r="AG134">
        <v>0.24299999999999999</v>
      </c>
      <c r="AH134">
        <v>1.32</v>
      </c>
      <c r="AI134">
        <v>0.31900000000000001</v>
      </c>
      <c r="AJ134">
        <v>0.77200000000000002</v>
      </c>
      <c r="AK134">
        <v>94</v>
      </c>
      <c r="AL134">
        <v>100</v>
      </c>
      <c r="AM134">
        <v>92</v>
      </c>
      <c r="AN134">
        <v>4.37</v>
      </c>
      <c r="AO134">
        <v>4.66</v>
      </c>
      <c r="AP134">
        <v>-0.28000000000000003</v>
      </c>
      <c r="AQ134">
        <v>4.1900000000000004</v>
      </c>
      <c r="AR134">
        <v>3.41</v>
      </c>
      <c r="AS134" cm="1">
        <f t="array" ref="AS134:BA134">VLOOKUP(A134,plate_discipline_pitchers_2019!A:L,{3,4,5,6,7,8,9,10,11},FALSE)</f>
        <v>0.35199999999999998</v>
      </c>
      <c r="AT134">
        <v>0.66500000000000004</v>
      </c>
      <c r="AU134">
        <v>0.499</v>
      </c>
      <c r="AV134">
        <v>0.60099999999999998</v>
      </c>
      <c r="AW134">
        <v>0.76200000000000001</v>
      </c>
      <c r="AX134">
        <v>0.70199999999999996</v>
      </c>
      <c r="AY134">
        <v>0.46700000000000003</v>
      </c>
      <c r="AZ134">
        <v>0.66900000000000004</v>
      </c>
      <c r="BA134">
        <v>0.14899999999999999</v>
      </c>
      <c r="BB134" cm="1">
        <f t="array" ref="BB134:BP134">VLOOKUP(A134,pitchvalue_pitchers_2019!A:Q,{3,4,5,6,7,8,9,10,11,12,13,14,15,16,17},FALSE)</f>
        <v>1.8</v>
      </c>
      <c r="BC134">
        <v>1.4</v>
      </c>
      <c r="BD134">
        <v>0</v>
      </c>
      <c r="BE134">
        <v>0</v>
      </c>
      <c r="BF134">
        <v>-6.7</v>
      </c>
      <c r="BG134">
        <v>0</v>
      </c>
      <c r="BH134">
        <v>0</v>
      </c>
      <c r="BI134">
        <v>0.25</v>
      </c>
      <c r="BJ134">
        <v>0.51</v>
      </c>
      <c r="BK134">
        <v>0</v>
      </c>
      <c r="BL134">
        <v>0</v>
      </c>
      <c r="BM134">
        <v>-10.94</v>
      </c>
      <c r="BN134">
        <v>0</v>
      </c>
      <c r="BO134">
        <v>0</v>
      </c>
      <c r="BP134">
        <v>15761</v>
      </c>
      <c r="BQ134" cm="1">
        <f t="array" ref="BQ134:CH134">VLOOKUP(A134,battedball_pitchers_2019!A:U,{3,4,5,6,7,8,9,10,11,12,13,14,15,16,17,18,19,20},FALSE)</f>
        <v>0.31900000000000001</v>
      </c>
      <c r="BR134">
        <v>0.61</v>
      </c>
      <c r="BS134">
        <v>0.219</v>
      </c>
      <c r="BT134">
        <v>0.29499999999999998</v>
      </c>
      <c r="BU134">
        <v>0.48599999999999999</v>
      </c>
      <c r="BV134">
        <v>0.127</v>
      </c>
      <c r="BW134">
        <v>0.183</v>
      </c>
      <c r="BX134">
        <v>17</v>
      </c>
      <c r="BY134">
        <v>2.56</v>
      </c>
      <c r="BZ134">
        <v>344</v>
      </c>
      <c r="CA134">
        <v>712</v>
      </c>
      <c r="CB134">
        <v>1056</v>
      </c>
      <c r="CC134">
        <v>0.39200000000000002</v>
      </c>
      <c r="CD134">
        <v>0.372</v>
      </c>
      <c r="CE134">
        <v>0.23599999999999999</v>
      </c>
      <c r="CF134">
        <v>0.182</v>
      </c>
      <c r="CG134">
        <v>0.45300000000000001</v>
      </c>
      <c r="CH134">
        <v>0.36499999999999999</v>
      </c>
      <c r="CI134" cm="1">
        <f t="array" ref="CI134:CS134">VLOOKUP(A134,verticalmove_pitchers_2019!A:N,{3,4,5,6,7,8,9,10,11,12,13},FALSE)</f>
        <v>59.2</v>
      </c>
      <c r="CJ134">
        <v>9.6</v>
      </c>
      <c r="CK134">
        <v>0</v>
      </c>
      <c r="CL134">
        <v>0</v>
      </c>
      <c r="CM134">
        <v>0</v>
      </c>
      <c r="CN134">
        <v>3.3</v>
      </c>
      <c r="CO134">
        <v>1.6</v>
      </c>
      <c r="CP134">
        <v>0</v>
      </c>
      <c r="CQ134">
        <v>0</v>
      </c>
      <c r="CR134">
        <v>0</v>
      </c>
      <c r="CS134">
        <v>0</v>
      </c>
      <c r="CT134" cm="1">
        <f t="array" ref="CT134:DD134">VLOOKUP(A134,velocity_pitchers_2019!A:N,{3,4,5,6,7,8,9,10,11,12,13},FALSE)</f>
        <v>59.2</v>
      </c>
      <c r="CU134">
        <v>95.5</v>
      </c>
      <c r="CV134">
        <v>0</v>
      </c>
      <c r="CW134">
        <v>0</v>
      </c>
      <c r="CX134">
        <v>0</v>
      </c>
      <c r="CY134">
        <v>89.7</v>
      </c>
      <c r="CZ134">
        <v>86.5</v>
      </c>
      <c r="DA134">
        <v>0</v>
      </c>
      <c r="DB134">
        <v>0</v>
      </c>
      <c r="DC134">
        <v>0</v>
      </c>
      <c r="DD134">
        <v>0</v>
      </c>
    </row>
    <row r="135" spans="1:108" x14ac:dyDescent="0.3">
      <c r="A135" t="s">
        <v>218</v>
      </c>
      <c r="B135" t="str" cm="1">
        <f t="array" ref="B135:Y135">VLOOKUP(A135,standard_pitchers_2019!A:Y,{2,3,4,5,6,7,8,9,10,11,12,13,14,15,16,17,18,19,20,21,22,23,24,25},FALSE)</f>
        <v>Giants</v>
      </c>
      <c r="C135">
        <v>2</v>
      </c>
      <c r="D135">
        <v>2</v>
      </c>
      <c r="E135">
        <v>4.17</v>
      </c>
      <c r="F135">
        <v>60</v>
      </c>
      <c r="G135">
        <v>0</v>
      </c>
      <c r="H135">
        <v>0</v>
      </c>
      <c r="I135">
        <v>0</v>
      </c>
      <c r="J135">
        <v>0</v>
      </c>
      <c r="K135">
        <v>25</v>
      </c>
      <c r="L135">
        <v>3</v>
      </c>
      <c r="M135">
        <v>54</v>
      </c>
      <c r="N135">
        <v>231</v>
      </c>
      <c r="O135">
        <v>56</v>
      </c>
      <c r="P135">
        <v>26</v>
      </c>
      <c r="Q135">
        <v>25</v>
      </c>
      <c r="R135">
        <v>9</v>
      </c>
      <c r="S135">
        <v>12</v>
      </c>
      <c r="T135">
        <v>1</v>
      </c>
      <c r="U135">
        <v>5</v>
      </c>
      <c r="V135">
        <v>1</v>
      </c>
      <c r="W135">
        <v>0</v>
      </c>
      <c r="X135">
        <v>41</v>
      </c>
      <c r="Y135">
        <v>3132</v>
      </c>
      <c r="Z135" cm="1">
        <f t="array" ref="Z135:AR135">VLOOKUP(A135,advanced_pitchers_2019!A:Y,{3,4,5,6,7,8,9,10,11,12,13,14,15,16,17,18,19,20,21},FALSE)</f>
        <v>6.83</v>
      </c>
      <c r="AA135">
        <v>2</v>
      </c>
      <c r="AB135">
        <v>3.42</v>
      </c>
      <c r="AC135">
        <v>1.5</v>
      </c>
      <c r="AD135">
        <v>0.17699999999999999</v>
      </c>
      <c r="AE135">
        <v>5.1999999999999998E-2</v>
      </c>
      <c r="AF135">
        <v>0.126</v>
      </c>
      <c r="AG135">
        <v>0.26200000000000001</v>
      </c>
      <c r="AH135">
        <v>1.26</v>
      </c>
      <c r="AI135">
        <v>0.28699999999999998</v>
      </c>
      <c r="AJ135">
        <v>0.77800000000000002</v>
      </c>
      <c r="AK135">
        <v>99</v>
      </c>
      <c r="AL135">
        <v>115</v>
      </c>
      <c r="AM135">
        <v>110</v>
      </c>
      <c r="AN135">
        <v>4.17</v>
      </c>
      <c r="AO135">
        <v>4.8099999999999996</v>
      </c>
      <c r="AP135">
        <v>-0.64</v>
      </c>
      <c r="AQ135">
        <v>4.8899999999999997</v>
      </c>
      <c r="AR135">
        <v>4.41</v>
      </c>
      <c r="AS135" cm="1">
        <f t="array" ref="AS135:BA135">VLOOKUP(A135,plate_discipline_pitchers_2019!A:L,{3,4,5,6,7,8,9,10,11},FALSE)</f>
        <v>0.39700000000000002</v>
      </c>
      <c r="AT135">
        <v>0.70899999999999996</v>
      </c>
      <c r="AU135">
        <v>0.52600000000000002</v>
      </c>
      <c r="AV135">
        <v>0.67200000000000004</v>
      </c>
      <c r="AW135">
        <v>0.82399999999999995</v>
      </c>
      <c r="AX135">
        <v>0.75700000000000001</v>
      </c>
      <c r="AY135">
        <v>0.41499999999999998</v>
      </c>
      <c r="AZ135">
        <v>0.68799999999999994</v>
      </c>
      <c r="BA135">
        <v>0.128</v>
      </c>
      <c r="BB135" cm="1">
        <f t="array" ref="BB135:BP135">VLOOKUP(A135,pitchvalue_pitchers_2019!A:Q,{3,4,5,6,7,8,9,10,11,12,13,14,15,16,17},FALSE)</f>
        <v>1.7</v>
      </c>
      <c r="BC135">
        <v>-3.9</v>
      </c>
      <c r="BD135">
        <v>0</v>
      </c>
      <c r="BE135">
        <v>0</v>
      </c>
      <c r="BF135">
        <v>3.7</v>
      </c>
      <c r="BG135">
        <v>0</v>
      </c>
      <c r="BH135">
        <v>0</v>
      </c>
      <c r="BI135">
        <v>0.4</v>
      </c>
      <c r="BJ135">
        <v>-4.5</v>
      </c>
      <c r="BK135">
        <v>0</v>
      </c>
      <c r="BL135">
        <v>0</v>
      </c>
      <c r="BM135">
        <v>1.19</v>
      </c>
      <c r="BN135">
        <v>0</v>
      </c>
      <c r="BO135">
        <v>0</v>
      </c>
      <c r="BP135">
        <v>3132</v>
      </c>
      <c r="BQ135" cm="1">
        <f t="array" ref="BQ135:CH135">VLOOKUP(A135,battedball_pitchers_2019!A:U,{3,4,5,6,7,8,9,10,11,12,13,14,15,16,17,18,19,20},FALSE)</f>
        <v>0.28699999999999998</v>
      </c>
      <c r="BR135">
        <v>1.23</v>
      </c>
      <c r="BS135">
        <v>0.20499999999999999</v>
      </c>
      <c r="BT135">
        <v>0.439</v>
      </c>
      <c r="BU135">
        <v>0.35699999999999998</v>
      </c>
      <c r="BV135">
        <v>0.115</v>
      </c>
      <c r="BW135">
        <v>0.14799999999999999</v>
      </c>
      <c r="BX135">
        <v>18</v>
      </c>
      <c r="BY135">
        <v>3</v>
      </c>
      <c r="BZ135">
        <v>264</v>
      </c>
      <c r="CA135">
        <v>549</v>
      </c>
      <c r="CB135">
        <v>813</v>
      </c>
      <c r="CC135">
        <v>0.30599999999999999</v>
      </c>
      <c r="CD135">
        <v>0.42799999999999999</v>
      </c>
      <c r="CE135">
        <v>0.26600000000000001</v>
      </c>
      <c r="CF135">
        <v>0.22500000000000001</v>
      </c>
      <c r="CG135">
        <v>0.41599999999999998</v>
      </c>
      <c r="CH135">
        <v>0.35799999999999998</v>
      </c>
      <c r="CI135" cm="1">
        <f t="array" ref="CI135:CS135">VLOOKUP(A135,verticalmove_pitchers_2019!A:N,{3,4,5,6,7,8,9,10,11,12,13},FALSE)</f>
        <v>54</v>
      </c>
      <c r="CJ135">
        <v>5.0999999999999996</v>
      </c>
      <c r="CK135">
        <v>0</v>
      </c>
      <c r="CL135">
        <v>0</v>
      </c>
      <c r="CM135">
        <v>3.7</v>
      </c>
      <c r="CN135">
        <v>2.9</v>
      </c>
      <c r="CO135">
        <v>2.2000000000000002</v>
      </c>
      <c r="CP135">
        <v>0</v>
      </c>
      <c r="CQ135">
        <v>0</v>
      </c>
      <c r="CR135">
        <v>0</v>
      </c>
      <c r="CS135">
        <v>0</v>
      </c>
      <c r="CT135" cm="1">
        <f t="array" ref="CT135:DD135">VLOOKUP(A135,velocity_pitchers_2019!A:N,{3,4,5,6,7,8,9,10,11,12,13},FALSE)</f>
        <v>54</v>
      </c>
      <c r="CU135">
        <v>93.5</v>
      </c>
      <c r="CV135">
        <v>0</v>
      </c>
      <c r="CW135">
        <v>0</v>
      </c>
      <c r="CX135">
        <v>93.1</v>
      </c>
      <c r="CY135">
        <v>86.4</v>
      </c>
      <c r="CZ135">
        <v>85.9</v>
      </c>
      <c r="DA135">
        <v>0</v>
      </c>
      <c r="DB135">
        <v>0</v>
      </c>
      <c r="DC135">
        <v>0</v>
      </c>
      <c r="DD135">
        <v>0</v>
      </c>
    </row>
    <row r="136" spans="1:108" x14ac:dyDescent="0.3">
      <c r="A136" t="s">
        <v>162</v>
      </c>
      <c r="B136" t="str" cm="1">
        <f t="array" ref="B136:Y136">VLOOKUP(A136,standard_pitchers_2019!A:Y,{2,3,4,5,6,7,8,9,10,11,12,13,14,15,16,17,18,19,20,21,22,23,24,25},FALSE)</f>
        <v>Braves</v>
      </c>
      <c r="C136">
        <v>8</v>
      </c>
      <c r="D136">
        <v>8</v>
      </c>
      <c r="E136">
        <v>3.75</v>
      </c>
      <c r="F136">
        <v>19</v>
      </c>
      <c r="G136">
        <v>19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112.2</v>
      </c>
      <c r="N136">
        <v>487</v>
      </c>
      <c r="O136">
        <v>115</v>
      </c>
      <c r="P136">
        <v>50</v>
      </c>
      <c r="Q136">
        <v>47</v>
      </c>
      <c r="R136">
        <v>16</v>
      </c>
      <c r="S136">
        <v>39</v>
      </c>
      <c r="T136">
        <v>1</v>
      </c>
      <c r="U136">
        <v>9</v>
      </c>
      <c r="V136">
        <v>6</v>
      </c>
      <c r="W136">
        <v>0</v>
      </c>
      <c r="X136">
        <v>91</v>
      </c>
      <c r="Y136">
        <v>9434</v>
      </c>
      <c r="Z136" cm="1">
        <f t="array" ref="Z136:AR136">VLOOKUP(A136,advanced_pitchers_2019!A:Y,{3,4,5,6,7,8,9,10,11,12,13,14,15,16,17,18,19,20,21},FALSE)</f>
        <v>7.27</v>
      </c>
      <c r="AA136">
        <v>3.12</v>
      </c>
      <c r="AB136">
        <v>2.33</v>
      </c>
      <c r="AC136">
        <v>1.28</v>
      </c>
      <c r="AD136">
        <v>0.187</v>
      </c>
      <c r="AE136">
        <v>0.08</v>
      </c>
      <c r="AF136">
        <v>0.107</v>
      </c>
      <c r="AG136">
        <v>0.26200000000000001</v>
      </c>
      <c r="AH136">
        <v>1.37</v>
      </c>
      <c r="AI136">
        <v>0.29799999999999999</v>
      </c>
      <c r="AJ136">
        <v>0.80400000000000005</v>
      </c>
      <c r="AK136">
        <v>85</v>
      </c>
      <c r="AL136">
        <v>108</v>
      </c>
      <c r="AM136">
        <v>91</v>
      </c>
      <c r="AN136">
        <v>3.75</v>
      </c>
      <c r="AO136">
        <v>4.72</v>
      </c>
      <c r="AP136">
        <v>-0.97</v>
      </c>
      <c r="AQ136">
        <v>4.0599999999999996</v>
      </c>
      <c r="AR136">
        <v>4.3899999999999997</v>
      </c>
      <c r="AS136" cm="1">
        <f t="array" ref="AS136:BA136">VLOOKUP(A136,plate_discipline_pitchers_2019!A:L,{3,4,5,6,7,8,9,10,11},FALSE)</f>
        <v>0.33500000000000002</v>
      </c>
      <c r="AT136">
        <v>0.66500000000000004</v>
      </c>
      <c r="AU136">
        <v>0.44600000000000001</v>
      </c>
      <c r="AV136">
        <v>0.71599999999999997</v>
      </c>
      <c r="AW136">
        <v>0.89400000000000002</v>
      </c>
      <c r="AX136">
        <v>0.80500000000000005</v>
      </c>
      <c r="AY136">
        <v>0.33600000000000002</v>
      </c>
      <c r="AZ136">
        <v>0.55900000000000005</v>
      </c>
      <c r="BA136">
        <v>8.6999999999999994E-2</v>
      </c>
      <c r="BB136" cm="1">
        <f t="array" ref="BB136:BP136">VLOOKUP(A136,pitchvalue_pitchers_2019!A:Q,{3,4,5,6,7,8,9,10,11,12,13,14,15,16,17},FALSE)</f>
        <v>1.6</v>
      </c>
      <c r="BC136">
        <v>-2.5</v>
      </c>
      <c r="BD136">
        <v>-0.2</v>
      </c>
      <c r="BE136">
        <v>0</v>
      </c>
      <c r="BF136">
        <v>2</v>
      </c>
      <c r="BG136">
        <v>0</v>
      </c>
      <c r="BH136">
        <v>0</v>
      </c>
      <c r="BI136">
        <v>0.16</v>
      </c>
      <c r="BJ136">
        <v>-1.19</v>
      </c>
      <c r="BK136">
        <v>-0.05</v>
      </c>
      <c r="BL136">
        <v>0</v>
      </c>
      <c r="BM136">
        <v>0.72</v>
      </c>
      <c r="BN136">
        <v>0</v>
      </c>
      <c r="BO136">
        <v>0</v>
      </c>
      <c r="BP136">
        <v>9434</v>
      </c>
      <c r="BQ136" cm="1">
        <f t="array" ref="BQ136:CH136">VLOOKUP(A136,battedball_pitchers_2019!A:U,{3,4,5,6,7,8,9,10,11,12,13,14,15,16,17,18,19,20},FALSE)</f>
        <v>0.29799999999999999</v>
      </c>
      <c r="BR136">
        <v>3.06</v>
      </c>
      <c r="BS136">
        <v>0.20200000000000001</v>
      </c>
      <c r="BT136">
        <v>0.60099999999999998</v>
      </c>
      <c r="BU136">
        <v>0.19600000000000001</v>
      </c>
      <c r="BV136">
        <v>7.4999999999999997E-2</v>
      </c>
      <c r="BW136">
        <v>0.23899999999999999</v>
      </c>
      <c r="BX136">
        <v>45</v>
      </c>
      <c r="BY136">
        <v>3.59</v>
      </c>
      <c r="BZ136">
        <v>713</v>
      </c>
      <c r="CA136">
        <v>1151</v>
      </c>
      <c r="CB136">
        <v>1864</v>
      </c>
      <c r="CC136">
        <v>0.48599999999999999</v>
      </c>
      <c r="CD136">
        <v>0.33900000000000002</v>
      </c>
      <c r="CE136">
        <v>0.17499999999999999</v>
      </c>
      <c r="CF136">
        <v>0.20399999999999999</v>
      </c>
      <c r="CG136">
        <v>0.42799999999999999</v>
      </c>
      <c r="CH136">
        <v>0.36799999999999999</v>
      </c>
      <c r="CI136" cm="1">
        <f t="array" ref="CI136:CS136">VLOOKUP(A136,verticalmove_pitchers_2019!A:N,{3,4,5,6,7,8,9,10,11,12,13},FALSE)</f>
        <v>112.2</v>
      </c>
      <c r="CJ136">
        <v>7.1</v>
      </c>
      <c r="CK136">
        <v>3.7</v>
      </c>
      <c r="CL136">
        <v>0</v>
      </c>
      <c r="CM136">
        <v>2.4</v>
      </c>
      <c r="CN136">
        <v>1.4</v>
      </c>
      <c r="CO136">
        <v>-1.1000000000000001</v>
      </c>
      <c r="CP136">
        <v>0</v>
      </c>
      <c r="CQ136">
        <v>0</v>
      </c>
      <c r="CR136">
        <v>0</v>
      </c>
      <c r="CS136">
        <v>0</v>
      </c>
      <c r="CT136" cm="1">
        <f t="array" ref="CT136:DD136">VLOOKUP(A136,velocity_pitchers_2019!A:N,{3,4,5,6,7,8,9,10,11,12,13},FALSE)</f>
        <v>112.2</v>
      </c>
      <c r="CU136">
        <v>89.5</v>
      </c>
      <c r="CV136">
        <v>86.1</v>
      </c>
      <c r="CW136">
        <v>0</v>
      </c>
      <c r="CX136">
        <v>88.3</v>
      </c>
      <c r="CY136">
        <v>79.7</v>
      </c>
      <c r="CZ136">
        <v>78.3</v>
      </c>
      <c r="DA136">
        <v>0</v>
      </c>
      <c r="DB136">
        <v>0</v>
      </c>
      <c r="DC136">
        <v>0</v>
      </c>
      <c r="DD136">
        <v>0</v>
      </c>
    </row>
    <row r="137" spans="1:108" x14ac:dyDescent="0.3">
      <c r="A137" t="s">
        <v>351</v>
      </c>
      <c r="B137" t="str" cm="1">
        <f t="array" ref="B137:Y137">VLOOKUP(A137,standard_pitchers_2019!A:Y,{2,3,4,5,6,7,8,9,10,11,12,13,14,15,16,17,18,19,20,21,22,23,24,25},FALSE)</f>
        <v>Padres</v>
      </c>
      <c r="C137">
        <v>1</v>
      </c>
      <c r="D137">
        <v>3</v>
      </c>
      <c r="E137">
        <v>5.65</v>
      </c>
      <c r="F137">
        <v>51</v>
      </c>
      <c r="G137">
        <v>1</v>
      </c>
      <c r="H137">
        <v>0</v>
      </c>
      <c r="I137">
        <v>0</v>
      </c>
      <c r="J137">
        <v>1</v>
      </c>
      <c r="K137">
        <v>16</v>
      </c>
      <c r="L137">
        <v>3</v>
      </c>
      <c r="M137">
        <v>51</v>
      </c>
      <c r="N137">
        <v>218</v>
      </c>
      <c r="O137">
        <v>34</v>
      </c>
      <c r="P137">
        <v>32</v>
      </c>
      <c r="Q137">
        <v>32</v>
      </c>
      <c r="R137">
        <v>5</v>
      </c>
      <c r="S137">
        <v>28</v>
      </c>
      <c r="T137">
        <v>0</v>
      </c>
      <c r="U137">
        <v>5</v>
      </c>
      <c r="V137">
        <v>4</v>
      </c>
      <c r="W137">
        <v>0</v>
      </c>
      <c r="X137">
        <v>72</v>
      </c>
      <c r="Y137">
        <v>17793</v>
      </c>
      <c r="Z137" cm="1">
        <f t="array" ref="Z137:AR137">VLOOKUP(A137,advanced_pitchers_2019!A:Y,{3,4,5,6,7,8,9,10,11,12,13,14,15,16,17,18,19,20,21},FALSE)</f>
        <v>12.71</v>
      </c>
      <c r="AA137">
        <v>4.9400000000000004</v>
      </c>
      <c r="AB137">
        <v>2.57</v>
      </c>
      <c r="AC137">
        <v>0.88</v>
      </c>
      <c r="AD137">
        <v>0.33</v>
      </c>
      <c r="AE137">
        <v>0.128</v>
      </c>
      <c r="AF137">
        <v>0.20200000000000001</v>
      </c>
      <c r="AG137">
        <v>0.184</v>
      </c>
      <c r="AH137">
        <v>1.22</v>
      </c>
      <c r="AI137">
        <v>0.26900000000000002</v>
      </c>
      <c r="AJ137">
        <v>0.58299999999999996</v>
      </c>
      <c r="AK137">
        <v>132</v>
      </c>
      <c r="AL137">
        <v>82</v>
      </c>
      <c r="AM137">
        <v>92</v>
      </c>
      <c r="AN137">
        <v>5.65</v>
      </c>
      <c r="AO137">
        <v>3.61</v>
      </c>
      <c r="AP137">
        <v>2.04</v>
      </c>
      <c r="AQ137">
        <v>4.09</v>
      </c>
      <c r="AR137">
        <v>3.73</v>
      </c>
      <c r="AS137" cm="1">
        <f t="array" ref="AS137:BA137">VLOOKUP(A137,plate_discipline_pitchers_2019!A:L,{3,4,5,6,7,8,9,10,11},FALSE)</f>
        <v>0.29199999999999998</v>
      </c>
      <c r="AT137">
        <v>0.69099999999999995</v>
      </c>
      <c r="AU137">
        <v>0.45900000000000002</v>
      </c>
      <c r="AV137">
        <v>0.36399999999999999</v>
      </c>
      <c r="AW137">
        <v>0.84</v>
      </c>
      <c r="AX137">
        <v>0.66300000000000003</v>
      </c>
      <c r="AY137">
        <v>0.41799999999999998</v>
      </c>
      <c r="AZ137">
        <v>0.59199999999999997</v>
      </c>
      <c r="BA137">
        <v>0.155</v>
      </c>
      <c r="BB137" cm="1">
        <f t="array" ref="BB137:BP137">VLOOKUP(A137,pitchvalue_pitchers_2019!A:Q,{3,4,5,6,7,8,9,10,11,12,13,14,15,16,17},FALSE)</f>
        <v>1.6</v>
      </c>
      <c r="BC137">
        <v>5.8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0.32</v>
      </c>
      <c r="BJ137">
        <v>1.43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17793</v>
      </c>
      <c r="BQ137" cm="1">
        <f t="array" ref="BQ137:CH137">VLOOKUP(A137,battedball_pitchers_2019!A:U,{3,4,5,6,7,8,9,10,11,12,13,14,15,16,17,18,19,20},FALSE)</f>
        <v>0.26900000000000002</v>
      </c>
      <c r="BR137">
        <v>0.89</v>
      </c>
      <c r="BS137">
        <v>0.24099999999999999</v>
      </c>
      <c r="BT137">
        <v>0.35699999999999998</v>
      </c>
      <c r="BU137">
        <v>0.40200000000000002</v>
      </c>
      <c r="BV137">
        <v>0.111</v>
      </c>
      <c r="BW137">
        <v>0.111</v>
      </c>
      <c r="BX137">
        <v>22</v>
      </c>
      <c r="BY137">
        <v>3.88</v>
      </c>
      <c r="BZ137">
        <v>333</v>
      </c>
      <c r="CA137">
        <v>573</v>
      </c>
      <c r="CB137">
        <v>906</v>
      </c>
      <c r="CC137">
        <v>0.38900000000000001</v>
      </c>
      <c r="CD137">
        <v>0.34499999999999997</v>
      </c>
      <c r="CE137">
        <v>0.26500000000000001</v>
      </c>
      <c r="CF137">
        <v>0.186</v>
      </c>
      <c r="CG137">
        <v>0.41599999999999998</v>
      </c>
      <c r="CH137">
        <v>0.39800000000000002</v>
      </c>
      <c r="CI137" cm="1">
        <f t="array" ref="CI137:CS137">VLOOKUP(A137,verticalmove_pitchers_2019!A:N,{3,4,5,6,7,8,9,10,11,12,13},FALSE)</f>
        <v>51</v>
      </c>
      <c r="CJ137">
        <v>8.8000000000000007</v>
      </c>
      <c r="CK137">
        <v>-1.4</v>
      </c>
      <c r="CL137">
        <v>0</v>
      </c>
      <c r="CM137">
        <v>0</v>
      </c>
      <c r="CN137">
        <v>0</v>
      </c>
      <c r="CO137">
        <v>-1.1000000000000001</v>
      </c>
      <c r="CP137">
        <v>0</v>
      </c>
      <c r="CQ137">
        <v>0</v>
      </c>
      <c r="CR137">
        <v>0</v>
      </c>
      <c r="CS137">
        <v>0</v>
      </c>
      <c r="CT137" cm="1">
        <f t="array" ref="CT137:DD137">VLOOKUP(A137,velocity_pitchers_2019!A:N,{3,4,5,6,7,8,9,10,11,12,13},FALSE)</f>
        <v>51</v>
      </c>
      <c r="CU137">
        <v>96.3</v>
      </c>
      <c r="CV137">
        <v>86</v>
      </c>
      <c r="CW137">
        <v>0</v>
      </c>
      <c r="CX137">
        <v>0</v>
      </c>
      <c r="CY137">
        <v>0</v>
      </c>
      <c r="CZ137">
        <v>86.1</v>
      </c>
      <c r="DA137">
        <v>0</v>
      </c>
      <c r="DB137">
        <v>0</v>
      </c>
      <c r="DC137">
        <v>0</v>
      </c>
      <c r="DD137">
        <v>0</v>
      </c>
    </row>
    <row r="138" spans="1:108" x14ac:dyDescent="0.3">
      <c r="A138" t="s">
        <v>227</v>
      </c>
      <c r="B138" t="str" cm="1">
        <f t="array" ref="B138:Y138">VLOOKUP(A138,standard_pitchers_2019!A:Y,{2,3,4,5,6,7,8,9,10,11,12,13,14,15,16,17,18,19,20,21,22,23,24,25},FALSE)</f>
        <v>Mets</v>
      </c>
      <c r="C138">
        <v>10</v>
      </c>
      <c r="D138">
        <v>8</v>
      </c>
      <c r="E138">
        <v>4.28</v>
      </c>
      <c r="F138">
        <v>32</v>
      </c>
      <c r="G138">
        <v>32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197.2</v>
      </c>
      <c r="N138">
        <v>825</v>
      </c>
      <c r="O138">
        <v>194</v>
      </c>
      <c r="P138">
        <v>101</v>
      </c>
      <c r="Q138">
        <v>94</v>
      </c>
      <c r="R138">
        <v>24</v>
      </c>
      <c r="S138">
        <v>50</v>
      </c>
      <c r="T138">
        <v>2</v>
      </c>
      <c r="U138">
        <v>6</v>
      </c>
      <c r="V138">
        <v>4</v>
      </c>
      <c r="W138">
        <v>0</v>
      </c>
      <c r="X138">
        <v>202</v>
      </c>
      <c r="Y138">
        <v>11762</v>
      </c>
      <c r="Z138" cm="1">
        <f t="array" ref="Z138:AR138">VLOOKUP(A138,advanced_pitchers_2019!A:Y,{3,4,5,6,7,8,9,10,11,12,13,14,15,16,17,18,19,20,21},FALSE)</f>
        <v>9.1999999999999993</v>
      </c>
      <c r="AA138">
        <v>2.2799999999999998</v>
      </c>
      <c r="AB138">
        <v>4.04</v>
      </c>
      <c r="AC138">
        <v>1.0900000000000001</v>
      </c>
      <c r="AD138">
        <v>0.245</v>
      </c>
      <c r="AE138">
        <v>6.0999999999999999E-2</v>
      </c>
      <c r="AF138">
        <v>0.184</v>
      </c>
      <c r="AG138">
        <v>0.252</v>
      </c>
      <c r="AH138">
        <v>1.23</v>
      </c>
      <c r="AI138">
        <v>0.313</v>
      </c>
      <c r="AJ138">
        <v>0.68899999999999995</v>
      </c>
      <c r="AK138">
        <v>103</v>
      </c>
      <c r="AL138">
        <v>83</v>
      </c>
      <c r="AM138">
        <v>86</v>
      </c>
      <c r="AN138">
        <v>4.28</v>
      </c>
      <c r="AO138">
        <v>3.6</v>
      </c>
      <c r="AP138">
        <v>0.68</v>
      </c>
      <c r="AQ138">
        <v>3.83</v>
      </c>
      <c r="AR138">
        <v>4.0199999999999996</v>
      </c>
      <c r="AS138" cm="1">
        <f t="array" ref="AS138:BA138">VLOOKUP(A138,plate_discipline_pitchers_2019!A:L,{3,4,5,6,7,8,9,10,11},FALSE)</f>
        <v>0.33500000000000002</v>
      </c>
      <c r="AT138">
        <v>0.71899999999999997</v>
      </c>
      <c r="AU138">
        <v>0.504</v>
      </c>
      <c r="AV138">
        <v>0.63600000000000001</v>
      </c>
      <c r="AW138">
        <v>0.82</v>
      </c>
      <c r="AX138">
        <v>0.751</v>
      </c>
      <c r="AY138">
        <v>0.439</v>
      </c>
      <c r="AZ138">
        <v>0.65800000000000003</v>
      </c>
      <c r="BA138">
        <v>0.125</v>
      </c>
      <c r="BB138" cm="1">
        <f t="array" ref="BB138:BP138">VLOOKUP(A138,pitchvalue_pitchers_2019!A:Q,{3,4,5,6,7,8,9,10,11,12,13,14,15,16,17},FALSE)</f>
        <v>1.6</v>
      </c>
      <c r="BC138">
        <v>1.8</v>
      </c>
      <c r="BD138">
        <v>0</v>
      </c>
      <c r="BE138">
        <v>2.5</v>
      </c>
      <c r="BF138">
        <v>7</v>
      </c>
      <c r="BG138">
        <v>0</v>
      </c>
      <c r="BH138">
        <v>0</v>
      </c>
      <c r="BI138">
        <v>0.09</v>
      </c>
      <c r="BJ138">
        <v>0.38</v>
      </c>
      <c r="BK138">
        <v>0</v>
      </c>
      <c r="BL138">
        <v>0.86</v>
      </c>
      <c r="BM138">
        <v>1.42</v>
      </c>
      <c r="BN138">
        <v>0</v>
      </c>
      <c r="BO138">
        <v>0</v>
      </c>
      <c r="BP138">
        <v>11762</v>
      </c>
      <c r="BQ138" cm="1">
        <f t="array" ref="BQ138:CH138">VLOOKUP(A138,battedball_pitchers_2019!A:U,{3,4,5,6,7,8,9,10,11,12,13,14,15,16,17,18,19,20},FALSE)</f>
        <v>0.313</v>
      </c>
      <c r="BR138">
        <v>1.49</v>
      </c>
      <c r="BS138">
        <v>0.19800000000000001</v>
      </c>
      <c r="BT138">
        <v>0.48</v>
      </c>
      <c r="BU138">
        <v>0.32100000000000001</v>
      </c>
      <c r="BV138">
        <v>0.11700000000000001</v>
      </c>
      <c r="BW138">
        <v>0.13300000000000001</v>
      </c>
      <c r="BX138">
        <v>120</v>
      </c>
      <c r="BY138">
        <v>5.46</v>
      </c>
      <c r="BZ138">
        <v>1002</v>
      </c>
      <c r="CA138">
        <v>2093</v>
      </c>
      <c r="CB138">
        <v>3095</v>
      </c>
      <c r="CC138">
        <v>0.40600000000000003</v>
      </c>
      <c r="CD138">
        <v>0.34</v>
      </c>
      <c r="CE138">
        <v>0.254</v>
      </c>
      <c r="CF138">
        <v>0.215</v>
      </c>
      <c r="CG138">
        <v>0.496</v>
      </c>
      <c r="CH138">
        <v>0.28899999999999998</v>
      </c>
      <c r="CI138" cm="1">
        <f t="array" ref="CI138:CS138">VLOOKUP(A138,verticalmove_pitchers_2019!A:N,{3,4,5,6,7,8,9,10,11,12,13},FALSE)</f>
        <v>197.2</v>
      </c>
      <c r="CJ138">
        <v>8</v>
      </c>
      <c r="CK138">
        <v>0</v>
      </c>
      <c r="CL138">
        <v>0</v>
      </c>
      <c r="CM138">
        <v>5.0999999999999996</v>
      </c>
      <c r="CN138">
        <v>4.0999999999999996</v>
      </c>
      <c r="CO138">
        <v>-0.3</v>
      </c>
      <c r="CP138">
        <v>-2.7</v>
      </c>
      <c r="CQ138">
        <v>0</v>
      </c>
      <c r="CR138">
        <v>0</v>
      </c>
      <c r="CS138">
        <v>0</v>
      </c>
      <c r="CT138" cm="1">
        <f t="array" ref="CT138:DD138">VLOOKUP(A138,velocity_pitchers_2019!A:N,{3,4,5,6,7,8,9,10,11,12,13},FALSE)</f>
        <v>197.2</v>
      </c>
      <c r="CU138">
        <v>98.1</v>
      </c>
      <c r="CV138">
        <v>0</v>
      </c>
      <c r="CW138">
        <v>0</v>
      </c>
      <c r="CX138">
        <v>97.9</v>
      </c>
      <c r="CY138">
        <v>91.5</v>
      </c>
      <c r="CZ138">
        <v>89.4</v>
      </c>
      <c r="DA138">
        <v>80.7</v>
      </c>
      <c r="DB138">
        <v>0</v>
      </c>
      <c r="DC138">
        <v>0</v>
      </c>
      <c r="DD138">
        <v>0</v>
      </c>
    </row>
    <row r="139" spans="1:108" x14ac:dyDescent="0.3">
      <c r="A139" t="s">
        <v>225</v>
      </c>
      <c r="B139" t="str" cm="1">
        <f t="array" ref="B139:Y139">VLOOKUP(A139,standard_pitchers_2019!A:Y,{2,3,4,5,6,7,8,9,10,11,12,13,14,15,16,17,18,19,20,21,22,23,24,25},FALSE)</f>
        <v>Royals</v>
      </c>
      <c r="C139">
        <v>3</v>
      </c>
      <c r="D139">
        <v>3</v>
      </c>
      <c r="E139">
        <v>4.22</v>
      </c>
      <c r="F139">
        <v>61</v>
      </c>
      <c r="G139">
        <v>0</v>
      </c>
      <c r="H139">
        <v>0</v>
      </c>
      <c r="I139">
        <v>0</v>
      </c>
      <c r="J139">
        <v>1</v>
      </c>
      <c r="K139">
        <v>14</v>
      </c>
      <c r="L139">
        <v>2</v>
      </c>
      <c r="M139">
        <v>70.099999999999994</v>
      </c>
      <c r="N139">
        <v>310</v>
      </c>
      <c r="O139">
        <v>64</v>
      </c>
      <c r="P139">
        <v>33</v>
      </c>
      <c r="Q139">
        <v>33</v>
      </c>
      <c r="R139">
        <v>6</v>
      </c>
      <c r="S139">
        <v>37</v>
      </c>
      <c r="T139">
        <v>3</v>
      </c>
      <c r="U139">
        <v>3</v>
      </c>
      <c r="V139">
        <v>5</v>
      </c>
      <c r="W139">
        <v>1</v>
      </c>
      <c r="X139">
        <v>92</v>
      </c>
      <c r="Y139">
        <v>14993</v>
      </c>
      <c r="Z139" cm="1">
        <f t="array" ref="Z139:AR139">VLOOKUP(A139,advanced_pitchers_2019!A:Y,{3,4,5,6,7,8,9,10,11,12,13,14,15,16,17,18,19,20,21},FALSE)</f>
        <v>11.77</v>
      </c>
      <c r="AA139">
        <v>4.7300000000000004</v>
      </c>
      <c r="AB139">
        <v>2.4900000000000002</v>
      </c>
      <c r="AC139">
        <v>0.77</v>
      </c>
      <c r="AD139">
        <v>0.29699999999999999</v>
      </c>
      <c r="AE139">
        <v>0.11899999999999999</v>
      </c>
      <c r="AF139">
        <v>0.17699999999999999</v>
      </c>
      <c r="AG139">
        <v>0.23699999999999999</v>
      </c>
      <c r="AH139">
        <v>1.44</v>
      </c>
      <c r="AI139">
        <v>0.33700000000000002</v>
      </c>
      <c r="AJ139">
        <v>0.74299999999999999</v>
      </c>
      <c r="AK139">
        <v>90</v>
      </c>
      <c r="AL139">
        <v>76</v>
      </c>
      <c r="AM139">
        <v>90</v>
      </c>
      <c r="AN139">
        <v>4.22</v>
      </c>
      <c r="AO139">
        <v>3.41</v>
      </c>
      <c r="AP139">
        <v>0.81</v>
      </c>
      <c r="AQ139">
        <v>4.1100000000000003</v>
      </c>
      <c r="AR139">
        <v>3.93</v>
      </c>
      <c r="AS139" cm="1">
        <f t="array" ref="AS139:BA139">VLOOKUP(A139,plate_discipline_pitchers_2019!A:L,{3,4,5,6,7,8,9,10,11},FALSE)</f>
        <v>0.34699999999999998</v>
      </c>
      <c r="AT139">
        <v>0.64</v>
      </c>
      <c r="AU139">
        <v>0.46100000000000002</v>
      </c>
      <c r="AV139">
        <v>0.54</v>
      </c>
      <c r="AW139">
        <v>0.81399999999999995</v>
      </c>
      <c r="AX139">
        <v>0.68799999999999994</v>
      </c>
      <c r="AY139">
        <v>0.38800000000000001</v>
      </c>
      <c r="AZ139">
        <v>0.58099999999999996</v>
      </c>
      <c r="BA139">
        <v>0.14399999999999999</v>
      </c>
      <c r="BB139" cm="1">
        <f t="array" ref="BB139:BP139">VLOOKUP(A139,pitchvalue_pitchers_2019!A:Q,{3,4,5,6,7,8,9,10,11,12,13,14,15,16,17},FALSE)</f>
        <v>1.6</v>
      </c>
      <c r="BC139">
        <v>1</v>
      </c>
      <c r="BD139">
        <v>0</v>
      </c>
      <c r="BE139">
        <v>1.4</v>
      </c>
      <c r="BF139">
        <v>-1.4</v>
      </c>
      <c r="BG139">
        <v>0</v>
      </c>
      <c r="BH139">
        <v>0</v>
      </c>
      <c r="BI139">
        <v>0.28000000000000003</v>
      </c>
      <c r="BJ139">
        <v>0.18</v>
      </c>
      <c r="BK139">
        <v>0</v>
      </c>
      <c r="BL139">
        <v>0.81</v>
      </c>
      <c r="BM139">
        <v>-68.13</v>
      </c>
      <c r="BN139">
        <v>0</v>
      </c>
      <c r="BO139">
        <v>0</v>
      </c>
      <c r="BP139">
        <v>14993</v>
      </c>
      <c r="BQ139" cm="1">
        <f t="array" ref="BQ139:CH139">VLOOKUP(A139,battedball_pitchers_2019!A:U,{3,4,5,6,7,8,9,10,11,12,13,14,15,16,17,18,19,20},FALSE)</f>
        <v>0.33700000000000002</v>
      </c>
      <c r="BR139">
        <v>1.0900000000000001</v>
      </c>
      <c r="BS139">
        <v>0.23400000000000001</v>
      </c>
      <c r="BT139">
        <v>0.4</v>
      </c>
      <c r="BU139">
        <v>0.36599999999999999</v>
      </c>
      <c r="BV139">
        <v>4.7E-2</v>
      </c>
      <c r="BW139">
        <v>9.4E-2</v>
      </c>
      <c r="BX139">
        <v>25</v>
      </c>
      <c r="BY139">
        <v>3.2</v>
      </c>
      <c r="BZ139">
        <v>481</v>
      </c>
      <c r="CA139">
        <v>819</v>
      </c>
      <c r="CB139">
        <v>1300</v>
      </c>
      <c r="CC139">
        <v>0.438</v>
      </c>
      <c r="CD139">
        <v>0.315</v>
      </c>
      <c r="CE139">
        <v>0.247</v>
      </c>
      <c r="CF139">
        <v>0.152</v>
      </c>
      <c r="CG139">
        <v>0.47799999999999998</v>
      </c>
      <c r="CH139">
        <v>0.371</v>
      </c>
      <c r="CI139" cm="1">
        <f t="array" ref="CI139:CS139">VLOOKUP(A139,verticalmove_pitchers_2019!A:N,{3,4,5,6,7,8,9,10,11,12,13},FALSE)</f>
        <v>70.099999999999994</v>
      </c>
      <c r="CJ139">
        <v>7.6</v>
      </c>
      <c r="CK139">
        <v>0</v>
      </c>
      <c r="CL139">
        <v>0</v>
      </c>
      <c r="CM139">
        <v>4.0999999999999996</v>
      </c>
      <c r="CN139">
        <v>6.3</v>
      </c>
      <c r="CO139">
        <v>-2.5</v>
      </c>
      <c r="CP139">
        <v>-7.6</v>
      </c>
      <c r="CQ139">
        <v>0</v>
      </c>
      <c r="CR139">
        <v>0</v>
      </c>
      <c r="CS139">
        <v>0</v>
      </c>
      <c r="CT139" cm="1">
        <f t="array" ref="CT139:DD139">VLOOKUP(A139,velocity_pitchers_2019!A:N,{3,4,5,6,7,8,9,10,11,12,13},FALSE)</f>
        <v>70.099999999999994</v>
      </c>
      <c r="CU139">
        <v>94.6</v>
      </c>
      <c r="CV139">
        <v>0</v>
      </c>
      <c r="CW139">
        <v>0</v>
      </c>
      <c r="CX139">
        <v>94.1</v>
      </c>
      <c r="CY139">
        <v>90.8</v>
      </c>
      <c r="CZ139">
        <v>84.1</v>
      </c>
      <c r="DA139">
        <v>77.7</v>
      </c>
      <c r="DB139">
        <v>0</v>
      </c>
      <c r="DC139">
        <v>0</v>
      </c>
      <c r="DD139">
        <v>0</v>
      </c>
    </row>
    <row r="140" spans="1:108" x14ac:dyDescent="0.3">
      <c r="A140" t="s">
        <v>299</v>
      </c>
      <c r="B140" t="str" cm="1">
        <f t="array" ref="B140:Y140">VLOOKUP(A140,standard_pitchers_2019!A:Y,{2,3,4,5,6,7,8,9,10,11,12,13,14,15,16,17,18,19,20,21,22,23,24,25},FALSE)</f>
        <v>- - -</v>
      </c>
      <c r="C140">
        <v>2</v>
      </c>
      <c r="D140">
        <v>10</v>
      </c>
      <c r="E140">
        <v>4.8499999999999996</v>
      </c>
      <c r="F140">
        <v>46</v>
      </c>
      <c r="G140">
        <v>18</v>
      </c>
      <c r="H140">
        <v>0</v>
      </c>
      <c r="I140">
        <v>0</v>
      </c>
      <c r="J140">
        <v>2</v>
      </c>
      <c r="K140">
        <v>12</v>
      </c>
      <c r="L140">
        <v>0</v>
      </c>
      <c r="M140">
        <v>104</v>
      </c>
      <c r="N140">
        <v>455</v>
      </c>
      <c r="O140">
        <v>105</v>
      </c>
      <c r="P140">
        <v>58</v>
      </c>
      <c r="Q140">
        <v>56</v>
      </c>
      <c r="R140">
        <v>21</v>
      </c>
      <c r="S140">
        <v>44</v>
      </c>
      <c r="T140">
        <v>0</v>
      </c>
      <c r="U140">
        <v>4</v>
      </c>
      <c r="V140">
        <v>1</v>
      </c>
      <c r="W140">
        <v>1</v>
      </c>
      <c r="X140">
        <v>137</v>
      </c>
      <c r="Y140">
        <v>11426</v>
      </c>
      <c r="Z140" cm="1">
        <f t="array" ref="Z140:AR140">VLOOKUP(A140,advanced_pitchers_2019!A:Y,{3,4,5,6,7,8,9,10,11,12,13,14,15,16,17,18,19,20,21},FALSE)</f>
        <v>11.86</v>
      </c>
      <c r="AA140">
        <v>3.81</v>
      </c>
      <c r="AB140">
        <v>3.11</v>
      </c>
      <c r="AC140">
        <v>1.82</v>
      </c>
      <c r="AD140">
        <v>0.30099999999999999</v>
      </c>
      <c r="AE140">
        <v>9.7000000000000003E-2</v>
      </c>
      <c r="AF140">
        <v>0.20399999999999999</v>
      </c>
      <c r="AG140">
        <v>0.25800000000000001</v>
      </c>
      <c r="AH140">
        <v>1.43</v>
      </c>
      <c r="AI140">
        <v>0.33700000000000002</v>
      </c>
      <c r="AJ140">
        <v>0.76900000000000002</v>
      </c>
      <c r="AK140">
        <v>115</v>
      </c>
      <c r="AL140">
        <v>109</v>
      </c>
      <c r="AM140">
        <v>87</v>
      </c>
      <c r="AN140">
        <v>4.8499999999999996</v>
      </c>
      <c r="AO140">
        <v>4.59</v>
      </c>
      <c r="AP140">
        <v>0.26</v>
      </c>
      <c r="AQ140">
        <v>3.88</v>
      </c>
      <c r="AR140">
        <v>3.86</v>
      </c>
      <c r="AS140" cm="1">
        <f t="array" ref="AS140:BA140">VLOOKUP(A140,plate_discipline_pitchers_2019!A:L,{3,4,5,6,7,8,9,10,11},FALSE)</f>
        <v>0.28899999999999998</v>
      </c>
      <c r="AT140">
        <v>0.66700000000000004</v>
      </c>
      <c r="AU140">
        <v>0.45300000000000001</v>
      </c>
      <c r="AV140">
        <v>0.64900000000000002</v>
      </c>
      <c r="AW140">
        <v>0.81499999999999995</v>
      </c>
      <c r="AX140">
        <v>0.755</v>
      </c>
      <c r="AY140">
        <v>0.435</v>
      </c>
      <c r="AZ140">
        <v>0.57599999999999996</v>
      </c>
      <c r="BA140">
        <v>0.111</v>
      </c>
      <c r="BB140" cm="1">
        <f t="array" ref="BB140:BP140">VLOOKUP(A140,pitchvalue_pitchers_2019!A:Q,{3,4,5,6,7,8,9,10,11,12,13,14,15,16,17},FALSE)</f>
        <v>1.5</v>
      </c>
      <c r="BC140">
        <v>0</v>
      </c>
      <c r="BD140">
        <v>-3.6</v>
      </c>
      <c r="BE140">
        <v>-2.2000000000000002</v>
      </c>
      <c r="BF140">
        <v>-0.2</v>
      </c>
      <c r="BG140">
        <v>0</v>
      </c>
      <c r="BH140">
        <v>0</v>
      </c>
      <c r="BI140">
        <v>0.12</v>
      </c>
      <c r="BJ140">
        <v>0</v>
      </c>
      <c r="BK140">
        <v>-3.17</v>
      </c>
      <c r="BL140">
        <v>-0.35</v>
      </c>
      <c r="BM140">
        <v>-0.55000000000000004</v>
      </c>
      <c r="BN140">
        <v>0</v>
      </c>
      <c r="BO140">
        <v>0</v>
      </c>
      <c r="BP140">
        <v>11426</v>
      </c>
      <c r="BQ140" cm="1">
        <f t="array" ref="BQ140:CH140">VLOOKUP(A140,battedball_pitchers_2019!A:U,{3,4,5,6,7,8,9,10,11,12,13,14,15,16,17,18,19,20},FALSE)</f>
        <v>0.33700000000000002</v>
      </c>
      <c r="BR140">
        <v>1.03</v>
      </c>
      <c r="BS140">
        <v>0.23100000000000001</v>
      </c>
      <c r="BT140">
        <v>0.39</v>
      </c>
      <c r="BU140">
        <v>0.379</v>
      </c>
      <c r="BV140">
        <v>0.08</v>
      </c>
      <c r="BW140">
        <v>0.21</v>
      </c>
      <c r="BX140">
        <v>50</v>
      </c>
      <c r="BY140">
        <v>4.33</v>
      </c>
      <c r="BZ140">
        <v>708</v>
      </c>
      <c r="CA140">
        <v>1248</v>
      </c>
      <c r="CB140">
        <v>1956</v>
      </c>
      <c r="CC140">
        <v>0.31900000000000001</v>
      </c>
      <c r="CD140">
        <v>0.35899999999999999</v>
      </c>
      <c r="CE140">
        <v>0.32200000000000001</v>
      </c>
      <c r="CF140">
        <v>0.14099999999999999</v>
      </c>
      <c r="CG140">
        <v>0.48099999999999998</v>
      </c>
      <c r="CH140">
        <v>0.378</v>
      </c>
      <c r="CI140" cm="1">
        <f t="array" ref="CI140:CS140">VLOOKUP(A140,verticalmove_pitchers_2019!A:N,{3,4,5,6,7,8,9,10,11,12,13},FALSE)</f>
        <v>104</v>
      </c>
      <c r="CJ140">
        <v>10.3</v>
      </c>
      <c r="CK140">
        <v>6.5</v>
      </c>
      <c r="CL140">
        <v>0</v>
      </c>
      <c r="CM140">
        <v>8</v>
      </c>
      <c r="CN140">
        <v>7</v>
      </c>
      <c r="CO140">
        <v>0</v>
      </c>
      <c r="CP140">
        <v>-9</v>
      </c>
      <c r="CQ140">
        <v>0</v>
      </c>
      <c r="CR140">
        <v>0</v>
      </c>
      <c r="CS140">
        <v>0</v>
      </c>
      <c r="CT140" cm="1">
        <f t="array" ref="CT140:DD140">VLOOKUP(A140,velocity_pitchers_2019!A:N,{3,4,5,6,7,8,9,10,11,12,13},FALSE)</f>
        <v>104</v>
      </c>
      <c r="CU140">
        <v>92.9</v>
      </c>
      <c r="CV140">
        <v>88.2</v>
      </c>
      <c r="CW140">
        <v>0</v>
      </c>
      <c r="CX140">
        <v>91.2</v>
      </c>
      <c r="CY140">
        <v>86</v>
      </c>
      <c r="CZ140">
        <v>0</v>
      </c>
      <c r="DA140">
        <v>81.400000000000006</v>
      </c>
      <c r="DB140">
        <v>0</v>
      </c>
      <c r="DC140">
        <v>0</v>
      </c>
      <c r="DD140">
        <v>0</v>
      </c>
    </row>
    <row r="141" spans="1:108" x14ac:dyDescent="0.3">
      <c r="A141" t="s">
        <v>272</v>
      </c>
      <c r="B141" t="str" cm="1">
        <f t="array" ref="B141:Y141">VLOOKUP(A141,standard_pitchers_2019!A:Y,{2,3,4,5,6,7,8,9,10,11,12,13,14,15,16,17,18,19,20,21,22,23,24,25},FALSE)</f>
        <v>Phillies</v>
      </c>
      <c r="C141">
        <v>8</v>
      </c>
      <c r="D141">
        <v>8</v>
      </c>
      <c r="E141">
        <v>4.6399999999999997</v>
      </c>
      <c r="F141">
        <v>24</v>
      </c>
      <c r="G141">
        <v>24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135.19999999999999</v>
      </c>
      <c r="N141">
        <v>594</v>
      </c>
      <c r="O141">
        <v>149</v>
      </c>
      <c r="P141">
        <v>76</v>
      </c>
      <c r="Q141">
        <v>70</v>
      </c>
      <c r="R141">
        <v>21</v>
      </c>
      <c r="S141">
        <v>51</v>
      </c>
      <c r="T141">
        <v>3</v>
      </c>
      <c r="U141">
        <v>7</v>
      </c>
      <c r="V141">
        <v>7</v>
      </c>
      <c r="W141">
        <v>0</v>
      </c>
      <c r="X141">
        <v>110</v>
      </c>
      <c r="Y141">
        <v>4153</v>
      </c>
      <c r="Z141" cm="1">
        <f t="array" ref="Z141:AR141">VLOOKUP(A141,advanced_pitchers_2019!A:Y,{3,4,5,6,7,8,9,10,11,12,13,14,15,16,17,18,19,20,21},FALSE)</f>
        <v>7.3</v>
      </c>
      <c r="AA141">
        <v>3.38</v>
      </c>
      <c r="AB141">
        <v>2.16</v>
      </c>
      <c r="AC141">
        <v>1.39</v>
      </c>
      <c r="AD141">
        <v>0.185</v>
      </c>
      <c r="AE141">
        <v>8.5999999999999993E-2</v>
      </c>
      <c r="AF141">
        <v>9.9000000000000005E-2</v>
      </c>
      <c r="AG141">
        <v>0.27800000000000002</v>
      </c>
      <c r="AH141">
        <v>1.47</v>
      </c>
      <c r="AI141">
        <v>0.316</v>
      </c>
      <c r="AJ141">
        <v>0.73799999999999999</v>
      </c>
      <c r="AK141">
        <v>105</v>
      </c>
      <c r="AL141">
        <v>108</v>
      </c>
      <c r="AM141">
        <v>101</v>
      </c>
      <c r="AN141">
        <v>4.6399999999999997</v>
      </c>
      <c r="AO141">
        <v>4.8899999999999997</v>
      </c>
      <c r="AP141">
        <v>-0.24</v>
      </c>
      <c r="AQ141">
        <v>4.46</v>
      </c>
      <c r="AR141">
        <v>4.82</v>
      </c>
      <c r="AS141" cm="1">
        <f t="array" ref="AS141:BA141">VLOOKUP(A141,plate_discipline_pitchers_2019!A:L,{3,4,5,6,7,8,9,10,11},FALSE)</f>
        <v>0.28299999999999997</v>
      </c>
      <c r="AT141">
        <v>0.64</v>
      </c>
      <c r="AU141">
        <v>0.434</v>
      </c>
      <c r="AV141">
        <v>0.73399999999999999</v>
      </c>
      <c r="AW141">
        <v>0.89600000000000002</v>
      </c>
      <c r="AX141">
        <v>0.83499999999999996</v>
      </c>
      <c r="AY141">
        <v>0.42399999999999999</v>
      </c>
      <c r="AZ141">
        <v>0.58899999999999997</v>
      </c>
      <c r="BA141">
        <v>7.1999999999999995E-2</v>
      </c>
      <c r="BB141" cm="1">
        <f t="array" ref="BB141:BP141">VLOOKUP(A141,pitchvalue_pitchers_2019!A:Q,{3,4,5,6,7,8,9,10,11,12,13,14,15,16,17},FALSE)</f>
        <v>1.4</v>
      </c>
      <c r="BC141">
        <v>0</v>
      </c>
      <c r="BD141">
        <v>-6.8</v>
      </c>
      <c r="BE141">
        <v>-0.9</v>
      </c>
      <c r="BF141">
        <v>-1.9</v>
      </c>
      <c r="BG141">
        <v>0</v>
      </c>
      <c r="BH141">
        <v>0</v>
      </c>
      <c r="BI141">
        <v>0.12</v>
      </c>
      <c r="BJ141">
        <v>0</v>
      </c>
      <c r="BK141">
        <v>-2.56</v>
      </c>
      <c r="BL141">
        <v>-0.31</v>
      </c>
      <c r="BM141">
        <v>-0.48</v>
      </c>
      <c r="BN141">
        <v>0</v>
      </c>
      <c r="BO141">
        <v>0</v>
      </c>
      <c r="BP141">
        <v>4153</v>
      </c>
      <c r="BQ141" cm="1">
        <f t="array" ref="BQ141:CH141">VLOOKUP(A141,battedball_pitchers_2019!A:U,{3,4,5,6,7,8,9,10,11,12,13,14,15,16,17,18,19,20},FALSE)</f>
        <v>0.316</v>
      </c>
      <c r="BR141">
        <v>2</v>
      </c>
      <c r="BS141">
        <v>0.23</v>
      </c>
      <c r="BT141">
        <v>0.51300000000000001</v>
      </c>
      <c r="BU141">
        <v>0.25700000000000001</v>
      </c>
      <c r="BV141">
        <v>6.5000000000000002E-2</v>
      </c>
      <c r="BW141">
        <v>0.19400000000000001</v>
      </c>
      <c r="BX141">
        <v>96</v>
      </c>
      <c r="BY141">
        <v>6.37</v>
      </c>
      <c r="BZ141">
        <v>806</v>
      </c>
      <c r="CA141">
        <v>1386</v>
      </c>
      <c r="CB141">
        <v>2192</v>
      </c>
      <c r="CC141">
        <v>0.39</v>
      </c>
      <c r="CD141">
        <v>0.38500000000000001</v>
      </c>
      <c r="CE141">
        <v>0.22500000000000001</v>
      </c>
      <c r="CF141">
        <v>0.16400000000000001</v>
      </c>
      <c r="CG141">
        <v>0.45300000000000001</v>
      </c>
      <c r="CH141">
        <v>0.38300000000000001</v>
      </c>
      <c r="CI141" cm="1">
        <f t="array" ref="CI141:CS141">VLOOKUP(A141,verticalmove_pitchers_2019!A:N,{3,4,5,6,7,8,9,10,11,12,13},FALSE)</f>
        <v>135.19999999999999</v>
      </c>
      <c r="CJ141">
        <v>7.7</v>
      </c>
      <c r="CK141">
        <v>0</v>
      </c>
      <c r="CL141">
        <v>0</v>
      </c>
      <c r="CM141">
        <v>4.7</v>
      </c>
      <c r="CN141">
        <v>-0.3</v>
      </c>
      <c r="CO141">
        <v>4.3</v>
      </c>
      <c r="CP141">
        <v>-6.9</v>
      </c>
      <c r="CQ141">
        <v>0</v>
      </c>
      <c r="CR141">
        <v>0</v>
      </c>
      <c r="CS141">
        <v>0</v>
      </c>
      <c r="CT141" cm="1">
        <f t="array" ref="CT141:DD141">VLOOKUP(A141,velocity_pitchers_2019!A:N,{3,4,5,6,7,8,9,10,11,12,13},FALSE)</f>
        <v>135.19999999999999</v>
      </c>
      <c r="CU141">
        <v>92.8</v>
      </c>
      <c r="CV141">
        <v>0</v>
      </c>
      <c r="CW141">
        <v>0</v>
      </c>
      <c r="CX141">
        <v>92.8</v>
      </c>
      <c r="CY141">
        <v>87.9</v>
      </c>
      <c r="CZ141">
        <v>90.1</v>
      </c>
      <c r="DA141">
        <v>80.900000000000006</v>
      </c>
      <c r="DB141">
        <v>0</v>
      </c>
      <c r="DC141">
        <v>0</v>
      </c>
      <c r="DD141">
        <v>0</v>
      </c>
    </row>
    <row r="142" spans="1:108" x14ac:dyDescent="0.3">
      <c r="A142" t="s">
        <v>111</v>
      </c>
      <c r="B142" t="str" cm="1">
        <f t="array" ref="B142:Y142">VLOOKUP(A142,standard_pitchers_2019!A:Y,{2,3,4,5,6,7,8,9,10,11,12,13,14,15,16,17,18,19,20,21,22,23,24,25},FALSE)</f>
        <v>Nationals</v>
      </c>
      <c r="C142">
        <v>14</v>
      </c>
      <c r="D142">
        <v>7</v>
      </c>
      <c r="E142">
        <v>3.25</v>
      </c>
      <c r="F142">
        <v>33</v>
      </c>
      <c r="G142">
        <v>33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202</v>
      </c>
      <c r="N142">
        <v>835</v>
      </c>
      <c r="O142">
        <v>169</v>
      </c>
      <c r="P142">
        <v>81</v>
      </c>
      <c r="Q142">
        <v>73</v>
      </c>
      <c r="R142">
        <v>24</v>
      </c>
      <c r="S142">
        <v>70</v>
      </c>
      <c r="T142">
        <v>2</v>
      </c>
      <c r="U142">
        <v>3</v>
      </c>
      <c r="V142">
        <v>4</v>
      </c>
      <c r="W142">
        <v>0</v>
      </c>
      <c r="X142">
        <v>238</v>
      </c>
      <c r="Y142">
        <v>9323</v>
      </c>
      <c r="Z142" cm="1">
        <f t="array" ref="Z142:AR142">VLOOKUP(A142,advanced_pitchers_2019!A:Y,{3,4,5,6,7,8,9,10,11,12,13,14,15,16,17,18,19,20,21},FALSE)</f>
        <v>10.6</v>
      </c>
      <c r="AA142">
        <v>3.12</v>
      </c>
      <c r="AB142">
        <v>3.4</v>
      </c>
      <c r="AC142">
        <v>1.07</v>
      </c>
      <c r="AD142">
        <v>0.28499999999999998</v>
      </c>
      <c r="AE142">
        <v>8.4000000000000005E-2</v>
      </c>
      <c r="AF142">
        <v>0.20100000000000001</v>
      </c>
      <c r="AG142">
        <v>0.222</v>
      </c>
      <c r="AH142">
        <v>1.18</v>
      </c>
      <c r="AI142">
        <v>0.28999999999999998</v>
      </c>
      <c r="AJ142">
        <v>0.77300000000000002</v>
      </c>
      <c r="AK142">
        <v>72</v>
      </c>
      <c r="AL142">
        <v>77</v>
      </c>
      <c r="AM142">
        <v>81</v>
      </c>
      <c r="AN142">
        <v>3.25</v>
      </c>
      <c r="AO142">
        <v>3.49</v>
      </c>
      <c r="AP142">
        <v>-0.23</v>
      </c>
      <c r="AQ142">
        <v>3.59</v>
      </c>
      <c r="AR142">
        <v>3.88</v>
      </c>
      <c r="AS142" cm="1">
        <f t="array" ref="AS142:BA142">VLOOKUP(A142,plate_discipline_pitchers_2019!A:L,{3,4,5,6,7,8,9,10,11},FALSE)</f>
        <v>0.35799999999999998</v>
      </c>
      <c r="AT142">
        <v>0.66400000000000003</v>
      </c>
      <c r="AU142">
        <v>0.46899999999999997</v>
      </c>
      <c r="AV142">
        <v>0.52</v>
      </c>
      <c r="AW142">
        <v>0.86199999999999999</v>
      </c>
      <c r="AX142">
        <v>0.69599999999999995</v>
      </c>
      <c r="AY142">
        <v>0.36299999999999999</v>
      </c>
      <c r="AZ142">
        <v>0.624</v>
      </c>
      <c r="BA142">
        <v>0.14299999999999999</v>
      </c>
      <c r="BB142" cm="1">
        <f t="array" ref="BB142:BP142">VLOOKUP(A142,pitchvalue_pitchers_2019!A:Q,{3,4,5,6,7,8,9,10,11,12,13,14,15,16,17},FALSE)</f>
        <v>1.4</v>
      </c>
      <c r="BC142">
        <v>21.8</v>
      </c>
      <c r="BD142">
        <v>0</v>
      </c>
      <c r="BE142">
        <v>1</v>
      </c>
      <c r="BF142">
        <v>-3.1</v>
      </c>
      <c r="BG142">
        <v>0</v>
      </c>
      <c r="BH142">
        <v>0</v>
      </c>
      <c r="BI142">
        <v>0.08</v>
      </c>
      <c r="BJ142">
        <v>1.78</v>
      </c>
      <c r="BK142">
        <v>0</v>
      </c>
      <c r="BL142">
        <v>0.87</v>
      </c>
      <c r="BM142">
        <v>-1.61</v>
      </c>
      <c r="BN142">
        <v>0</v>
      </c>
      <c r="BO142">
        <v>0</v>
      </c>
      <c r="BP142">
        <v>9323</v>
      </c>
      <c r="BQ142" cm="1">
        <f t="array" ref="BQ142:CH142">VLOOKUP(A142,battedball_pitchers_2019!A:U,{3,4,5,6,7,8,9,10,11,12,13,14,15,16,17,18,19,20},FALSE)</f>
        <v>0.28999999999999998</v>
      </c>
      <c r="BR142">
        <v>1.52</v>
      </c>
      <c r="BS142">
        <v>0.17899999999999999</v>
      </c>
      <c r="BT142">
        <v>0.495</v>
      </c>
      <c r="BU142">
        <v>0.32600000000000001</v>
      </c>
      <c r="BV142">
        <v>4.8000000000000001E-2</v>
      </c>
      <c r="BW142">
        <v>0.14399999999999999</v>
      </c>
      <c r="BX142">
        <v>122</v>
      </c>
      <c r="BY142">
        <v>5.44</v>
      </c>
      <c r="BZ142">
        <v>1241</v>
      </c>
      <c r="CA142">
        <v>2058</v>
      </c>
      <c r="CB142">
        <v>3299</v>
      </c>
      <c r="CC142">
        <v>0.372</v>
      </c>
      <c r="CD142">
        <v>0.36499999999999999</v>
      </c>
      <c r="CE142">
        <v>0.26300000000000001</v>
      </c>
      <c r="CF142">
        <v>0.16600000000000001</v>
      </c>
      <c r="CG142">
        <v>0.48899999999999999</v>
      </c>
      <c r="CH142">
        <v>0.34499999999999997</v>
      </c>
      <c r="CI142" cm="1">
        <f t="array" ref="CI142:CS142">VLOOKUP(A142,verticalmove_pitchers_2019!A:N,{3,4,5,6,7,8,9,10,11,12,13},FALSE)</f>
        <v>202</v>
      </c>
      <c r="CJ142">
        <v>8.3000000000000007</v>
      </c>
      <c r="CK142">
        <v>0</v>
      </c>
      <c r="CL142">
        <v>0</v>
      </c>
      <c r="CM142">
        <v>5.8</v>
      </c>
      <c r="CN142">
        <v>5.2</v>
      </c>
      <c r="CO142">
        <v>-1</v>
      </c>
      <c r="CP142">
        <v>-1.5</v>
      </c>
      <c r="CQ142">
        <v>0</v>
      </c>
      <c r="CR142">
        <v>0</v>
      </c>
      <c r="CS142">
        <v>0</v>
      </c>
      <c r="CT142" cm="1">
        <f t="array" ref="CT142:DD142">VLOOKUP(A142,velocity_pitchers_2019!A:N,{3,4,5,6,7,8,9,10,11,12,13},FALSE)</f>
        <v>202</v>
      </c>
      <c r="CU142">
        <v>92.2</v>
      </c>
      <c r="CV142">
        <v>0</v>
      </c>
      <c r="CW142">
        <v>0</v>
      </c>
      <c r="CX142">
        <v>92.1</v>
      </c>
      <c r="CY142">
        <v>82.1</v>
      </c>
      <c r="CZ142">
        <v>82</v>
      </c>
      <c r="DA142">
        <v>68.2</v>
      </c>
      <c r="DB142">
        <v>0</v>
      </c>
      <c r="DC142">
        <v>0</v>
      </c>
      <c r="DD142">
        <v>0</v>
      </c>
    </row>
    <row r="143" spans="1:108" x14ac:dyDescent="0.3">
      <c r="A143" t="s">
        <v>144</v>
      </c>
      <c r="B143" t="str" cm="1">
        <f t="array" ref="B143:Y143">VLOOKUP(A143,standard_pitchers_2019!A:Y,{2,3,4,5,6,7,8,9,10,11,12,13,14,15,16,17,18,19,20,21,22,23,24,25},FALSE)</f>
        <v>Cardinals</v>
      </c>
      <c r="C143">
        <v>3</v>
      </c>
      <c r="D143">
        <v>4</v>
      </c>
      <c r="E143">
        <v>3.59</v>
      </c>
      <c r="F143">
        <v>66</v>
      </c>
      <c r="G143">
        <v>0</v>
      </c>
      <c r="H143">
        <v>0</v>
      </c>
      <c r="I143">
        <v>0</v>
      </c>
      <c r="J143">
        <v>0</v>
      </c>
      <c r="K143">
        <v>12</v>
      </c>
      <c r="L143">
        <v>1</v>
      </c>
      <c r="M143">
        <v>72.2</v>
      </c>
      <c r="N143">
        <v>304</v>
      </c>
      <c r="O143">
        <v>59</v>
      </c>
      <c r="P143">
        <v>31</v>
      </c>
      <c r="Q143">
        <v>29</v>
      </c>
      <c r="R143">
        <v>6</v>
      </c>
      <c r="S143">
        <v>27</v>
      </c>
      <c r="T143">
        <v>2</v>
      </c>
      <c r="U143">
        <v>3</v>
      </c>
      <c r="V143">
        <v>0</v>
      </c>
      <c r="W143">
        <v>0</v>
      </c>
      <c r="X143">
        <v>87</v>
      </c>
      <c r="Y143">
        <v>12777</v>
      </c>
      <c r="Z143" cm="1">
        <f t="array" ref="Z143:AR143">VLOOKUP(A143,advanced_pitchers_2019!A:Y,{3,4,5,6,7,8,9,10,11,12,13,14,15,16,17,18,19,20,21},FALSE)</f>
        <v>10.78</v>
      </c>
      <c r="AA143">
        <v>3.34</v>
      </c>
      <c r="AB143">
        <v>3.22</v>
      </c>
      <c r="AC143">
        <v>0.74</v>
      </c>
      <c r="AD143">
        <v>0.28599999999999998</v>
      </c>
      <c r="AE143">
        <v>8.8999999999999996E-2</v>
      </c>
      <c r="AF143">
        <v>0.19700000000000001</v>
      </c>
      <c r="AG143">
        <v>0.215</v>
      </c>
      <c r="AH143">
        <v>1.18</v>
      </c>
      <c r="AI143">
        <v>0.29299999999999998</v>
      </c>
      <c r="AJ143">
        <v>0.72</v>
      </c>
      <c r="AK143">
        <v>85</v>
      </c>
      <c r="AL143">
        <v>72</v>
      </c>
      <c r="AM143">
        <v>104</v>
      </c>
      <c r="AN143">
        <v>3.59</v>
      </c>
      <c r="AO143">
        <v>3.13</v>
      </c>
      <c r="AP143">
        <v>0.46</v>
      </c>
      <c r="AQ143">
        <v>4.63</v>
      </c>
      <c r="AR143">
        <v>3.82</v>
      </c>
      <c r="AS143" cm="1">
        <f t="array" ref="AS143:BA143">VLOOKUP(A143,plate_discipline_pitchers_2019!A:L,{3,4,5,6,7,8,9,10,11},FALSE)</f>
        <v>0.33</v>
      </c>
      <c r="AT143">
        <v>0.71899999999999997</v>
      </c>
      <c r="AU143">
        <v>0.50600000000000001</v>
      </c>
      <c r="AV143">
        <v>0.65</v>
      </c>
      <c r="AW143">
        <v>0.78500000000000003</v>
      </c>
      <c r="AX143">
        <v>0.73699999999999999</v>
      </c>
      <c r="AY143">
        <v>0.45300000000000001</v>
      </c>
      <c r="AZ143">
        <v>0.66100000000000003</v>
      </c>
      <c r="BA143">
        <v>0.13300000000000001</v>
      </c>
      <c r="BB143" cm="1">
        <f t="array" ref="BB143:BP143">VLOOKUP(A143,pitchvalue_pitchers_2019!A:Q,{3,4,5,6,7,8,9,10,11,12,13,14,15,16,17},FALSE)</f>
        <v>1.3</v>
      </c>
      <c r="BC143">
        <v>11.3</v>
      </c>
      <c r="BD143">
        <v>0</v>
      </c>
      <c r="BE143">
        <v>0</v>
      </c>
      <c r="BF143">
        <v>-1.1000000000000001</v>
      </c>
      <c r="BG143">
        <v>0</v>
      </c>
      <c r="BH143">
        <v>0</v>
      </c>
      <c r="BI143">
        <v>0.19</v>
      </c>
      <c r="BJ143">
        <v>2.17</v>
      </c>
      <c r="BK143">
        <v>0</v>
      </c>
      <c r="BL143">
        <v>0</v>
      </c>
      <c r="BM143">
        <v>-15.99</v>
      </c>
      <c r="BN143">
        <v>0</v>
      </c>
      <c r="BO143">
        <v>0</v>
      </c>
      <c r="BP143">
        <v>12777</v>
      </c>
      <c r="BQ143" cm="1">
        <f t="array" ref="BQ143:CH143">VLOOKUP(A143,battedball_pitchers_2019!A:U,{3,4,5,6,7,8,9,10,11,12,13,14,15,16,17,18,19,20},FALSE)</f>
        <v>0.29299999999999998</v>
      </c>
      <c r="BR143">
        <v>0.53</v>
      </c>
      <c r="BS143">
        <v>0.22600000000000001</v>
      </c>
      <c r="BT143">
        <v>0.26900000000000002</v>
      </c>
      <c r="BU143">
        <v>0.505</v>
      </c>
      <c r="BV143">
        <v>0.128</v>
      </c>
      <c r="BW143">
        <v>6.4000000000000001E-2</v>
      </c>
      <c r="BX143">
        <v>42</v>
      </c>
      <c r="BY143">
        <v>5.2</v>
      </c>
      <c r="BZ143">
        <v>403</v>
      </c>
      <c r="CA143">
        <v>814</v>
      </c>
      <c r="CB143">
        <v>1217</v>
      </c>
      <c r="CC143">
        <v>0.34799999999999998</v>
      </c>
      <c r="CD143">
        <v>0.316</v>
      </c>
      <c r="CE143">
        <v>0.33700000000000002</v>
      </c>
      <c r="CF143">
        <v>0.20899999999999999</v>
      </c>
      <c r="CG143">
        <v>0.40600000000000003</v>
      </c>
      <c r="CH143">
        <v>0.38500000000000001</v>
      </c>
      <c r="CI143" cm="1">
        <f t="array" ref="CI143:CS143">VLOOKUP(A143,verticalmove_pitchers_2019!A:N,{3,4,5,6,7,8,9,10,11,12,13},FALSE)</f>
        <v>72.2</v>
      </c>
      <c r="CJ143">
        <v>9.9</v>
      </c>
      <c r="CK143">
        <v>0</v>
      </c>
      <c r="CL143">
        <v>0</v>
      </c>
      <c r="CM143">
        <v>0</v>
      </c>
      <c r="CN143">
        <v>4.5999999999999996</v>
      </c>
      <c r="CO143">
        <v>1.4</v>
      </c>
      <c r="CP143">
        <v>0</v>
      </c>
      <c r="CQ143">
        <v>0</v>
      </c>
      <c r="CR143">
        <v>0</v>
      </c>
      <c r="CS143">
        <v>0</v>
      </c>
      <c r="CT143" cm="1">
        <f t="array" ref="CT143:DD143">VLOOKUP(A143,velocity_pitchers_2019!A:N,{3,4,5,6,7,8,9,10,11,12,13},FALSE)</f>
        <v>72.2</v>
      </c>
      <c r="CU143">
        <v>93.8</v>
      </c>
      <c r="CV143">
        <v>0</v>
      </c>
      <c r="CW143">
        <v>0</v>
      </c>
      <c r="CX143">
        <v>0</v>
      </c>
      <c r="CY143">
        <v>87.8</v>
      </c>
      <c r="CZ143">
        <v>84</v>
      </c>
      <c r="DA143">
        <v>0</v>
      </c>
      <c r="DB143">
        <v>0</v>
      </c>
      <c r="DC143">
        <v>0</v>
      </c>
      <c r="DD143">
        <v>0</v>
      </c>
    </row>
    <row r="144" spans="1:108" x14ac:dyDescent="0.3">
      <c r="A144" t="s">
        <v>202</v>
      </c>
      <c r="B144" t="str" cm="1">
        <f t="array" ref="B144:Y144">VLOOKUP(A144,standard_pitchers_2019!A:Y,{2,3,4,5,6,7,8,9,10,11,12,13,14,15,16,17,18,19,20,21,22,23,24,25},FALSE)</f>
        <v>Nationals</v>
      </c>
      <c r="C144">
        <v>6</v>
      </c>
      <c r="D144">
        <v>5</v>
      </c>
      <c r="E144">
        <v>4.05</v>
      </c>
      <c r="F144">
        <v>63</v>
      </c>
      <c r="G144">
        <v>0</v>
      </c>
      <c r="H144">
        <v>0</v>
      </c>
      <c r="I144">
        <v>0</v>
      </c>
      <c r="J144">
        <v>29</v>
      </c>
      <c r="K144">
        <v>2</v>
      </c>
      <c r="L144">
        <v>6</v>
      </c>
      <c r="M144">
        <v>60</v>
      </c>
      <c r="N144">
        <v>260</v>
      </c>
      <c r="O144">
        <v>63</v>
      </c>
      <c r="P144">
        <v>27</v>
      </c>
      <c r="Q144">
        <v>27</v>
      </c>
      <c r="R144">
        <v>11</v>
      </c>
      <c r="S144">
        <v>15</v>
      </c>
      <c r="T144">
        <v>2</v>
      </c>
      <c r="U144">
        <v>2</v>
      </c>
      <c r="V144">
        <v>0</v>
      </c>
      <c r="W144">
        <v>0</v>
      </c>
      <c r="X144">
        <v>66</v>
      </c>
      <c r="Y144">
        <v>1581</v>
      </c>
      <c r="Z144" cm="1">
        <f t="array" ref="Z144:AR144">VLOOKUP(A144,advanced_pitchers_2019!A:Y,{3,4,5,6,7,8,9,10,11,12,13,14,15,16,17,18,19,20,21},FALSE)</f>
        <v>9.9</v>
      </c>
      <c r="AA144">
        <v>2.25</v>
      </c>
      <c r="AB144">
        <v>4.4000000000000004</v>
      </c>
      <c r="AC144">
        <v>1.65</v>
      </c>
      <c r="AD144">
        <v>0.254</v>
      </c>
      <c r="AE144">
        <v>5.8000000000000003E-2</v>
      </c>
      <c r="AF144">
        <v>0.19600000000000001</v>
      </c>
      <c r="AG144">
        <v>0.25900000000000001</v>
      </c>
      <c r="AH144">
        <v>1.3</v>
      </c>
      <c r="AI144">
        <v>0.313</v>
      </c>
      <c r="AJ144">
        <v>0.82</v>
      </c>
      <c r="AK144">
        <v>90</v>
      </c>
      <c r="AL144">
        <v>94</v>
      </c>
      <c r="AM144">
        <v>115</v>
      </c>
      <c r="AN144">
        <v>4.05</v>
      </c>
      <c r="AO144">
        <v>4.25</v>
      </c>
      <c r="AP144">
        <v>-0.2</v>
      </c>
      <c r="AQ144">
        <v>5.08</v>
      </c>
      <c r="AR144">
        <v>4.01</v>
      </c>
      <c r="AS144" cm="1">
        <f t="array" ref="AS144:BA144">VLOOKUP(A144,plate_discipline_pitchers_2019!A:L,{3,4,5,6,7,8,9,10,11},FALSE)</f>
        <v>0.39400000000000002</v>
      </c>
      <c r="AT144">
        <v>0.81499999999999995</v>
      </c>
      <c r="AU144">
        <v>0.58899999999999997</v>
      </c>
      <c r="AV144">
        <v>0.68899999999999995</v>
      </c>
      <c r="AW144">
        <v>0.85199999999999998</v>
      </c>
      <c r="AX144">
        <v>0.79300000000000004</v>
      </c>
      <c r="AY144">
        <v>0.46200000000000002</v>
      </c>
      <c r="AZ144">
        <v>0.66900000000000004</v>
      </c>
      <c r="BA144">
        <v>0.122</v>
      </c>
      <c r="BB144" cm="1">
        <f t="array" ref="BB144:BP144">VLOOKUP(A144,pitchvalue_pitchers_2019!A:Q,{3,4,5,6,7,8,9,10,11,12,13,14,15,16,17},FALSE)</f>
        <v>1.3</v>
      </c>
      <c r="BC144">
        <v>1.1000000000000001</v>
      </c>
      <c r="BD144">
        <v>0</v>
      </c>
      <c r="BE144">
        <v>0</v>
      </c>
      <c r="BF144">
        <v>-1.8</v>
      </c>
      <c r="BG144">
        <v>0</v>
      </c>
      <c r="BH144">
        <v>0</v>
      </c>
      <c r="BI144">
        <v>0.14000000000000001</v>
      </c>
      <c r="BJ144">
        <v>1.85</v>
      </c>
      <c r="BK144">
        <v>0</v>
      </c>
      <c r="BL144">
        <v>0</v>
      </c>
      <c r="BM144">
        <v>-2.79</v>
      </c>
      <c r="BN144">
        <v>0</v>
      </c>
      <c r="BO144">
        <v>0</v>
      </c>
      <c r="BP144">
        <v>1581</v>
      </c>
      <c r="BQ144" cm="1">
        <f t="array" ref="BQ144:CH144">VLOOKUP(A144,battedball_pitchers_2019!A:U,{3,4,5,6,7,8,9,10,11,12,13,14,15,16,17,18,19,20},FALSE)</f>
        <v>0.313</v>
      </c>
      <c r="BR144">
        <v>0.45</v>
      </c>
      <c r="BS144">
        <v>0.19</v>
      </c>
      <c r="BT144">
        <v>0.253</v>
      </c>
      <c r="BU144">
        <v>0.55700000000000005</v>
      </c>
      <c r="BV144">
        <v>0.155</v>
      </c>
      <c r="BW144">
        <v>0.113</v>
      </c>
      <c r="BX144">
        <v>17</v>
      </c>
      <c r="BY144">
        <v>2.5499999999999998</v>
      </c>
      <c r="BZ144">
        <v>325</v>
      </c>
      <c r="CA144">
        <v>750</v>
      </c>
      <c r="CB144">
        <v>1075</v>
      </c>
      <c r="CC144">
        <v>0.28799999999999998</v>
      </c>
      <c r="CD144">
        <v>0.34499999999999997</v>
      </c>
      <c r="CE144">
        <v>0.36699999999999999</v>
      </c>
      <c r="CF144">
        <v>0.19800000000000001</v>
      </c>
      <c r="CG144">
        <v>0.42399999999999999</v>
      </c>
      <c r="CH144">
        <v>0.379</v>
      </c>
      <c r="CI144" cm="1">
        <f t="array" ref="CI144:CS144">VLOOKUP(A144,verticalmove_pitchers_2019!A:N,{3,4,5,6,7,8,9,10,11,12,13},FALSE)</f>
        <v>60</v>
      </c>
      <c r="CJ144">
        <v>10.7</v>
      </c>
      <c r="CK144">
        <v>0</v>
      </c>
      <c r="CL144">
        <v>0</v>
      </c>
      <c r="CM144">
        <v>0</v>
      </c>
      <c r="CN144">
        <v>8.4</v>
      </c>
      <c r="CO144">
        <v>0.9</v>
      </c>
      <c r="CP144">
        <v>0</v>
      </c>
      <c r="CQ144">
        <v>0</v>
      </c>
      <c r="CR144">
        <v>0</v>
      </c>
      <c r="CS144">
        <v>0</v>
      </c>
      <c r="CT144" cm="1">
        <f t="array" ref="CT144:DD144">VLOOKUP(A144,velocity_pitchers_2019!A:N,{3,4,5,6,7,8,9,10,11,12,13},FALSE)</f>
        <v>60</v>
      </c>
      <c r="CU144">
        <v>93.8</v>
      </c>
      <c r="CV144">
        <v>0</v>
      </c>
      <c r="CW144">
        <v>0</v>
      </c>
      <c r="CX144">
        <v>0</v>
      </c>
      <c r="CY144">
        <v>83.9</v>
      </c>
      <c r="CZ144">
        <v>81.099999999999994</v>
      </c>
      <c r="DA144">
        <v>0</v>
      </c>
      <c r="DB144">
        <v>0</v>
      </c>
      <c r="DC144">
        <v>0</v>
      </c>
      <c r="DD144">
        <v>0</v>
      </c>
    </row>
    <row r="145" spans="1:108" x14ac:dyDescent="0.3">
      <c r="A145" t="s">
        <v>298</v>
      </c>
      <c r="B145" t="str" cm="1">
        <f t="array" ref="B145:Y145">VLOOKUP(A145,standard_pitchers_2019!A:Y,{2,3,4,5,6,7,8,9,10,11,12,13,14,15,16,17,18,19,20,21,22,23,24,25},FALSE)</f>
        <v>Rangers</v>
      </c>
      <c r="C145">
        <v>3</v>
      </c>
      <c r="D145">
        <v>5</v>
      </c>
      <c r="E145">
        <v>4.8499999999999996</v>
      </c>
      <c r="F145">
        <v>48</v>
      </c>
      <c r="G145">
        <v>9</v>
      </c>
      <c r="H145">
        <v>0</v>
      </c>
      <c r="I145">
        <v>0</v>
      </c>
      <c r="J145">
        <v>1</v>
      </c>
      <c r="K145">
        <v>8</v>
      </c>
      <c r="L145">
        <v>1</v>
      </c>
      <c r="M145">
        <v>78</v>
      </c>
      <c r="N145">
        <v>337</v>
      </c>
      <c r="O145">
        <v>82</v>
      </c>
      <c r="P145">
        <v>48</v>
      </c>
      <c r="Q145">
        <v>42</v>
      </c>
      <c r="R145">
        <v>12</v>
      </c>
      <c r="S145">
        <v>22</v>
      </c>
      <c r="T145">
        <v>0</v>
      </c>
      <c r="U145">
        <v>5</v>
      </c>
      <c r="V145">
        <v>1</v>
      </c>
      <c r="W145">
        <v>0</v>
      </c>
      <c r="X145">
        <v>72</v>
      </c>
      <c r="Y145">
        <v>5448</v>
      </c>
      <c r="Z145" cm="1">
        <f t="array" ref="Z145:AR145">VLOOKUP(A145,advanced_pitchers_2019!A:Y,{3,4,5,6,7,8,9,10,11,12,13,14,15,16,17,18,19,20,21},FALSE)</f>
        <v>8.31</v>
      </c>
      <c r="AA145">
        <v>2.54</v>
      </c>
      <c r="AB145">
        <v>3.27</v>
      </c>
      <c r="AC145">
        <v>1.38</v>
      </c>
      <c r="AD145">
        <v>0.214</v>
      </c>
      <c r="AE145">
        <v>6.5000000000000002E-2</v>
      </c>
      <c r="AF145">
        <v>0.14799999999999999</v>
      </c>
      <c r="AG145">
        <v>0.26500000000000001</v>
      </c>
      <c r="AH145">
        <v>1.33</v>
      </c>
      <c r="AI145">
        <v>0.31</v>
      </c>
      <c r="AJ145">
        <v>0.66200000000000003</v>
      </c>
      <c r="AK145">
        <v>96</v>
      </c>
      <c r="AL145">
        <v>93</v>
      </c>
      <c r="AM145">
        <v>98</v>
      </c>
      <c r="AN145">
        <v>4.8499999999999996</v>
      </c>
      <c r="AO145">
        <v>4.41</v>
      </c>
      <c r="AP145">
        <v>0.44</v>
      </c>
      <c r="AQ145">
        <v>4.47</v>
      </c>
      <c r="AR145">
        <v>4.29</v>
      </c>
      <c r="AS145" cm="1">
        <f t="array" ref="AS145:BA145">VLOOKUP(A145,plate_discipline_pitchers_2019!A:L,{3,4,5,6,7,8,9,10,11},FALSE)</f>
        <v>0.26700000000000002</v>
      </c>
      <c r="AT145">
        <v>0.67</v>
      </c>
      <c r="AU145">
        <v>0.42899999999999999</v>
      </c>
      <c r="AV145">
        <v>0.75600000000000001</v>
      </c>
      <c r="AW145">
        <v>0.90900000000000003</v>
      </c>
      <c r="AX145">
        <v>0.85199999999999998</v>
      </c>
      <c r="AY145">
        <v>0.40200000000000002</v>
      </c>
      <c r="AZ145">
        <v>0.629</v>
      </c>
      <c r="BA145">
        <v>6.4000000000000001E-2</v>
      </c>
      <c r="BB145" cm="1">
        <f t="array" ref="BB145:BP145">VLOOKUP(A145,pitchvalue_pitchers_2019!A:Q,{3,4,5,6,7,8,9,10,11,12,13,14,15,16,17},FALSE)</f>
        <v>1.3</v>
      </c>
      <c r="BC145">
        <v>-0.3</v>
      </c>
      <c r="BD145">
        <v>-4.3</v>
      </c>
      <c r="BE145">
        <v>0</v>
      </c>
      <c r="BF145">
        <v>0.2</v>
      </c>
      <c r="BG145">
        <v>0</v>
      </c>
      <c r="BH145">
        <v>0</v>
      </c>
      <c r="BI145">
        <v>0.22</v>
      </c>
      <c r="BJ145">
        <v>-4.5</v>
      </c>
      <c r="BK145">
        <v>-0.72</v>
      </c>
      <c r="BL145">
        <v>0</v>
      </c>
      <c r="BM145">
        <v>0.16</v>
      </c>
      <c r="BN145">
        <v>0</v>
      </c>
      <c r="BO145">
        <v>0</v>
      </c>
      <c r="BP145">
        <v>5448</v>
      </c>
      <c r="BQ145" cm="1">
        <f t="array" ref="BQ145:CH145">VLOOKUP(A145,battedball_pitchers_2019!A:U,{3,4,5,6,7,8,9,10,11,12,13,14,15,16,17,18,19,20},FALSE)</f>
        <v>0.31</v>
      </c>
      <c r="BR145">
        <v>1.21</v>
      </c>
      <c r="BS145">
        <v>0.24199999999999999</v>
      </c>
      <c r="BT145">
        <v>0.41499999999999998</v>
      </c>
      <c r="BU145">
        <v>0.34300000000000003</v>
      </c>
      <c r="BV145">
        <v>9.9000000000000005E-2</v>
      </c>
      <c r="BW145">
        <v>0.14799999999999999</v>
      </c>
      <c r="BX145">
        <v>45</v>
      </c>
      <c r="BY145">
        <v>5.19</v>
      </c>
      <c r="BZ145">
        <v>484</v>
      </c>
      <c r="CA145">
        <v>823</v>
      </c>
      <c r="CB145">
        <v>1307</v>
      </c>
      <c r="CC145">
        <v>0.36599999999999999</v>
      </c>
      <c r="CD145">
        <v>0.378</v>
      </c>
      <c r="CE145">
        <v>0.25600000000000001</v>
      </c>
      <c r="CF145">
        <v>0.16</v>
      </c>
      <c r="CG145">
        <v>0.42</v>
      </c>
      <c r="CH145">
        <v>0.42</v>
      </c>
      <c r="CI145" cm="1">
        <f t="array" ref="CI145:CS145">VLOOKUP(A145,verticalmove_pitchers_2019!A:N,{3,4,5,6,7,8,9,10,11,12,13},FALSE)</f>
        <v>78</v>
      </c>
      <c r="CJ145">
        <v>8.4</v>
      </c>
      <c r="CK145">
        <v>6.4</v>
      </c>
      <c r="CL145">
        <v>0</v>
      </c>
      <c r="CM145">
        <v>4.3</v>
      </c>
      <c r="CN145">
        <v>1.7</v>
      </c>
      <c r="CO145">
        <v>3.7</v>
      </c>
      <c r="CP145">
        <v>-2.6</v>
      </c>
      <c r="CQ145">
        <v>0</v>
      </c>
      <c r="CR145">
        <v>0</v>
      </c>
      <c r="CS145">
        <v>0</v>
      </c>
      <c r="CT145" cm="1">
        <f t="array" ref="CT145:DD145">VLOOKUP(A145,velocity_pitchers_2019!A:N,{3,4,5,6,7,8,9,10,11,12,13},FALSE)</f>
        <v>78</v>
      </c>
      <c r="CU145">
        <v>91.7</v>
      </c>
      <c r="CV145">
        <v>88.8</v>
      </c>
      <c r="CW145">
        <v>0</v>
      </c>
      <c r="CX145">
        <v>91.3</v>
      </c>
      <c r="CY145">
        <v>85.3</v>
      </c>
      <c r="CZ145">
        <v>86.8</v>
      </c>
      <c r="DA145">
        <v>83.5</v>
      </c>
      <c r="DB145">
        <v>0</v>
      </c>
      <c r="DC145">
        <v>0</v>
      </c>
      <c r="DD145">
        <v>0</v>
      </c>
    </row>
    <row r="146" spans="1:108" x14ac:dyDescent="0.3">
      <c r="A146" t="s">
        <v>72</v>
      </c>
      <c r="B146" t="str" cm="1">
        <f t="array" ref="B146:Y146">VLOOKUP(A146,standard_pitchers_2019!A:Y,{2,3,4,5,6,7,8,9,10,11,12,13,14,15,16,17,18,19,20,21,22,23,24,25},FALSE)</f>
        <v>Athletics</v>
      </c>
      <c r="C146">
        <v>9</v>
      </c>
      <c r="D146">
        <v>2</v>
      </c>
      <c r="E146">
        <v>2.63</v>
      </c>
      <c r="F146">
        <v>16</v>
      </c>
      <c r="G146">
        <v>16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96</v>
      </c>
      <c r="N146">
        <v>394</v>
      </c>
      <c r="O146">
        <v>84</v>
      </c>
      <c r="P146">
        <v>35</v>
      </c>
      <c r="Q146">
        <v>28</v>
      </c>
      <c r="R146">
        <v>8</v>
      </c>
      <c r="S146">
        <v>23</v>
      </c>
      <c r="T146">
        <v>1</v>
      </c>
      <c r="U146">
        <v>4</v>
      </c>
      <c r="V146">
        <v>5</v>
      </c>
      <c r="W146">
        <v>0</v>
      </c>
      <c r="X146">
        <v>103</v>
      </c>
      <c r="Y146">
        <v>14309</v>
      </c>
      <c r="Z146" cm="1">
        <f t="array" ref="Z146:AR146">VLOOKUP(A146,advanced_pitchers_2019!A:Y,{3,4,5,6,7,8,9,10,11,12,13,14,15,16,17,18,19,20,21},FALSE)</f>
        <v>9.66</v>
      </c>
      <c r="AA146">
        <v>2.16</v>
      </c>
      <c r="AB146">
        <v>4.4800000000000004</v>
      </c>
      <c r="AC146">
        <v>0.75</v>
      </c>
      <c r="AD146">
        <v>0.26100000000000001</v>
      </c>
      <c r="AE146">
        <v>5.8000000000000003E-2</v>
      </c>
      <c r="AF146">
        <v>0.20300000000000001</v>
      </c>
      <c r="AG146">
        <v>0.22900000000000001</v>
      </c>
      <c r="AH146">
        <v>1.1100000000000001</v>
      </c>
      <c r="AI146">
        <v>0.29699999999999999</v>
      </c>
      <c r="AJ146">
        <v>0.76200000000000001</v>
      </c>
      <c r="AK146">
        <v>59</v>
      </c>
      <c r="AL146">
        <v>67</v>
      </c>
      <c r="AM146">
        <v>76</v>
      </c>
      <c r="AN146">
        <v>2.63</v>
      </c>
      <c r="AO146">
        <v>3</v>
      </c>
      <c r="AP146">
        <v>-0.37</v>
      </c>
      <c r="AQ146">
        <v>3.47</v>
      </c>
      <c r="AR146">
        <v>3.76</v>
      </c>
      <c r="AS146" cm="1">
        <f t="array" ref="AS146:BA146">VLOOKUP(A146,plate_discipline_pitchers_2019!A:L,{3,4,5,6,7,8,9,10,11},FALSE)</f>
        <v>0.35099999999999998</v>
      </c>
      <c r="AT146">
        <v>0.68400000000000005</v>
      </c>
      <c r="AU146">
        <v>0.49199999999999999</v>
      </c>
      <c r="AV146">
        <v>0.64800000000000002</v>
      </c>
      <c r="AW146">
        <v>0.84799999999999998</v>
      </c>
      <c r="AX146">
        <v>0.76600000000000001</v>
      </c>
      <c r="AY146">
        <v>0.42199999999999999</v>
      </c>
      <c r="AZ146">
        <v>0.60699999999999998</v>
      </c>
      <c r="BA146">
        <v>0.115</v>
      </c>
      <c r="BB146" cm="1">
        <f t="array" ref="BB146:BP146">VLOOKUP(A146,pitchvalue_pitchers_2019!A:Q,{3,4,5,6,7,8,9,10,11,12,13,14,15,16,17},FALSE)</f>
        <v>1.2</v>
      </c>
      <c r="BC146">
        <v>9.9</v>
      </c>
      <c r="BD146">
        <v>0</v>
      </c>
      <c r="BE146">
        <v>0</v>
      </c>
      <c r="BF146">
        <v>0</v>
      </c>
      <c r="BG146">
        <v>2.2000000000000002</v>
      </c>
      <c r="BH146">
        <v>0</v>
      </c>
      <c r="BI146">
        <v>0.15</v>
      </c>
      <c r="BJ146">
        <v>2.67</v>
      </c>
      <c r="BK146">
        <v>0</v>
      </c>
      <c r="BL146">
        <v>0</v>
      </c>
      <c r="BM146">
        <v>0</v>
      </c>
      <c r="BN146">
        <v>0.81</v>
      </c>
      <c r="BO146">
        <v>0</v>
      </c>
      <c r="BP146">
        <v>14309</v>
      </c>
      <c r="BQ146" cm="1">
        <f t="array" ref="BQ146:CH146">VLOOKUP(A146,battedball_pitchers_2019!A:U,{3,4,5,6,7,8,9,10,11,12,13,14,15,16,17,18,19,20},FALSE)</f>
        <v>0.29699999999999999</v>
      </c>
      <c r="BR146">
        <v>1.73</v>
      </c>
      <c r="BS146">
        <v>0.221</v>
      </c>
      <c r="BT146">
        <v>0.49399999999999999</v>
      </c>
      <c r="BU146">
        <v>0.28499999999999998</v>
      </c>
      <c r="BV146">
        <v>0.13300000000000001</v>
      </c>
      <c r="BW146">
        <v>0.107</v>
      </c>
      <c r="BX146">
        <v>73</v>
      </c>
      <c r="BY146">
        <v>6.84</v>
      </c>
      <c r="BZ146">
        <v>520</v>
      </c>
      <c r="CA146">
        <v>965</v>
      </c>
      <c r="CB146">
        <v>1485</v>
      </c>
      <c r="CC146">
        <v>0.45100000000000001</v>
      </c>
      <c r="CD146">
        <v>0.307</v>
      </c>
      <c r="CE146">
        <v>0.24199999999999999</v>
      </c>
      <c r="CF146">
        <v>0.14799999999999999</v>
      </c>
      <c r="CG146">
        <v>0.47299999999999998</v>
      </c>
      <c r="CH146">
        <v>0.379</v>
      </c>
      <c r="CI146" cm="1">
        <f t="array" ref="CI146:CS146">VLOOKUP(A146,verticalmove_pitchers_2019!A:N,{3,4,5,6,7,8,9,10,11,12,13},FALSE)</f>
        <v>96</v>
      </c>
      <c r="CJ146">
        <v>9.4</v>
      </c>
      <c r="CK146">
        <v>0</v>
      </c>
      <c r="CL146">
        <v>2.1</v>
      </c>
      <c r="CM146">
        <v>6.7</v>
      </c>
      <c r="CN146">
        <v>3.3</v>
      </c>
      <c r="CO146">
        <v>1.7</v>
      </c>
      <c r="CP146">
        <v>8.5</v>
      </c>
      <c r="CQ146">
        <v>0</v>
      </c>
      <c r="CR146">
        <v>0</v>
      </c>
      <c r="CS146">
        <v>0</v>
      </c>
      <c r="CT146" cm="1">
        <f t="array" ref="CT146:DD146">VLOOKUP(A146,velocity_pitchers_2019!A:N,{3,4,5,6,7,8,9,10,11,12,13},FALSE)</f>
        <v>96</v>
      </c>
      <c r="CU146">
        <v>97.1</v>
      </c>
      <c r="CV146">
        <v>0</v>
      </c>
      <c r="CW146">
        <v>87</v>
      </c>
      <c r="CX146">
        <v>96.7</v>
      </c>
      <c r="CY146">
        <v>91.5</v>
      </c>
      <c r="CZ146">
        <v>88.7</v>
      </c>
      <c r="DA146">
        <v>96.1</v>
      </c>
      <c r="DB146">
        <v>0</v>
      </c>
      <c r="DC146">
        <v>0</v>
      </c>
      <c r="DD146">
        <v>0</v>
      </c>
    </row>
    <row r="147" spans="1:108" x14ac:dyDescent="0.3">
      <c r="A147" t="s">
        <v>212</v>
      </c>
      <c r="B147" t="str" cm="1">
        <f t="array" ref="B147:Y147">VLOOKUP(A147,standard_pitchers_2019!A:Y,{2,3,4,5,6,7,8,9,10,11,12,13,14,15,16,17,18,19,20,21,22,23,24,25},FALSE)</f>
        <v>Astros</v>
      </c>
      <c r="C147">
        <v>7</v>
      </c>
      <c r="D147">
        <v>6</v>
      </c>
      <c r="E147">
        <v>4.12</v>
      </c>
      <c r="F147">
        <v>23</v>
      </c>
      <c r="G147">
        <v>15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91.2</v>
      </c>
      <c r="N147">
        <v>383</v>
      </c>
      <c r="O147">
        <v>78</v>
      </c>
      <c r="P147">
        <v>43</v>
      </c>
      <c r="Q147">
        <v>42</v>
      </c>
      <c r="R147">
        <v>15</v>
      </c>
      <c r="S147">
        <v>31</v>
      </c>
      <c r="T147">
        <v>0</v>
      </c>
      <c r="U147">
        <v>5</v>
      </c>
      <c r="V147">
        <v>1</v>
      </c>
      <c r="W147">
        <v>1</v>
      </c>
      <c r="X147">
        <v>96</v>
      </c>
      <c r="Y147">
        <v>5401</v>
      </c>
      <c r="Z147" cm="1">
        <f t="array" ref="Z147:AR147">VLOOKUP(A147,advanced_pitchers_2019!A:Y,{3,4,5,6,7,8,9,10,11,12,13,14,15,16,17,18,19,20,21},FALSE)</f>
        <v>9.43</v>
      </c>
      <c r="AA147">
        <v>3.04</v>
      </c>
      <c r="AB147">
        <v>3.1</v>
      </c>
      <c r="AC147">
        <v>1.47</v>
      </c>
      <c r="AD147">
        <v>0.251</v>
      </c>
      <c r="AE147">
        <v>8.1000000000000003E-2</v>
      </c>
      <c r="AF147">
        <v>0.17</v>
      </c>
      <c r="AG147">
        <v>0.22500000000000001</v>
      </c>
      <c r="AH147">
        <v>1.19</v>
      </c>
      <c r="AI147">
        <v>0.26700000000000002</v>
      </c>
      <c r="AJ147">
        <v>0.76300000000000001</v>
      </c>
      <c r="AK147">
        <v>92</v>
      </c>
      <c r="AL147">
        <v>98</v>
      </c>
      <c r="AM147">
        <v>101</v>
      </c>
      <c r="AN147">
        <v>4.12</v>
      </c>
      <c r="AO147">
        <v>4.42</v>
      </c>
      <c r="AP147">
        <v>-0.3</v>
      </c>
      <c r="AQ147">
        <v>4.6399999999999997</v>
      </c>
      <c r="AR147">
        <v>4.3</v>
      </c>
      <c r="AS147" cm="1">
        <f t="array" ref="AS147:BA147">VLOOKUP(A147,plate_discipline_pitchers_2019!A:L,{3,4,5,6,7,8,9,10,11},FALSE)</f>
        <v>0.26100000000000001</v>
      </c>
      <c r="AT147">
        <v>0.66</v>
      </c>
      <c r="AU147">
        <v>0.43</v>
      </c>
      <c r="AV147">
        <v>0.627</v>
      </c>
      <c r="AW147">
        <v>0.88100000000000001</v>
      </c>
      <c r="AX147">
        <v>0.79200000000000004</v>
      </c>
      <c r="AY147">
        <v>0.42299999999999999</v>
      </c>
      <c r="AZ147">
        <v>0.63200000000000001</v>
      </c>
      <c r="BA147">
        <v>8.8999999999999996E-2</v>
      </c>
      <c r="BB147" cm="1">
        <f t="array" ref="BB147:BP147">VLOOKUP(A147,pitchvalue_pitchers_2019!A:Q,{3,4,5,6,7,8,9,10,11,12,13,14,15,16,17},FALSE)</f>
        <v>1.2</v>
      </c>
      <c r="BC147">
        <v>3.9</v>
      </c>
      <c r="BD147">
        <v>0</v>
      </c>
      <c r="BE147">
        <v>-0.5</v>
      </c>
      <c r="BF147">
        <v>-0.8</v>
      </c>
      <c r="BG147">
        <v>0</v>
      </c>
      <c r="BH147">
        <v>0</v>
      </c>
      <c r="BI147">
        <v>0.14000000000000001</v>
      </c>
      <c r="BJ147">
        <v>0.9</v>
      </c>
      <c r="BK147">
        <v>0</v>
      </c>
      <c r="BL147">
        <v>-0.49</v>
      </c>
      <c r="BM147">
        <v>-0.89</v>
      </c>
      <c r="BN147">
        <v>0</v>
      </c>
      <c r="BO147">
        <v>0</v>
      </c>
      <c r="BP147">
        <v>5401</v>
      </c>
      <c r="BQ147" cm="1">
        <f t="array" ref="BQ147:CH147">VLOOKUP(A147,battedball_pitchers_2019!A:U,{3,4,5,6,7,8,9,10,11,12,13,14,15,16,17,18,19,20},FALSE)</f>
        <v>0.26700000000000002</v>
      </c>
      <c r="BR147">
        <v>0.89</v>
      </c>
      <c r="BS147">
        <v>0.18099999999999999</v>
      </c>
      <c r="BT147">
        <v>0.38600000000000001</v>
      </c>
      <c r="BU147">
        <v>0.434</v>
      </c>
      <c r="BV147">
        <v>6.5000000000000002E-2</v>
      </c>
      <c r="BW147">
        <v>0.13900000000000001</v>
      </c>
      <c r="BX147">
        <v>59</v>
      </c>
      <c r="BY147">
        <v>5.79</v>
      </c>
      <c r="BZ147">
        <v>560</v>
      </c>
      <c r="CA147">
        <v>950</v>
      </c>
      <c r="CB147">
        <v>1510</v>
      </c>
      <c r="CC147">
        <v>0.496</v>
      </c>
      <c r="CD147">
        <v>0.308</v>
      </c>
      <c r="CE147">
        <v>0.19600000000000001</v>
      </c>
      <c r="CF147">
        <v>0.14399999999999999</v>
      </c>
      <c r="CG147">
        <v>0.46800000000000003</v>
      </c>
      <c r="CH147">
        <v>0.38800000000000001</v>
      </c>
      <c r="CI147" cm="1">
        <f t="array" ref="CI147:CS147">VLOOKUP(A147,verticalmove_pitchers_2019!A:N,{3,4,5,6,7,8,9,10,11,12,13},FALSE)</f>
        <v>91.2</v>
      </c>
      <c r="CJ147">
        <v>7.8</v>
      </c>
      <c r="CK147">
        <v>0</v>
      </c>
      <c r="CL147">
        <v>0</v>
      </c>
      <c r="CM147">
        <v>4</v>
      </c>
      <c r="CN147">
        <v>2.2000000000000002</v>
      </c>
      <c r="CO147">
        <v>3.2</v>
      </c>
      <c r="CP147">
        <v>-7.8</v>
      </c>
      <c r="CQ147">
        <v>0</v>
      </c>
      <c r="CR147">
        <v>0</v>
      </c>
      <c r="CS147">
        <v>0</v>
      </c>
      <c r="CT147" cm="1">
        <f t="array" ref="CT147:DD147">VLOOKUP(A147,velocity_pitchers_2019!A:N,{3,4,5,6,7,8,9,10,11,12,13},FALSE)</f>
        <v>91.2</v>
      </c>
      <c r="CU147">
        <v>92.9</v>
      </c>
      <c r="CV147">
        <v>0</v>
      </c>
      <c r="CW147">
        <v>0</v>
      </c>
      <c r="CX147">
        <v>92</v>
      </c>
      <c r="CY147">
        <v>83.6</v>
      </c>
      <c r="CZ147">
        <v>81.5</v>
      </c>
      <c r="DA147">
        <v>78.8</v>
      </c>
      <c r="DB147">
        <v>0</v>
      </c>
      <c r="DC147">
        <v>0</v>
      </c>
      <c r="DD147">
        <v>0</v>
      </c>
    </row>
    <row r="148" spans="1:108" x14ac:dyDescent="0.3">
      <c r="A148" t="s">
        <v>88</v>
      </c>
      <c r="B148" t="str" cm="1">
        <f t="array" ref="B148:Y148">VLOOKUP(A148,standard_pitchers_2019!A:Y,{2,3,4,5,6,7,8,9,10,11,12,13,14,15,16,17,18,19,20,21,22,23,24,25},FALSE)</f>
        <v>Reds</v>
      </c>
      <c r="C148">
        <v>11</v>
      </c>
      <c r="D148">
        <v>8</v>
      </c>
      <c r="E148">
        <v>2.87</v>
      </c>
      <c r="F148">
        <v>31</v>
      </c>
      <c r="G148">
        <v>31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175.1</v>
      </c>
      <c r="N148">
        <v>708</v>
      </c>
      <c r="O148">
        <v>122</v>
      </c>
      <c r="P148">
        <v>59</v>
      </c>
      <c r="Q148">
        <v>56</v>
      </c>
      <c r="R148">
        <v>17</v>
      </c>
      <c r="S148">
        <v>68</v>
      </c>
      <c r="T148">
        <v>1</v>
      </c>
      <c r="U148">
        <v>7</v>
      </c>
      <c r="V148">
        <v>7</v>
      </c>
      <c r="W148">
        <v>1</v>
      </c>
      <c r="X148">
        <v>205</v>
      </c>
      <c r="Y148">
        <v>12768</v>
      </c>
      <c r="Z148" cm="1">
        <f t="array" ref="Z148:AR148">VLOOKUP(A148,advanced_pitchers_2019!A:Y,{3,4,5,6,7,8,9,10,11,12,13,14,15,16,17,18,19,20,21},FALSE)</f>
        <v>10.52</v>
      </c>
      <c r="AA148">
        <v>3.49</v>
      </c>
      <c r="AB148">
        <v>3.01</v>
      </c>
      <c r="AC148">
        <v>0.87</v>
      </c>
      <c r="AD148">
        <v>0.28999999999999998</v>
      </c>
      <c r="AE148">
        <v>9.6000000000000002E-2</v>
      </c>
      <c r="AF148">
        <v>0.19400000000000001</v>
      </c>
      <c r="AG148">
        <v>0.193</v>
      </c>
      <c r="AH148">
        <v>1.08</v>
      </c>
      <c r="AI148">
        <v>0.255</v>
      </c>
      <c r="AJ148">
        <v>0.79700000000000004</v>
      </c>
      <c r="AK148">
        <v>64</v>
      </c>
      <c r="AL148">
        <v>75</v>
      </c>
      <c r="AM148">
        <v>82</v>
      </c>
      <c r="AN148">
        <v>2.87</v>
      </c>
      <c r="AO148">
        <v>3.42</v>
      </c>
      <c r="AP148">
        <v>-0.54</v>
      </c>
      <c r="AQ148">
        <v>3.65</v>
      </c>
      <c r="AR148">
        <v>3.97</v>
      </c>
      <c r="AS148" cm="1">
        <f t="array" ref="AS148:BA148">VLOOKUP(A148,plate_discipline_pitchers_2019!A:L,{3,4,5,6,7,8,9,10,11},FALSE)</f>
        <v>0.30299999999999999</v>
      </c>
      <c r="AT148">
        <v>0.60399999999999998</v>
      </c>
      <c r="AU148">
        <v>0.41799999999999998</v>
      </c>
      <c r="AV148">
        <v>0.54</v>
      </c>
      <c r="AW148">
        <v>0.88200000000000001</v>
      </c>
      <c r="AX148">
        <v>0.72799999999999998</v>
      </c>
      <c r="AY148">
        <v>0.38100000000000001</v>
      </c>
      <c r="AZ148">
        <v>0.55600000000000005</v>
      </c>
      <c r="BA148">
        <v>0.113</v>
      </c>
      <c r="BB148" cm="1">
        <f t="array" ref="BB148:BP148">VLOOKUP(A148,pitchvalue_pitchers_2019!A:Q,{3,4,5,6,7,8,9,10,11,12,13,14,15,16,17},FALSE)</f>
        <v>1.2</v>
      </c>
      <c r="BC148">
        <v>11.6</v>
      </c>
      <c r="BD148">
        <v>-0.2</v>
      </c>
      <c r="BE148">
        <v>16.899999999999999</v>
      </c>
      <c r="BF148">
        <v>4.3</v>
      </c>
      <c r="BG148">
        <v>0</v>
      </c>
      <c r="BH148">
        <v>0</v>
      </c>
      <c r="BI148">
        <v>0.08</v>
      </c>
      <c r="BJ148">
        <v>1.84</v>
      </c>
      <c r="BK148">
        <v>-1.33</v>
      </c>
      <c r="BL148">
        <v>2.35</v>
      </c>
      <c r="BM148">
        <v>2.42</v>
      </c>
      <c r="BN148">
        <v>0</v>
      </c>
      <c r="BO148">
        <v>0</v>
      </c>
      <c r="BP148">
        <v>12768</v>
      </c>
      <c r="BQ148" cm="1">
        <f t="array" ref="BQ148:CH148">VLOOKUP(A148,battedball_pitchers_2019!A:U,{3,4,5,6,7,8,9,10,11,12,13,14,15,16,17,18,19,20},FALSE)</f>
        <v>0.255</v>
      </c>
      <c r="BR148">
        <v>1.63</v>
      </c>
      <c r="BS148">
        <v>0.17899999999999999</v>
      </c>
      <c r="BT148">
        <v>0.50800000000000001</v>
      </c>
      <c r="BU148">
        <v>0.313</v>
      </c>
      <c r="BV148">
        <v>9.9000000000000005E-2</v>
      </c>
      <c r="BW148">
        <v>0.13</v>
      </c>
      <c r="BX148">
        <v>110</v>
      </c>
      <c r="BY148">
        <v>5.65</v>
      </c>
      <c r="BZ148">
        <v>1134</v>
      </c>
      <c r="CA148">
        <v>1775</v>
      </c>
      <c r="CB148">
        <v>2909</v>
      </c>
      <c r="CC148">
        <v>0.42299999999999999</v>
      </c>
      <c r="CD148">
        <v>0.33600000000000002</v>
      </c>
      <c r="CE148">
        <v>0.24099999999999999</v>
      </c>
      <c r="CF148">
        <v>0.16600000000000001</v>
      </c>
      <c r="CG148">
        <v>0.45300000000000001</v>
      </c>
      <c r="CH148">
        <v>0.38100000000000001</v>
      </c>
      <c r="CI148" cm="1">
        <f t="array" ref="CI148:CS148">VLOOKUP(A148,verticalmove_pitchers_2019!A:N,{3,4,5,6,7,8,9,10,11,12,13},FALSE)</f>
        <v>175.1</v>
      </c>
      <c r="CJ148">
        <v>8.3000000000000007</v>
      </c>
      <c r="CK148">
        <v>5.0999999999999996</v>
      </c>
      <c r="CL148">
        <v>0</v>
      </c>
      <c r="CM148">
        <v>5.3</v>
      </c>
      <c r="CN148">
        <v>4.9000000000000004</v>
      </c>
      <c r="CO148">
        <v>-3.1</v>
      </c>
      <c r="CP148">
        <v>-7.7</v>
      </c>
      <c r="CQ148">
        <v>-8.3000000000000007</v>
      </c>
      <c r="CR148">
        <v>0</v>
      </c>
      <c r="CS148">
        <v>0</v>
      </c>
      <c r="CT148" cm="1">
        <f t="array" ref="CT148:DD148">VLOOKUP(A148,velocity_pitchers_2019!A:N,{3,4,5,6,7,8,9,10,11,12,13},FALSE)</f>
        <v>175.1</v>
      </c>
      <c r="CU148">
        <v>93.6</v>
      </c>
      <c r="CV148">
        <v>91.6</v>
      </c>
      <c r="CW148">
        <v>0</v>
      </c>
      <c r="CX148">
        <v>93.1</v>
      </c>
      <c r="CY148">
        <v>89.8</v>
      </c>
      <c r="CZ148">
        <v>84.9</v>
      </c>
      <c r="DA148">
        <v>82.1</v>
      </c>
      <c r="DB148">
        <v>75.7</v>
      </c>
      <c r="DC148">
        <v>0</v>
      </c>
      <c r="DD148">
        <v>0</v>
      </c>
    </row>
    <row r="149" spans="1:108" x14ac:dyDescent="0.3">
      <c r="A149" t="s">
        <v>221</v>
      </c>
      <c r="B149" t="str" cm="1">
        <f t="array" ref="B149:Y149">VLOOKUP(A149,standard_pitchers_2019!A:Y,{2,3,4,5,6,7,8,9,10,11,12,13,14,15,16,17,18,19,20,21,22,23,24,25},FALSE)</f>
        <v>Royals</v>
      </c>
      <c r="C149">
        <v>7</v>
      </c>
      <c r="D149">
        <v>14</v>
      </c>
      <c r="E149">
        <v>4.1900000000000004</v>
      </c>
      <c r="F149">
        <v>28</v>
      </c>
      <c r="G149">
        <v>28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165.1</v>
      </c>
      <c r="N149">
        <v>709</v>
      </c>
      <c r="O149">
        <v>154</v>
      </c>
      <c r="P149">
        <v>80</v>
      </c>
      <c r="Q149">
        <v>77</v>
      </c>
      <c r="R149">
        <v>15</v>
      </c>
      <c r="S149">
        <v>70</v>
      </c>
      <c r="T149">
        <v>2</v>
      </c>
      <c r="U149">
        <v>9</v>
      </c>
      <c r="V149">
        <v>9</v>
      </c>
      <c r="W149">
        <v>1</v>
      </c>
      <c r="X149">
        <v>122</v>
      </c>
      <c r="Y149">
        <v>15734</v>
      </c>
      <c r="Z149" cm="1">
        <f t="array" ref="Z149:AR149">VLOOKUP(A149,advanced_pitchers_2019!A:Y,{3,4,5,6,7,8,9,10,11,12,13,14,15,16,17,18,19,20,21},FALSE)</f>
        <v>6.64</v>
      </c>
      <c r="AA149">
        <v>3.81</v>
      </c>
      <c r="AB149">
        <v>1.74</v>
      </c>
      <c r="AC149">
        <v>0.82</v>
      </c>
      <c r="AD149">
        <v>0.17199999999999999</v>
      </c>
      <c r="AE149">
        <v>9.9000000000000005E-2</v>
      </c>
      <c r="AF149">
        <v>7.2999999999999995E-2</v>
      </c>
      <c r="AG149">
        <v>0.24399999999999999</v>
      </c>
      <c r="AH149">
        <v>1.35</v>
      </c>
      <c r="AI149">
        <v>0.28199999999999997</v>
      </c>
      <c r="AJ149">
        <v>0.72199999999999998</v>
      </c>
      <c r="AK149">
        <v>89</v>
      </c>
      <c r="AL149">
        <v>97</v>
      </c>
      <c r="AM149">
        <v>108</v>
      </c>
      <c r="AN149">
        <v>4.1900000000000004</v>
      </c>
      <c r="AO149">
        <v>4.3499999999999996</v>
      </c>
      <c r="AP149">
        <v>-0.16</v>
      </c>
      <c r="AQ149">
        <v>4.9400000000000004</v>
      </c>
      <c r="AR149">
        <v>5.23</v>
      </c>
      <c r="AS149" cm="1">
        <f t="array" ref="AS149:BA149">VLOOKUP(A149,plate_discipline_pitchers_2019!A:L,{3,4,5,6,7,8,9,10,11},FALSE)</f>
        <v>0.309</v>
      </c>
      <c r="AT149">
        <v>0.66900000000000004</v>
      </c>
      <c r="AU149">
        <v>0.45600000000000002</v>
      </c>
      <c r="AV149">
        <v>0.69</v>
      </c>
      <c r="AW149">
        <v>0.90400000000000003</v>
      </c>
      <c r="AX149">
        <v>0.81799999999999995</v>
      </c>
      <c r="AY149">
        <v>0.40799999999999997</v>
      </c>
      <c r="AZ149">
        <v>0.57299999999999995</v>
      </c>
      <c r="BA149">
        <v>8.3000000000000004E-2</v>
      </c>
      <c r="BB149" cm="1">
        <f t="array" ref="BB149:BP149">VLOOKUP(A149,pitchvalue_pitchers_2019!A:Q,{3,4,5,6,7,8,9,10,11,12,13,14,15,16,17},FALSE)</f>
        <v>1.1000000000000001</v>
      </c>
      <c r="BC149">
        <v>10.3</v>
      </c>
      <c r="BD149">
        <v>0</v>
      </c>
      <c r="BE149">
        <v>0</v>
      </c>
      <c r="BF149">
        <v>0.3</v>
      </c>
      <c r="BG149">
        <v>-0.5</v>
      </c>
      <c r="BH149">
        <v>0</v>
      </c>
      <c r="BI149">
        <v>0.06</v>
      </c>
      <c r="BJ149">
        <v>1.2</v>
      </c>
      <c r="BK149">
        <v>0</v>
      </c>
      <c r="BL149">
        <v>0</v>
      </c>
      <c r="BM149">
        <v>2.54</v>
      </c>
      <c r="BN149">
        <v>-1.21</v>
      </c>
      <c r="BO149">
        <v>0</v>
      </c>
      <c r="BP149">
        <v>15734</v>
      </c>
      <c r="BQ149" cm="1">
        <f t="array" ref="BQ149:CH149">VLOOKUP(A149,battedball_pitchers_2019!A:U,{3,4,5,6,7,8,9,10,11,12,13,14,15,16,17,18,19,20},FALSE)</f>
        <v>0.28199999999999997</v>
      </c>
      <c r="BR149">
        <v>1.72</v>
      </c>
      <c r="BS149">
        <v>0.20899999999999999</v>
      </c>
      <c r="BT149">
        <v>0.5</v>
      </c>
      <c r="BU149">
        <v>0.29099999999999998</v>
      </c>
      <c r="BV149">
        <v>7.4999999999999997E-2</v>
      </c>
      <c r="BW149">
        <v>0.10199999999999999</v>
      </c>
      <c r="BX149">
        <v>70</v>
      </c>
      <c r="BY149">
        <v>3.81</v>
      </c>
      <c r="BZ149">
        <v>1029</v>
      </c>
      <c r="CA149">
        <v>1682</v>
      </c>
      <c r="CB149">
        <v>2711</v>
      </c>
      <c r="CC149">
        <v>0.41099999999999998</v>
      </c>
      <c r="CD149">
        <v>0.32700000000000001</v>
      </c>
      <c r="CE149">
        <v>0.26200000000000001</v>
      </c>
      <c r="CF149">
        <v>0.152</v>
      </c>
      <c r="CG149">
        <v>0.48199999999999998</v>
      </c>
      <c r="CH149">
        <v>0.36599999999999999</v>
      </c>
      <c r="CI149" cm="1">
        <f t="array" ref="CI149:CS149">VLOOKUP(A149,verticalmove_pitchers_2019!A:N,{3,4,5,6,7,8,9,10,11,12,13},FALSE)</f>
        <v>165.1</v>
      </c>
      <c r="CJ149">
        <v>7.7</v>
      </c>
      <c r="CK149">
        <v>0</v>
      </c>
      <c r="CL149">
        <v>0</v>
      </c>
      <c r="CM149">
        <v>5.2</v>
      </c>
      <c r="CN149">
        <v>3.7</v>
      </c>
      <c r="CO149">
        <v>-3.1</v>
      </c>
      <c r="CP149">
        <v>0</v>
      </c>
      <c r="CQ149">
        <v>0</v>
      </c>
      <c r="CR149">
        <v>0</v>
      </c>
      <c r="CS149">
        <v>0</v>
      </c>
      <c r="CT149" cm="1">
        <f t="array" ref="CT149:DD149">VLOOKUP(A149,velocity_pitchers_2019!A:N,{3,4,5,6,7,8,9,10,11,12,13},FALSE)</f>
        <v>165.1</v>
      </c>
      <c r="CU149">
        <v>94</v>
      </c>
      <c r="CV149">
        <v>0</v>
      </c>
      <c r="CW149">
        <v>0</v>
      </c>
      <c r="CX149">
        <v>93.3</v>
      </c>
      <c r="CY149">
        <v>88.9</v>
      </c>
      <c r="CZ149">
        <v>85.4</v>
      </c>
      <c r="DA149">
        <v>0</v>
      </c>
      <c r="DB149">
        <v>0</v>
      </c>
      <c r="DC149">
        <v>0</v>
      </c>
      <c r="DD149">
        <v>0</v>
      </c>
    </row>
    <row r="150" spans="1:108" x14ac:dyDescent="0.3">
      <c r="A150" t="s">
        <v>54</v>
      </c>
      <c r="B150" t="str" cm="1">
        <f t="array" ref="B150:Y150">VLOOKUP(A150,standard_pitchers_2019!A:Y,{2,3,4,5,6,7,8,9,10,11,12,13,14,15,16,17,18,19,20,21,22,23,24,25},FALSE)</f>
        <v>Astros</v>
      </c>
      <c r="C150">
        <v>2</v>
      </c>
      <c r="D150">
        <v>3</v>
      </c>
      <c r="E150">
        <v>2.3199999999999998</v>
      </c>
      <c r="F150">
        <v>55</v>
      </c>
      <c r="G150">
        <v>0</v>
      </c>
      <c r="H150">
        <v>0</v>
      </c>
      <c r="I150">
        <v>0</v>
      </c>
      <c r="J150">
        <v>3</v>
      </c>
      <c r="K150">
        <v>31</v>
      </c>
      <c r="L150">
        <v>5</v>
      </c>
      <c r="M150">
        <v>54.1</v>
      </c>
      <c r="N150">
        <v>211</v>
      </c>
      <c r="O150">
        <v>37</v>
      </c>
      <c r="P150">
        <v>15</v>
      </c>
      <c r="Q150">
        <v>14</v>
      </c>
      <c r="R150">
        <v>6</v>
      </c>
      <c r="S150">
        <v>12</v>
      </c>
      <c r="T150">
        <v>0</v>
      </c>
      <c r="U150">
        <v>0</v>
      </c>
      <c r="V150">
        <v>4</v>
      </c>
      <c r="W150">
        <v>0</v>
      </c>
      <c r="X150">
        <v>72</v>
      </c>
      <c r="Y150">
        <v>7005</v>
      </c>
      <c r="Z150" cm="1">
        <f t="array" ref="Z150:AR150">VLOOKUP(A150,advanced_pitchers_2019!A:Y,{3,4,5,6,7,8,9,10,11,12,13,14,15,16,17,18,19,20,21},FALSE)</f>
        <v>11.93</v>
      </c>
      <c r="AA150">
        <v>1.99</v>
      </c>
      <c r="AB150">
        <v>6</v>
      </c>
      <c r="AC150">
        <v>0.99</v>
      </c>
      <c r="AD150">
        <v>0.34100000000000003</v>
      </c>
      <c r="AE150">
        <v>5.7000000000000002E-2</v>
      </c>
      <c r="AF150">
        <v>0.28399999999999997</v>
      </c>
      <c r="AG150">
        <v>0.186</v>
      </c>
      <c r="AH150">
        <v>0.9</v>
      </c>
      <c r="AI150">
        <v>0.25600000000000001</v>
      </c>
      <c r="AJ150">
        <v>0.83699999999999997</v>
      </c>
      <c r="AK150">
        <v>52</v>
      </c>
      <c r="AL150">
        <v>59</v>
      </c>
      <c r="AM150">
        <v>49</v>
      </c>
      <c r="AN150">
        <v>2.3199999999999998</v>
      </c>
      <c r="AO150">
        <v>2.66</v>
      </c>
      <c r="AP150">
        <v>-0.34</v>
      </c>
      <c r="AQ150">
        <v>2.21</v>
      </c>
      <c r="AR150">
        <v>2.5499999999999998</v>
      </c>
      <c r="AS150" cm="1">
        <f t="array" ref="AS150:BA150">VLOOKUP(A150,plate_discipline_pitchers_2019!A:L,{3,4,5,6,7,8,9,10,11},FALSE)</f>
        <v>0.40600000000000003</v>
      </c>
      <c r="AT150">
        <v>0.63800000000000001</v>
      </c>
      <c r="AU150">
        <v>0.50800000000000001</v>
      </c>
      <c r="AV150">
        <v>0.46600000000000003</v>
      </c>
      <c r="AW150">
        <v>0.80300000000000005</v>
      </c>
      <c r="AX150">
        <v>0.65200000000000002</v>
      </c>
      <c r="AY150">
        <v>0.438</v>
      </c>
      <c r="AZ150">
        <v>0.621</v>
      </c>
      <c r="BA150">
        <v>0.17699999999999999</v>
      </c>
      <c r="BB150" cm="1">
        <f t="array" ref="BB150:BP150">VLOOKUP(A150,pitchvalue_pitchers_2019!A:Q,{3,4,5,6,7,8,9,10,11,12,13,14,15,16,17},FALSE)</f>
        <v>1.1000000000000001</v>
      </c>
      <c r="BC150">
        <v>5.5</v>
      </c>
      <c r="BD150">
        <v>0</v>
      </c>
      <c r="BE150">
        <v>7.9</v>
      </c>
      <c r="BF150">
        <v>0</v>
      </c>
      <c r="BG150">
        <v>0</v>
      </c>
      <c r="BH150">
        <v>0</v>
      </c>
      <c r="BI150">
        <v>0.37</v>
      </c>
      <c r="BJ150">
        <v>2.25</v>
      </c>
      <c r="BK150">
        <v>0</v>
      </c>
      <c r="BL150">
        <v>2.69</v>
      </c>
      <c r="BM150">
        <v>0</v>
      </c>
      <c r="BN150">
        <v>0</v>
      </c>
      <c r="BO150">
        <v>0</v>
      </c>
      <c r="BP150">
        <v>7005</v>
      </c>
      <c r="BQ150" cm="1">
        <f t="array" ref="BQ150:CH150">VLOOKUP(A150,battedball_pitchers_2019!A:U,{3,4,5,6,7,8,9,10,11,12,13,14,15,16,17,18,19,20},FALSE)</f>
        <v>0.25600000000000001</v>
      </c>
      <c r="BR150">
        <v>2.37</v>
      </c>
      <c r="BS150">
        <v>0.27800000000000002</v>
      </c>
      <c r="BT150">
        <v>0.50800000000000001</v>
      </c>
      <c r="BU150">
        <v>0.214</v>
      </c>
      <c r="BV150">
        <v>7.3999999999999996E-2</v>
      </c>
      <c r="BW150">
        <v>0.222</v>
      </c>
      <c r="BX150">
        <v>27</v>
      </c>
      <c r="BY150">
        <v>4.47</v>
      </c>
      <c r="BZ150">
        <v>261</v>
      </c>
      <c r="CA150">
        <v>576</v>
      </c>
      <c r="CB150">
        <v>837</v>
      </c>
      <c r="CC150">
        <v>0.46800000000000003</v>
      </c>
      <c r="CD150">
        <v>0.31</v>
      </c>
      <c r="CE150">
        <v>0.222</v>
      </c>
      <c r="CF150">
        <v>0.20599999999999999</v>
      </c>
      <c r="CG150">
        <v>0.42899999999999999</v>
      </c>
      <c r="CH150">
        <v>0.36499999999999999</v>
      </c>
      <c r="CI150" cm="1">
        <f t="array" ref="CI150:CS150">VLOOKUP(A150,verticalmove_pitchers_2019!A:N,{3,4,5,6,7,8,9,10,11,12,13},FALSE)</f>
        <v>54.1</v>
      </c>
      <c r="CJ150">
        <v>9.1</v>
      </c>
      <c r="CK150">
        <v>0</v>
      </c>
      <c r="CL150">
        <v>0</v>
      </c>
      <c r="CM150">
        <v>0</v>
      </c>
      <c r="CN150">
        <v>0</v>
      </c>
      <c r="CO150">
        <v>0.6</v>
      </c>
      <c r="CP150">
        <v>-7.9</v>
      </c>
      <c r="CQ150">
        <v>0</v>
      </c>
      <c r="CR150">
        <v>0</v>
      </c>
      <c r="CS150">
        <v>0</v>
      </c>
      <c r="CT150" cm="1">
        <f t="array" ref="CT150:DD150">VLOOKUP(A150,velocity_pitchers_2019!A:N,{3,4,5,6,7,8,9,10,11,12,13},FALSE)</f>
        <v>54.1</v>
      </c>
      <c r="CU150">
        <v>95.8</v>
      </c>
      <c r="CV150">
        <v>0</v>
      </c>
      <c r="CW150">
        <v>0</v>
      </c>
      <c r="CX150">
        <v>90</v>
      </c>
      <c r="CY150">
        <v>0</v>
      </c>
      <c r="CZ150">
        <v>90.3</v>
      </c>
      <c r="DA150">
        <v>83.1</v>
      </c>
      <c r="DB150">
        <v>0</v>
      </c>
      <c r="DC150">
        <v>0</v>
      </c>
      <c r="DD150">
        <v>0</v>
      </c>
    </row>
    <row r="151" spans="1:108" x14ac:dyDescent="0.3">
      <c r="A151" t="s">
        <v>110</v>
      </c>
      <c r="B151" t="str" cm="1">
        <f t="array" ref="B151:Y151">VLOOKUP(A151,standard_pitchers_2019!A:Y,{2,3,4,5,6,7,8,9,10,11,12,13,14,15,16,17,18,19,20,21,22,23,24,25},FALSE)</f>
        <v>Angels</v>
      </c>
      <c r="C151">
        <v>3</v>
      </c>
      <c r="D151">
        <v>3</v>
      </c>
      <c r="E151">
        <v>3.23</v>
      </c>
      <c r="F151">
        <v>59</v>
      </c>
      <c r="G151">
        <v>7</v>
      </c>
      <c r="H151">
        <v>0</v>
      </c>
      <c r="I151">
        <v>0</v>
      </c>
      <c r="J151">
        <v>1</v>
      </c>
      <c r="K151">
        <v>15</v>
      </c>
      <c r="L151">
        <v>2</v>
      </c>
      <c r="M151">
        <v>61.1</v>
      </c>
      <c r="N151">
        <v>258</v>
      </c>
      <c r="O151">
        <v>48</v>
      </c>
      <c r="P151">
        <v>30</v>
      </c>
      <c r="Q151">
        <v>22</v>
      </c>
      <c r="R151">
        <v>7</v>
      </c>
      <c r="S151">
        <v>22</v>
      </c>
      <c r="T151">
        <v>0</v>
      </c>
      <c r="U151">
        <v>3</v>
      </c>
      <c r="V151">
        <v>9</v>
      </c>
      <c r="W151">
        <v>0</v>
      </c>
      <c r="X151">
        <v>64</v>
      </c>
      <c r="Y151">
        <v>13360</v>
      </c>
      <c r="Z151" cm="1">
        <f t="array" ref="Z151:AR151">VLOOKUP(A151,advanced_pitchers_2019!A:Y,{3,4,5,6,7,8,9,10,11,12,13,14,15,16,17,18,19,20,21},FALSE)</f>
        <v>9.39</v>
      </c>
      <c r="AA151">
        <v>3.23</v>
      </c>
      <c r="AB151">
        <v>2.91</v>
      </c>
      <c r="AC151">
        <v>1.03</v>
      </c>
      <c r="AD151">
        <v>0.248</v>
      </c>
      <c r="AE151">
        <v>8.5000000000000006E-2</v>
      </c>
      <c r="AF151">
        <v>0.16300000000000001</v>
      </c>
      <c r="AG151">
        <v>0.20599999999999999</v>
      </c>
      <c r="AH151">
        <v>1.1399999999999999</v>
      </c>
      <c r="AI151">
        <v>0.253</v>
      </c>
      <c r="AJ151">
        <v>0.68</v>
      </c>
      <c r="AK151">
        <v>72</v>
      </c>
      <c r="AL151">
        <v>84</v>
      </c>
      <c r="AM151">
        <v>91</v>
      </c>
      <c r="AN151">
        <v>3.23</v>
      </c>
      <c r="AO151">
        <v>3.83</v>
      </c>
      <c r="AP151">
        <v>-0.61</v>
      </c>
      <c r="AQ151">
        <v>4.17</v>
      </c>
      <c r="AR151">
        <v>3.98</v>
      </c>
      <c r="AS151" cm="1">
        <f t="array" ref="AS151:BA151">VLOOKUP(A151,plate_discipline_pitchers_2019!A:L,{3,4,5,6,7,8,9,10,11},FALSE)</f>
        <v>0.28599999999999998</v>
      </c>
      <c r="AT151">
        <v>0.63700000000000001</v>
      </c>
      <c r="AU151">
        <v>0.439</v>
      </c>
      <c r="AV151">
        <v>0.50900000000000001</v>
      </c>
      <c r="AW151">
        <v>0.85499999999999998</v>
      </c>
      <c r="AX151">
        <v>0.72799999999999998</v>
      </c>
      <c r="AY151">
        <v>0.435</v>
      </c>
      <c r="AZ151">
        <v>0.57799999999999996</v>
      </c>
      <c r="BA151">
        <v>0.11899999999999999</v>
      </c>
      <c r="BB151" cm="1">
        <f t="array" ref="BB151:BP151">VLOOKUP(A151,pitchvalue_pitchers_2019!A:Q,{3,4,5,6,7,8,9,10,11,12,13,14,15,16,17},FALSE)</f>
        <v>0.9</v>
      </c>
      <c r="BC151">
        <v>8.3000000000000007</v>
      </c>
      <c r="BD151">
        <v>0</v>
      </c>
      <c r="BE151">
        <v>0</v>
      </c>
      <c r="BF151">
        <v>0</v>
      </c>
      <c r="BG151">
        <v>-1.2</v>
      </c>
      <c r="BH151">
        <v>0</v>
      </c>
      <c r="BI151">
        <v>0.19</v>
      </c>
      <c r="BJ151">
        <v>1.59</v>
      </c>
      <c r="BK151">
        <v>0</v>
      </c>
      <c r="BL151">
        <v>0</v>
      </c>
      <c r="BM151">
        <v>0</v>
      </c>
      <c r="BN151">
        <v>-9.23</v>
      </c>
      <c r="BO151">
        <v>0</v>
      </c>
      <c r="BP151">
        <v>13360</v>
      </c>
      <c r="BQ151" cm="1">
        <f t="array" ref="BQ151:CH151">VLOOKUP(A151,battedball_pitchers_2019!A:U,{3,4,5,6,7,8,9,10,11,12,13,14,15,16,17,18,19,20},FALSE)</f>
        <v>0.253</v>
      </c>
      <c r="BR151">
        <v>1.43</v>
      </c>
      <c r="BS151">
        <v>0.19</v>
      </c>
      <c r="BT151">
        <v>0.47599999999999998</v>
      </c>
      <c r="BU151">
        <v>0.33300000000000002</v>
      </c>
      <c r="BV151">
        <v>7.0999999999999994E-2</v>
      </c>
      <c r="BW151">
        <v>0.125</v>
      </c>
      <c r="BX151">
        <v>40</v>
      </c>
      <c r="BY151">
        <v>5.87</v>
      </c>
      <c r="BZ151">
        <v>386</v>
      </c>
      <c r="CA151">
        <v>635</v>
      </c>
      <c r="CB151">
        <v>1021</v>
      </c>
      <c r="CC151">
        <v>0.36099999999999999</v>
      </c>
      <c r="CD151">
        <v>0.34300000000000003</v>
      </c>
      <c r="CE151">
        <v>0.29599999999999999</v>
      </c>
      <c r="CF151">
        <v>0.16</v>
      </c>
      <c r="CG151">
        <v>0.432</v>
      </c>
      <c r="CH151">
        <v>0.40799999999999997</v>
      </c>
      <c r="CI151" cm="1">
        <f t="array" ref="CI151:CS151">VLOOKUP(A151,verticalmove_pitchers_2019!A:N,{3,4,5,6,7,8,9,10,11,12,13},FALSE)</f>
        <v>61.1</v>
      </c>
      <c r="CJ151">
        <v>9.4</v>
      </c>
      <c r="CK151">
        <v>0</v>
      </c>
      <c r="CL151">
        <v>0</v>
      </c>
      <c r="CM151">
        <v>0</v>
      </c>
      <c r="CN151">
        <v>8.1</v>
      </c>
      <c r="CO151">
        <v>-3.4</v>
      </c>
      <c r="CP151">
        <v>0</v>
      </c>
      <c r="CQ151">
        <v>0</v>
      </c>
      <c r="CR151">
        <v>0</v>
      </c>
      <c r="CS151">
        <v>0</v>
      </c>
      <c r="CT151" cm="1">
        <f t="array" ref="CT151:DD151">VLOOKUP(A151,velocity_pitchers_2019!A:N,{3,4,5,6,7,8,9,10,11,12,13},FALSE)</f>
        <v>61.1</v>
      </c>
      <c r="CU151">
        <v>93.3</v>
      </c>
      <c r="CV151">
        <v>0</v>
      </c>
      <c r="CW151">
        <v>0</v>
      </c>
      <c r="CX151">
        <v>0</v>
      </c>
      <c r="CY151">
        <v>86.4</v>
      </c>
      <c r="CZ151">
        <v>83.6</v>
      </c>
      <c r="DA151">
        <v>0</v>
      </c>
      <c r="DB151">
        <v>0</v>
      </c>
      <c r="DC151">
        <v>0</v>
      </c>
      <c r="DD151">
        <v>0</v>
      </c>
    </row>
    <row r="152" spans="1:108" x14ac:dyDescent="0.3">
      <c r="A152" t="s">
        <v>79</v>
      </c>
      <c r="B152" t="str" cm="1">
        <f t="array" ref="B152:Y152">VLOOKUP(A152,standard_pitchers_2019!A:Y,{2,3,4,5,6,7,8,9,10,11,12,13,14,15,16,17,18,19,20,21,22,23,24,25},FALSE)</f>
        <v>Athletics</v>
      </c>
      <c r="C152">
        <v>5</v>
      </c>
      <c r="D152">
        <v>3</v>
      </c>
      <c r="E152">
        <v>2.71</v>
      </c>
      <c r="F152">
        <v>80</v>
      </c>
      <c r="G152">
        <v>0</v>
      </c>
      <c r="H152">
        <v>0</v>
      </c>
      <c r="I152">
        <v>0</v>
      </c>
      <c r="J152">
        <v>0</v>
      </c>
      <c r="K152">
        <v>29</v>
      </c>
      <c r="L152">
        <v>1</v>
      </c>
      <c r="M152">
        <v>83</v>
      </c>
      <c r="N152">
        <v>308</v>
      </c>
      <c r="O152">
        <v>57</v>
      </c>
      <c r="P152">
        <v>25</v>
      </c>
      <c r="Q152">
        <v>25</v>
      </c>
      <c r="R152">
        <v>11</v>
      </c>
      <c r="S152">
        <v>10</v>
      </c>
      <c r="T152">
        <v>0</v>
      </c>
      <c r="U152">
        <v>0</v>
      </c>
      <c r="V152">
        <v>2</v>
      </c>
      <c r="W152">
        <v>0</v>
      </c>
      <c r="X152">
        <v>71</v>
      </c>
      <c r="Y152">
        <v>4020</v>
      </c>
      <c r="Z152" cm="1">
        <f t="array" ref="Z152:AR152">VLOOKUP(A152,advanced_pitchers_2019!A:Y,{3,4,5,6,7,8,9,10,11,12,13,14,15,16,17,18,19,20,21},FALSE)</f>
        <v>7.7</v>
      </c>
      <c r="AA152">
        <v>1.08</v>
      </c>
      <c r="AB152">
        <v>7.1</v>
      </c>
      <c r="AC152">
        <v>1.19</v>
      </c>
      <c r="AD152">
        <v>0.23100000000000001</v>
      </c>
      <c r="AE152">
        <v>3.2000000000000001E-2</v>
      </c>
      <c r="AF152">
        <v>0.19800000000000001</v>
      </c>
      <c r="AG152">
        <v>0.191</v>
      </c>
      <c r="AH152">
        <v>0.81</v>
      </c>
      <c r="AI152">
        <v>0.21299999999999999</v>
      </c>
      <c r="AJ152">
        <v>0.81399999999999995</v>
      </c>
      <c r="AK152">
        <v>61</v>
      </c>
      <c r="AL152">
        <v>81</v>
      </c>
      <c r="AM152">
        <v>98</v>
      </c>
      <c r="AN152">
        <v>2.71</v>
      </c>
      <c r="AO152">
        <v>3.59</v>
      </c>
      <c r="AP152">
        <v>-0.88</v>
      </c>
      <c r="AQ152">
        <v>4.4800000000000004</v>
      </c>
      <c r="AR152">
        <v>3.9</v>
      </c>
      <c r="AS152" cm="1">
        <f t="array" ref="AS152:BA152">VLOOKUP(A152,plate_discipline_pitchers_2019!A:L,{3,4,5,6,7,8,9,10,11},FALSE)</f>
        <v>0.32700000000000001</v>
      </c>
      <c r="AT152">
        <v>0.73799999999999999</v>
      </c>
      <c r="AU152">
        <v>0.49099999999999999</v>
      </c>
      <c r="AV152">
        <v>0.69</v>
      </c>
      <c r="AW152">
        <v>0.82099999999999995</v>
      </c>
      <c r="AX152">
        <v>0.76900000000000002</v>
      </c>
      <c r="AY152">
        <v>0.4</v>
      </c>
      <c r="AZ152">
        <v>0.64600000000000002</v>
      </c>
      <c r="BA152">
        <v>0.114</v>
      </c>
      <c r="BB152" cm="1">
        <f t="array" ref="BB152:BP152">VLOOKUP(A152,pitchvalue_pitchers_2019!A:Q,{3,4,5,6,7,8,9,10,11,12,13,14,15,16,17},FALSE)</f>
        <v>0.9</v>
      </c>
      <c r="BC152">
        <v>8.5</v>
      </c>
      <c r="BD152">
        <v>0</v>
      </c>
      <c r="BE152">
        <v>5.7</v>
      </c>
      <c r="BF152">
        <v>5.6</v>
      </c>
      <c r="BG152">
        <v>0</v>
      </c>
      <c r="BH152">
        <v>0</v>
      </c>
      <c r="BI152">
        <v>0.17</v>
      </c>
      <c r="BJ152">
        <v>3.47</v>
      </c>
      <c r="BK152">
        <v>0</v>
      </c>
      <c r="BL152">
        <v>3.46</v>
      </c>
      <c r="BM152">
        <v>2.5</v>
      </c>
      <c r="BN152">
        <v>0</v>
      </c>
      <c r="BO152">
        <v>0</v>
      </c>
      <c r="BP152">
        <v>4020</v>
      </c>
      <c r="BQ152" cm="1">
        <f t="array" ref="BQ152:CH152">VLOOKUP(A152,battedball_pitchers_2019!A:U,{3,4,5,6,7,8,9,10,11,12,13,14,15,16,17,18,19,20},FALSE)</f>
        <v>0.21299999999999999</v>
      </c>
      <c r="BR152">
        <v>0.61</v>
      </c>
      <c r="BS152">
        <v>0.20799999999999999</v>
      </c>
      <c r="BT152">
        <v>0.29899999999999999</v>
      </c>
      <c r="BU152">
        <v>0.49299999999999999</v>
      </c>
      <c r="BV152">
        <v>0.11</v>
      </c>
      <c r="BW152">
        <v>0.10100000000000001</v>
      </c>
      <c r="BX152">
        <v>36</v>
      </c>
      <c r="BY152">
        <v>3.9</v>
      </c>
      <c r="BZ152">
        <v>395</v>
      </c>
      <c r="CA152">
        <v>759</v>
      </c>
      <c r="CB152">
        <v>1154</v>
      </c>
      <c r="CC152">
        <v>0.35699999999999998</v>
      </c>
      <c r="CD152">
        <v>0.41899999999999998</v>
      </c>
      <c r="CE152">
        <v>0.22500000000000001</v>
      </c>
      <c r="CF152">
        <v>0.159</v>
      </c>
      <c r="CG152">
        <v>0.49299999999999999</v>
      </c>
      <c r="CH152">
        <v>0.34799999999999998</v>
      </c>
      <c r="CI152" cm="1">
        <f t="array" ref="CI152:CS152">VLOOKUP(A152,verticalmove_pitchers_2019!A:N,{3,4,5,6,7,8,9,10,11,12,13},FALSE)</f>
        <v>83</v>
      </c>
      <c r="CJ152">
        <v>9.5</v>
      </c>
      <c r="CK152">
        <v>8.6</v>
      </c>
      <c r="CL152">
        <v>0</v>
      </c>
      <c r="CM152">
        <v>0</v>
      </c>
      <c r="CN152">
        <v>8.4</v>
      </c>
      <c r="CO152">
        <v>0</v>
      </c>
      <c r="CP152">
        <v>0.8</v>
      </c>
      <c r="CQ152">
        <v>0</v>
      </c>
      <c r="CR152">
        <v>0</v>
      </c>
      <c r="CS152">
        <v>0</v>
      </c>
      <c r="CT152" cm="1">
        <f t="array" ref="CT152:DD152">VLOOKUP(A152,velocity_pitchers_2019!A:N,{3,4,5,6,7,8,9,10,11,12,13},FALSE)</f>
        <v>83</v>
      </c>
      <c r="CU152">
        <v>89.5</v>
      </c>
      <c r="CV152">
        <v>85.8</v>
      </c>
      <c r="CW152">
        <v>0</v>
      </c>
      <c r="CX152">
        <v>0</v>
      </c>
      <c r="CY152">
        <v>81.900000000000006</v>
      </c>
      <c r="CZ152">
        <v>0</v>
      </c>
      <c r="DA152">
        <v>76.7</v>
      </c>
      <c r="DB152">
        <v>0</v>
      </c>
      <c r="DC152">
        <v>0</v>
      </c>
      <c r="DD152">
        <v>0</v>
      </c>
    </row>
    <row r="153" spans="1:108" x14ac:dyDescent="0.3">
      <c r="A153" t="s">
        <v>226</v>
      </c>
      <c r="B153" t="str" cm="1">
        <f t="array" ref="B153:Y153">VLOOKUP(A153,standard_pitchers_2019!A:Y,{2,3,4,5,6,7,8,9,10,11,12,13,14,15,16,17,18,19,20,21,22,23,24,25},FALSE)</f>
        <v>Red Sox</v>
      </c>
      <c r="C153">
        <v>7</v>
      </c>
      <c r="D153">
        <v>5</v>
      </c>
      <c r="E153">
        <v>4.28</v>
      </c>
      <c r="F153">
        <v>22</v>
      </c>
      <c r="G153">
        <v>22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107.1</v>
      </c>
      <c r="N153">
        <v>458</v>
      </c>
      <c r="O153">
        <v>109</v>
      </c>
      <c r="P153">
        <v>57</v>
      </c>
      <c r="Q153">
        <v>51</v>
      </c>
      <c r="R153">
        <v>15</v>
      </c>
      <c r="S153">
        <v>32</v>
      </c>
      <c r="T153">
        <v>0</v>
      </c>
      <c r="U153">
        <v>3</v>
      </c>
      <c r="V153">
        <v>3</v>
      </c>
      <c r="W153">
        <v>1</v>
      </c>
      <c r="X153">
        <v>128</v>
      </c>
      <c r="Y153">
        <v>3184</v>
      </c>
      <c r="Z153" cm="1">
        <f t="array" ref="Z153:AR153">VLOOKUP(A153,advanced_pitchers_2019!A:Y,{3,4,5,6,7,8,9,10,11,12,13,14,15,16,17,18,19,20,21},FALSE)</f>
        <v>10.73</v>
      </c>
      <c r="AA153">
        <v>2.68</v>
      </c>
      <c r="AB153">
        <v>4</v>
      </c>
      <c r="AC153">
        <v>1.26</v>
      </c>
      <c r="AD153">
        <v>0.27900000000000003</v>
      </c>
      <c r="AE153">
        <v>7.0000000000000007E-2</v>
      </c>
      <c r="AF153">
        <v>0.21</v>
      </c>
      <c r="AG153">
        <v>0.25800000000000001</v>
      </c>
      <c r="AH153">
        <v>1.31</v>
      </c>
      <c r="AI153">
        <v>0.33600000000000002</v>
      </c>
      <c r="AJ153">
        <v>0.70699999999999996</v>
      </c>
      <c r="AK153">
        <v>89</v>
      </c>
      <c r="AL153">
        <v>80</v>
      </c>
      <c r="AM153">
        <v>82</v>
      </c>
      <c r="AN153">
        <v>4.28</v>
      </c>
      <c r="AO153">
        <v>3.62</v>
      </c>
      <c r="AP153">
        <v>0.65</v>
      </c>
      <c r="AQ153">
        <v>3.73</v>
      </c>
      <c r="AR153">
        <v>3.85</v>
      </c>
      <c r="AS153" cm="1">
        <f t="array" ref="AS153:BA153">VLOOKUP(A153,plate_discipline_pitchers_2019!A:L,{3,4,5,6,7,8,9,10,11},FALSE)</f>
        <v>0.3</v>
      </c>
      <c r="AT153">
        <v>0.71599999999999997</v>
      </c>
      <c r="AU153">
        <v>0.47499999999999998</v>
      </c>
      <c r="AV153">
        <v>0.66400000000000003</v>
      </c>
      <c r="AW153">
        <v>0.82199999999999995</v>
      </c>
      <c r="AX153">
        <v>0.76400000000000001</v>
      </c>
      <c r="AY153">
        <v>0.42099999999999999</v>
      </c>
      <c r="AZ153">
        <v>0.67900000000000005</v>
      </c>
      <c r="BA153">
        <v>0.112</v>
      </c>
      <c r="BB153" cm="1">
        <f t="array" ref="BB153:BP153">VLOOKUP(A153,pitchvalue_pitchers_2019!A:Q,{3,4,5,6,7,8,9,10,11,12,13,14,15,16,17},FALSE)</f>
        <v>0.8</v>
      </c>
      <c r="BC153">
        <v>0</v>
      </c>
      <c r="BD153">
        <v>0.5</v>
      </c>
      <c r="BE153">
        <v>1.7</v>
      </c>
      <c r="BF153">
        <v>-3.1</v>
      </c>
      <c r="BG153">
        <v>0</v>
      </c>
      <c r="BH153">
        <v>0</v>
      </c>
      <c r="BI153">
        <v>0.08</v>
      </c>
      <c r="BJ153">
        <v>0</v>
      </c>
      <c r="BK153">
        <v>0.14000000000000001</v>
      </c>
      <c r="BL153">
        <v>3.65</v>
      </c>
      <c r="BM153">
        <v>-0.65</v>
      </c>
      <c r="BN153">
        <v>0</v>
      </c>
      <c r="BO153">
        <v>0</v>
      </c>
      <c r="BP153">
        <v>3184</v>
      </c>
      <c r="BQ153" cm="1">
        <f t="array" ref="BQ153:CH153">VLOOKUP(A153,battedball_pitchers_2019!A:U,{3,4,5,6,7,8,9,10,11,12,13,14,15,16,17,18,19,20},FALSE)</f>
        <v>0.33600000000000002</v>
      </c>
      <c r="BR153">
        <v>1.1499999999999999</v>
      </c>
      <c r="BS153">
        <v>0.23499999999999999</v>
      </c>
      <c r="BT153">
        <v>0.41</v>
      </c>
      <c r="BU153">
        <v>0.35499999999999998</v>
      </c>
      <c r="BV153">
        <v>0.115</v>
      </c>
      <c r="BW153">
        <v>0.14399999999999999</v>
      </c>
      <c r="BX153">
        <v>68</v>
      </c>
      <c r="BY153">
        <v>5.7</v>
      </c>
      <c r="BZ153">
        <v>642</v>
      </c>
      <c r="CA153">
        <v>1220</v>
      </c>
      <c r="CB153">
        <v>1862</v>
      </c>
      <c r="CC153">
        <v>0.42399999999999999</v>
      </c>
      <c r="CD153">
        <v>0.32900000000000001</v>
      </c>
      <c r="CE153">
        <v>0.247</v>
      </c>
      <c r="CF153">
        <v>0.19700000000000001</v>
      </c>
      <c r="CG153">
        <v>0.434</v>
      </c>
      <c r="CH153">
        <v>0.36899999999999999</v>
      </c>
      <c r="CI153" cm="1">
        <f t="array" ref="CI153:CS153">VLOOKUP(A153,verticalmove_pitchers_2019!A:N,{3,4,5,6,7,8,9,10,11,12,13},FALSE)</f>
        <v>107.1</v>
      </c>
      <c r="CJ153">
        <v>8</v>
      </c>
      <c r="CK153">
        <v>4.8</v>
      </c>
      <c r="CL153">
        <v>0</v>
      </c>
      <c r="CM153">
        <v>5.8</v>
      </c>
      <c r="CN153">
        <v>2.4</v>
      </c>
      <c r="CO153">
        <v>0</v>
      </c>
      <c r="CP153">
        <v>-1.6</v>
      </c>
      <c r="CQ153">
        <v>0</v>
      </c>
      <c r="CR153">
        <v>0</v>
      </c>
      <c r="CS153">
        <v>0</v>
      </c>
      <c r="CT153" cm="1">
        <f t="array" ref="CT153:DD153">VLOOKUP(A153,velocity_pitchers_2019!A:N,{3,4,5,6,7,8,9,10,11,12,13},FALSE)</f>
        <v>107.1</v>
      </c>
      <c r="CU153">
        <v>92.4</v>
      </c>
      <c r="CV153">
        <v>88.8</v>
      </c>
      <c r="CW153">
        <v>0</v>
      </c>
      <c r="CX153">
        <v>92.1</v>
      </c>
      <c r="CY153">
        <v>84.4</v>
      </c>
      <c r="CZ153">
        <v>0</v>
      </c>
      <c r="DA153">
        <v>80.7</v>
      </c>
      <c r="DB153">
        <v>0</v>
      </c>
      <c r="DC153">
        <v>0</v>
      </c>
      <c r="DD153">
        <v>0</v>
      </c>
    </row>
    <row r="154" spans="1:108" x14ac:dyDescent="0.3">
      <c r="A154" t="s">
        <v>118</v>
      </c>
      <c r="B154" t="str" cm="1">
        <f t="array" ref="B154:Y154">VLOOKUP(A154,standard_pitchers_2019!A:Y,{2,3,4,5,6,7,8,9,10,11,12,13,14,15,16,17,18,19,20,21,22,23,24,25},FALSE)</f>
        <v>- - -</v>
      </c>
      <c r="C154">
        <v>5</v>
      </c>
      <c r="D154">
        <v>1</v>
      </c>
      <c r="E154">
        <v>3.32</v>
      </c>
      <c r="F154">
        <v>61</v>
      </c>
      <c r="G154">
        <v>0</v>
      </c>
      <c r="H154">
        <v>0</v>
      </c>
      <c r="I154">
        <v>0</v>
      </c>
      <c r="J154">
        <v>2</v>
      </c>
      <c r="K154">
        <v>23</v>
      </c>
      <c r="L154">
        <v>2</v>
      </c>
      <c r="M154">
        <v>62.1</v>
      </c>
      <c r="N154">
        <v>249</v>
      </c>
      <c r="O154">
        <v>53</v>
      </c>
      <c r="P154">
        <v>26</v>
      </c>
      <c r="Q154">
        <v>23</v>
      </c>
      <c r="R154">
        <v>6</v>
      </c>
      <c r="S154">
        <v>13</v>
      </c>
      <c r="T154">
        <v>0</v>
      </c>
      <c r="U154">
        <v>3</v>
      </c>
      <c r="V154">
        <v>1</v>
      </c>
      <c r="W154">
        <v>0</v>
      </c>
      <c r="X154">
        <v>55</v>
      </c>
      <c r="Y154">
        <v>11710</v>
      </c>
      <c r="Z154" cm="1">
        <f t="array" ref="Z154:AR154">VLOOKUP(A154,advanced_pitchers_2019!A:Y,{3,4,5,6,7,8,9,10,11,12,13,14,15,16,17,18,19,20,21},FALSE)</f>
        <v>7.94</v>
      </c>
      <c r="AA154">
        <v>1.88</v>
      </c>
      <c r="AB154">
        <v>4.2300000000000004</v>
      </c>
      <c r="AC154">
        <v>0.87</v>
      </c>
      <c r="AD154">
        <v>0.221</v>
      </c>
      <c r="AE154">
        <v>5.1999999999999998E-2</v>
      </c>
      <c r="AF154">
        <v>0.16900000000000001</v>
      </c>
      <c r="AG154">
        <v>0.22700000000000001</v>
      </c>
      <c r="AH154">
        <v>1.06</v>
      </c>
      <c r="AI154">
        <v>0.27300000000000002</v>
      </c>
      <c r="AJ154">
        <v>0.71</v>
      </c>
      <c r="AK154">
        <v>76</v>
      </c>
      <c r="AL154">
        <v>80</v>
      </c>
      <c r="AM154">
        <v>84</v>
      </c>
      <c r="AN154">
        <v>3.32</v>
      </c>
      <c r="AO154">
        <v>3.47</v>
      </c>
      <c r="AP154">
        <v>-0.15</v>
      </c>
      <c r="AQ154">
        <v>3.75</v>
      </c>
      <c r="AR154">
        <v>3.67</v>
      </c>
      <c r="AS154" cm="1">
        <f t="array" ref="AS154:BA154">VLOOKUP(A154,plate_discipline_pitchers_2019!A:L,{3,4,5,6,7,8,9,10,11},FALSE)</f>
        <v>0.30299999999999999</v>
      </c>
      <c r="AT154">
        <v>0.72899999999999998</v>
      </c>
      <c r="AU154">
        <v>0.49199999999999999</v>
      </c>
      <c r="AV154">
        <v>0.73399999999999999</v>
      </c>
      <c r="AW154">
        <v>0.872</v>
      </c>
      <c r="AX154">
        <v>0.82499999999999996</v>
      </c>
      <c r="AY154">
        <v>0.443</v>
      </c>
      <c r="AZ154">
        <v>0.63500000000000001</v>
      </c>
      <c r="BA154">
        <v>8.5999999999999993E-2</v>
      </c>
      <c r="BB154" cm="1">
        <f t="array" ref="BB154:BP154">VLOOKUP(A154,pitchvalue_pitchers_2019!A:Q,{3,4,5,6,7,8,9,10,11,12,13,14,15,16,17},FALSE)</f>
        <v>0.8</v>
      </c>
      <c r="BC154">
        <v>1.7</v>
      </c>
      <c r="BD154">
        <v>5.5</v>
      </c>
      <c r="BE154">
        <v>0</v>
      </c>
      <c r="BF154">
        <v>0.9</v>
      </c>
      <c r="BG154">
        <v>0</v>
      </c>
      <c r="BH154">
        <v>0</v>
      </c>
      <c r="BI154">
        <v>0.16</v>
      </c>
      <c r="BJ154">
        <v>2.8</v>
      </c>
      <c r="BK154">
        <v>2.63</v>
      </c>
      <c r="BL154">
        <v>0</v>
      </c>
      <c r="BM154">
        <v>0.96</v>
      </c>
      <c r="BN154">
        <v>0</v>
      </c>
      <c r="BO154">
        <v>0</v>
      </c>
      <c r="BP154">
        <v>11710</v>
      </c>
      <c r="BQ154" cm="1">
        <f t="array" ref="BQ154:CH154">VLOOKUP(A154,battedball_pitchers_2019!A:U,{3,4,5,6,7,8,9,10,11,12,13,14,15,16,17,18,19,20},FALSE)</f>
        <v>0.27300000000000002</v>
      </c>
      <c r="BR154">
        <v>1.9</v>
      </c>
      <c r="BS154">
        <v>0.17799999999999999</v>
      </c>
      <c r="BT154">
        <v>0.53800000000000003</v>
      </c>
      <c r="BU154">
        <v>0.28399999999999997</v>
      </c>
      <c r="BV154">
        <v>0.104</v>
      </c>
      <c r="BW154">
        <v>0.125</v>
      </c>
      <c r="BX154">
        <v>37</v>
      </c>
      <c r="BY154">
        <v>5.34</v>
      </c>
      <c r="BZ154">
        <v>280</v>
      </c>
      <c r="CA154">
        <v>568</v>
      </c>
      <c r="CB154">
        <v>848</v>
      </c>
      <c r="CC154">
        <v>0.35399999999999998</v>
      </c>
      <c r="CD154">
        <v>0.38800000000000001</v>
      </c>
      <c r="CE154">
        <v>0.25800000000000001</v>
      </c>
      <c r="CF154">
        <v>0.185</v>
      </c>
      <c r="CG154">
        <v>0.52200000000000002</v>
      </c>
      <c r="CH154">
        <v>0.29199999999999998</v>
      </c>
      <c r="CI154" cm="1">
        <f t="array" ref="CI154:CS154">VLOOKUP(A154,verticalmove_pitchers_2019!A:N,{3,4,5,6,7,8,9,10,11,12,13},FALSE)</f>
        <v>62.1</v>
      </c>
      <c r="CJ154">
        <v>6</v>
      </c>
      <c r="CK154">
        <v>3.7</v>
      </c>
      <c r="CL154">
        <v>0</v>
      </c>
      <c r="CM154">
        <v>1.3</v>
      </c>
      <c r="CN154">
        <v>0</v>
      </c>
      <c r="CO154">
        <v>-5.5</v>
      </c>
      <c r="CP154">
        <v>0</v>
      </c>
      <c r="CQ154">
        <v>0</v>
      </c>
      <c r="CR154">
        <v>0</v>
      </c>
      <c r="CS154">
        <v>0</v>
      </c>
      <c r="CT154" cm="1">
        <f t="array" ref="CT154:DD154">VLOOKUP(A154,velocity_pitchers_2019!A:N,{3,4,5,6,7,8,9,10,11,12,13},FALSE)</f>
        <v>62.1</v>
      </c>
      <c r="CU154">
        <v>94</v>
      </c>
      <c r="CV154">
        <v>91</v>
      </c>
      <c r="CW154">
        <v>0</v>
      </c>
      <c r="CX154">
        <v>94</v>
      </c>
      <c r="CY154">
        <v>87.5</v>
      </c>
      <c r="CZ154">
        <v>83.3</v>
      </c>
      <c r="DA154">
        <v>0</v>
      </c>
      <c r="DB154">
        <v>0</v>
      </c>
      <c r="DC154">
        <v>0</v>
      </c>
      <c r="DD154">
        <v>0</v>
      </c>
    </row>
    <row r="155" spans="1:108" x14ac:dyDescent="0.3">
      <c r="A155" t="s">
        <v>209</v>
      </c>
      <c r="B155" t="str" cm="1">
        <f t="array" ref="B155:Y155">VLOOKUP(A155,standard_pitchers_2019!A:Y,{2,3,4,5,6,7,8,9,10,11,12,13,14,15,16,17,18,19,20,21,22,23,24,25},FALSE)</f>
        <v>- - -</v>
      </c>
      <c r="C155">
        <v>5</v>
      </c>
      <c r="D155">
        <v>2</v>
      </c>
      <c r="E155">
        <v>4.09</v>
      </c>
      <c r="F155">
        <v>50</v>
      </c>
      <c r="G155">
        <v>0</v>
      </c>
      <c r="H155">
        <v>0</v>
      </c>
      <c r="I155">
        <v>0</v>
      </c>
      <c r="J155">
        <v>5</v>
      </c>
      <c r="K155">
        <v>1</v>
      </c>
      <c r="L155">
        <v>2</v>
      </c>
      <c r="M155">
        <v>50.2</v>
      </c>
      <c r="N155">
        <v>229</v>
      </c>
      <c r="O155">
        <v>51</v>
      </c>
      <c r="P155">
        <v>31</v>
      </c>
      <c r="Q155">
        <v>23</v>
      </c>
      <c r="R155">
        <v>7</v>
      </c>
      <c r="S155">
        <v>20</v>
      </c>
      <c r="T155">
        <v>3</v>
      </c>
      <c r="U155">
        <v>2</v>
      </c>
      <c r="V155">
        <v>5</v>
      </c>
      <c r="W155">
        <v>0</v>
      </c>
      <c r="X155">
        <v>64</v>
      </c>
      <c r="Y155">
        <v>3950</v>
      </c>
      <c r="Z155" cm="1">
        <f t="array" ref="Z155:AR155">VLOOKUP(A155,advanced_pitchers_2019!A:Y,{3,4,5,6,7,8,9,10,11,12,13,14,15,16,17,18,19,20,21},FALSE)</f>
        <v>11.37</v>
      </c>
      <c r="AA155">
        <v>3.55</v>
      </c>
      <c r="AB155">
        <v>3.2</v>
      </c>
      <c r="AC155">
        <v>1.24</v>
      </c>
      <c r="AD155">
        <v>0.27900000000000003</v>
      </c>
      <c r="AE155">
        <v>8.6999999999999994E-2</v>
      </c>
      <c r="AF155">
        <v>0.192</v>
      </c>
      <c r="AG155">
        <v>0.246</v>
      </c>
      <c r="AH155">
        <v>1.4</v>
      </c>
      <c r="AI155">
        <v>0.32400000000000001</v>
      </c>
      <c r="AJ155">
        <v>0.66500000000000004</v>
      </c>
      <c r="AK155">
        <v>89</v>
      </c>
      <c r="AL155">
        <v>83</v>
      </c>
      <c r="AM155">
        <v>87</v>
      </c>
      <c r="AN155">
        <v>4.09</v>
      </c>
      <c r="AO155">
        <v>3.79</v>
      </c>
      <c r="AP155">
        <v>0.3</v>
      </c>
      <c r="AQ155">
        <v>3.95</v>
      </c>
      <c r="AR155">
        <v>3.71</v>
      </c>
      <c r="AS155" cm="1">
        <f t="array" ref="AS155:BA155">VLOOKUP(A155,plate_discipline_pitchers_2019!A:L,{3,4,5,6,7,8,9,10,11},FALSE)</f>
        <v>0.33900000000000002</v>
      </c>
      <c r="AT155">
        <v>0.68</v>
      </c>
      <c r="AU155">
        <v>0.48199999999999998</v>
      </c>
      <c r="AV155">
        <v>0.53400000000000003</v>
      </c>
      <c r="AW155">
        <v>0.81399999999999995</v>
      </c>
      <c r="AX155">
        <v>0.7</v>
      </c>
      <c r="AY155">
        <v>0.42</v>
      </c>
      <c r="AZ155">
        <v>0.60299999999999998</v>
      </c>
      <c r="BA155">
        <v>0.14499999999999999</v>
      </c>
      <c r="BB155" cm="1">
        <f t="array" ref="BB155:BP155">VLOOKUP(A155,pitchvalue_pitchers_2019!A:Q,{3,4,5,6,7,8,9,10,11,12,13,14,15,16,17},FALSE)</f>
        <v>0.8</v>
      </c>
      <c r="BC155">
        <v>-2.1</v>
      </c>
      <c r="BD155">
        <v>0</v>
      </c>
      <c r="BE155">
        <v>-0.4</v>
      </c>
      <c r="BF155">
        <v>0</v>
      </c>
      <c r="BG155">
        <v>0</v>
      </c>
      <c r="BH155">
        <v>0</v>
      </c>
      <c r="BI155">
        <v>0.17</v>
      </c>
      <c r="BJ155">
        <v>-1.34</v>
      </c>
      <c r="BK155">
        <v>0</v>
      </c>
      <c r="BL155">
        <v>-0.15</v>
      </c>
      <c r="BM155">
        <v>0</v>
      </c>
      <c r="BN155">
        <v>0</v>
      </c>
      <c r="BO155">
        <v>0</v>
      </c>
      <c r="BP155">
        <v>3950</v>
      </c>
      <c r="BQ155" cm="1">
        <f t="array" ref="BQ155:CH155">VLOOKUP(A155,battedball_pitchers_2019!A:U,{3,4,5,6,7,8,9,10,11,12,13,14,15,16,17,18,19,20},FALSE)</f>
        <v>0.32400000000000001</v>
      </c>
      <c r="BR155">
        <v>1.06</v>
      </c>
      <c r="BS155">
        <v>0.26400000000000001</v>
      </c>
      <c r="BT155">
        <v>0.379</v>
      </c>
      <c r="BU155">
        <v>0.35699999999999998</v>
      </c>
      <c r="BV155">
        <v>0.1</v>
      </c>
      <c r="BW155">
        <v>0.14000000000000001</v>
      </c>
      <c r="BX155">
        <v>22</v>
      </c>
      <c r="BY155">
        <v>3.91</v>
      </c>
      <c r="BZ155">
        <v>313</v>
      </c>
      <c r="CA155">
        <v>572</v>
      </c>
      <c r="CB155">
        <v>885</v>
      </c>
      <c r="CC155">
        <v>0.39900000000000002</v>
      </c>
      <c r="CD155">
        <v>0.39900000000000002</v>
      </c>
      <c r="CE155">
        <v>0.20300000000000001</v>
      </c>
      <c r="CF155">
        <v>0.161</v>
      </c>
      <c r="CG155">
        <v>0.434</v>
      </c>
      <c r="CH155">
        <v>0.40600000000000003</v>
      </c>
      <c r="CI155" cm="1">
        <f t="array" ref="CI155:CS155">VLOOKUP(A155,verticalmove_pitchers_2019!A:N,{3,4,5,6,7,8,9,10,11,12,13},FALSE)</f>
        <v>50.2</v>
      </c>
      <c r="CJ155">
        <v>9.1999999999999993</v>
      </c>
      <c r="CK155">
        <v>0</v>
      </c>
      <c r="CL155">
        <v>0</v>
      </c>
      <c r="CM155">
        <v>0</v>
      </c>
      <c r="CN155">
        <v>0</v>
      </c>
      <c r="CO155">
        <v>1.1000000000000001</v>
      </c>
      <c r="CP155">
        <v>-4.2</v>
      </c>
      <c r="CQ155">
        <v>0</v>
      </c>
      <c r="CR155">
        <v>0</v>
      </c>
      <c r="CS155">
        <v>0</v>
      </c>
      <c r="CT155" cm="1">
        <f t="array" ref="CT155:DD155">VLOOKUP(A155,velocity_pitchers_2019!A:N,{3,4,5,6,7,8,9,10,11,12,13},FALSE)</f>
        <v>50.2</v>
      </c>
      <c r="CU155">
        <v>95.6</v>
      </c>
      <c r="CV155">
        <v>0</v>
      </c>
      <c r="CW155">
        <v>0</v>
      </c>
      <c r="CX155">
        <v>0</v>
      </c>
      <c r="CY155">
        <v>0</v>
      </c>
      <c r="CZ155">
        <v>89</v>
      </c>
      <c r="DA155">
        <v>86.3</v>
      </c>
      <c r="DB155">
        <v>0</v>
      </c>
      <c r="DC155">
        <v>0</v>
      </c>
      <c r="DD155">
        <v>0</v>
      </c>
    </row>
    <row r="156" spans="1:108" x14ac:dyDescent="0.3">
      <c r="A156" t="s">
        <v>35</v>
      </c>
      <c r="B156" t="str" cm="1">
        <f t="array" ref="B156:Y156">VLOOKUP(A156,standard_pitchers_2019!A:Y,{2,3,4,5,6,7,8,9,10,11,12,13,14,15,16,17,18,19,20,21,22,23,24,25},FALSE)</f>
        <v>Blue Jays</v>
      </c>
      <c r="C156">
        <v>2</v>
      </c>
      <c r="D156">
        <v>3</v>
      </c>
      <c r="E156">
        <v>1.87</v>
      </c>
      <c r="F156">
        <v>53</v>
      </c>
      <c r="G156">
        <v>0</v>
      </c>
      <c r="H156">
        <v>0</v>
      </c>
      <c r="I156">
        <v>0</v>
      </c>
      <c r="J156">
        <v>23</v>
      </c>
      <c r="K156">
        <v>0</v>
      </c>
      <c r="L156">
        <v>1</v>
      </c>
      <c r="M156">
        <v>53</v>
      </c>
      <c r="N156">
        <v>208</v>
      </c>
      <c r="O156">
        <v>36</v>
      </c>
      <c r="P156">
        <v>11</v>
      </c>
      <c r="Q156">
        <v>11</v>
      </c>
      <c r="R156">
        <v>5</v>
      </c>
      <c r="S156">
        <v>17</v>
      </c>
      <c r="T156">
        <v>1</v>
      </c>
      <c r="U156">
        <v>0</v>
      </c>
      <c r="V156">
        <v>2</v>
      </c>
      <c r="W156">
        <v>0</v>
      </c>
      <c r="X156">
        <v>83</v>
      </c>
      <c r="Y156">
        <v>12910</v>
      </c>
      <c r="Z156" cm="1">
        <f t="array" ref="Z156:AR156">VLOOKUP(A156,advanced_pitchers_2019!A:Y,{3,4,5,6,7,8,9,10,11,12,13,14,15,16,17,18,19,20,21},FALSE)</f>
        <v>14.09</v>
      </c>
      <c r="AA156">
        <v>2.89</v>
      </c>
      <c r="AB156">
        <v>4.88</v>
      </c>
      <c r="AC156">
        <v>0.85</v>
      </c>
      <c r="AD156">
        <v>0.39900000000000002</v>
      </c>
      <c r="AE156">
        <v>8.2000000000000003E-2</v>
      </c>
      <c r="AF156">
        <v>0.317</v>
      </c>
      <c r="AG156">
        <v>0.188</v>
      </c>
      <c r="AH156">
        <v>1</v>
      </c>
      <c r="AI156">
        <v>0.30099999999999999</v>
      </c>
      <c r="AJ156">
        <v>0.91300000000000003</v>
      </c>
      <c r="AK156">
        <v>41</v>
      </c>
      <c r="AL156">
        <v>49</v>
      </c>
      <c r="AM156">
        <v>60</v>
      </c>
      <c r="AN156">
        <v>1.87</v>
      </c>
      <c r="AO156">
        <v>2.27</v>
      </c>
      <c r="AP156">
        <v>-0.4</v>
      </c>
      <c r="AQ156">
        <v>2.73</v>
      </c>
      <c r="AR156">
        <v>2.4900000000000002</v>
      </c>
      <c r="AS156" cm="1">
        <f t="array" ref="AS156:BA156">VLOOKUP(A156,plate_discipline_pitchers_2019!A:L,{3,4,5,6,7,8,9,10,11},FALSE)</f>
        <v>0.35799999999999998</v>
      </c>
      <c r="AT156">
        <v>0.71</v>
      </c>
      <c r="AU156">
        <v>0.505</v>
      </c>
      <c r="AV156">
        <v>0.40799999999999997</v>
      </c>
      <c r="AW156">
        <v>0.78300000000000003</v>
      </c>
      <c r="AX156">
        <v>0.628</v>
      </c>
      <c r="AY156">
        <v>0.41699999999999998</v>
      </c>
      <c r="AZ156">
        <v>0.60099999999999998</v>
      </c>
      <c r="BA156">
        <v>0.188</v>
      </c>
      <c r="BB156" cm="1">
        <f t="array" ref="BB156:BP156">VLOOKUP(A156,pitchvalue_pitchers_2019!A:Q,{3,4,5,6,7,8,9,10,11,12,13,14,15,16,17},FALSE)</f>
        <v>0.8</v>
      </c>
      <c r="BC156">
        <v>12.8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0.19</v>
      </c>
      <c r="BJ156">
        <v>3.21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12910</v>
      </c>
      <c r="BQ156" cm="1">
        <f t="array" ref="BQ156:CH156">VLOOKUP(A156,battedball_pitchers_2019!A:U,{3,4,5,6,7,8,9,10,11,12,13,14,15,16,17,18,19,20},FALSE)</f>
        <v>0.30099999999999999</v>
      </c>
      <c r="BR156">
        <v>0.93</v>
      </c>
      <c r="BS156">
        <v>0.187</v>
      </c>
      <c r="BT156">
        <v>0.39300000000000002</v>
      </c>
      <c r="BU156">
        <v>0.42099999999999999</v>
      </c>
      <c r="BV156">
        <v>0.111</v>
      </c>
      <c r="BW156">
        <v>0.111</v>
      </c>
      <c r="BX156">
        <v>13</v>
      </c>
      <c r="BY156">
        <v>2.21</v>
      </c>
      <c r="BZ156">
        <v>270</v>
      </c>
      <c r="CA156">
        <v>540</v>
      </c>
      <c r="CB156">
        <v>810</v>
      </c>
      <c r="CC156">
        <v>0.35199999999999998</v>
      </c>
      <c r="CD156">
        <v>0.38900000000000001</v>
      </c>
      <c r="CE156">
        <v>0.25900000000000001</v>
      </c>
      <c r="CF156">
        <v>0.20399999999999999</v>
      </c>
      <c r="CG156">
        <v>0.41699999999999998</v>
      </c>
      <c r="CH156">
        <v>0.38</v>
      </c>
      <c r="CI156" cm="1">
        <f t="array" ref="CI156:CS156">VLOOKUP(A156,verticalmove_pitchers_2019!A:N,{3,4,5,6,7,8,9,10,11,12,13},FALSE)</f>
        <v>53</v>
      </c>
      <c r="CJ156">
        <v>8.9</v>
      </c>
      <c r="CK156">
        <v>0</v>
      </c>
      <c r="CL156">
        <v>0</v>
      </c>
      <c r="CM156">
        <v>0</v>
      </c>
      <c r="CN156">
        <v>0</v>
      </c>
      <c r="CO156">
        <v>1.1000000000000001</v>
      </c>
      <c r="CP156">
        <v>0</v>
      </c>
      <c r="CQ156">
        <v>0</v>
      </c>
      <c r="CR156">
        <v>0</v>
      </c>
      <c r="CS156">
        <v>0</v>
      </c>
      <c r="CT156" cm="1">
        <f t="array" ref="CT156:DD156">VLOOKUP(A156,velocity_pitchers_2019!A:N,{3,4,5,6,7,8,9,10,11,12,13},FALSE)</f>
        <v>53</v>
      </c>
      <c r="CU156">
        <v>97.2</v>
      </c>
      <c r="CV156">
        <v>0</v>
      </c>
      <c r="CW156">
        <v>0</v>
      </c>
      <c r="CX156">
        <v>0</v>
      </c>
      <c r="CY156">
        <v>0</v>
      </c>
      <c r="CZ156">
        <v>86.6</v>
      </c>
      <c r="DA156">
        <v>0</v>
      </c>
      <c r="DB156">
        <v>0</v>
      </c>
      <c r="DC156">
        <v>0</v>
      </c>
      <c r="DD156">
        <v>0</v>
      </c>
    </row>
    <row r="157" spans="1:108" x14ac:dyDescent="0.3">
      <c r="A157" t="s">
        <v>194</v>
      </c>
      <c r="B157" t="str" cm="1">
        <f t="array" ref="B157:Y157">VLOOKUP(A157,standard_pitchers_2019!A:Y,{2,3,4,5,6,7,8,9,10,11,12,13,14,15,16,17,18,19,20,21,22,23,24,25},FALSE)</f>
        <v>Angels</v>
      </c>
      <c r="C157">
        <v>5</v>
      </c>
      <c r="D157">
        <v>4</v>
      </c>
      <c r="E157">
        <v>3.99</v>
      </c>
      <c r="F157">
        <v>51</v>
      </c>
      <c r="G157">
        <v>7</v>
      </c>
      <c r="H157">
        <v>0</v>
      </c>
      <c r="I157">
        <v>0</v>
      </c>
      <c r="J157">
        <v>0</v>
      </c>
      <c r="K157">
        <v>3</v>
      </c>
      <c r="L157">
        <v>0</v>
      </c>
      <c r="M157">
        <v>67.2</v>
      </c>
      <c r="N157">
        <v>280</v>
      </c>
      <c r="O157">
        <v>59</v>
      </c>
      <c r="P157">
        <v>30</v>
      </c>
      <c r="Q157">
        <v>30</v>
      </c>
      <c r="R157">
        <v>9</v>
      </c>
      <c r="S157">
        <v>20</v>
      </c>
      <c r="T157">
        <v>1</v>
      </c>
      <c r="U157">
        <v>5</v>
      </c>
      <c r="V157">
        <v>2</v>
      </c>
      <c r="W157">
        <v>0</v>
      </c>
      <c r="X157">
        <v>79</v>
      </c>
      <c r="Y157">
        <v>12800</v>
      </c>
      <c r="Z157" cm="1">
        <f t="array" ref="Z157:AR157">VLOOKUP(A157,advanced_pitchers_2019!A:Y,{3,4,5,6,7,8,9,10,11,12,13,14,15,16,17,18,19,20,21},FALSE)</f>
        <v>10.51</v>
      </c>
      <c r="AA157">
        <v>2.66</v>
      </c>
      <c r="AB157">
        <v>3.95</v>
      </c>
      <c r="AC157">
        <v>1.2</v>
      </c>
      <c r="AD157">
        <v>0.28199999999999997</v>
      </c>
      <c r="AE157">
        <v>7.0999999999999994E-2</v>
      </c>
      <c r="AF157">
        <v>0.21099999999999999</v>
      </c>
      <c r="AG157">
        <v>0.23100000000000001</v>
      </c>
      <c r="AH157">
        <v>1.17</v>
      </c>
      <c r="AI157">
        <v>0.29899999999999999</v>
      </c>
      <c r="AJ157">
        <v>0.75600000000000001</v>
      </c>
      <c r="AK157">
        <v>89</v>
      </c>
      <c r="AL157">
        <v>81</v>
      </c>
      <c r="AM157">
        <v>89</v>
      </c>
      <c r="AN157">
        <v>3.99</v>
      </c>
      <c r="AO157">
        <v>3.72</v>
      </c>
      <c r="AP157">
        <v>0.27</v>
      </c>
      <c r="AQ157">
        <v>4.07</v>
      </c>
      <c r="AR157">
        <v>3.55</v>
      </c>
      <c r="AS157" cm="1">
        <f t="array" ref="AS157:BA157">VLOOKUP(A157,plate_discipline_pitchers_2019!A:L,{3,4,5,6,7,8,9,10,11},FALSE)</f>
        <v>0.32300000000000001</v>
      </c>
      <c r="AT157">
        <v>0.622</v>
      </c>
      <c r="AU157">
        <v>0.45300000000000001</v>
      </c>
      <c r="AV157">
        <v>0.53700000000000003</v>
      </c>
      <c r="AW157">
        <v>0.80900000000000005</v>
      </c>
      <c r="AX157">
        <v>0.69899999999999995</v>
      </c>
      <c r="AY157">
        <v>0.435</v>
      </c>
      <c r="AZ157">
        <v>0.65400000000000003</v>
      </c>
      <c r="BA157">
        <v>0.13600000000000001</v>
      </c>
      <c r="BB157" cm="1">
        <f t="array" ref="BB157:BP157">VLOOKUP(A157,pitchvalue_pitchers_2019!A:Q,{3,4,5,6,7,8,9,10,11,12,13,14,15,16,17},FALSE)</f>
        <v>0.7</v>
      </c>
      <c r="BC157">
        <v>1.4</v>
      </c>
      <c r="BD157">
        <v>0</v>
      </c>
      <c r="BE157">
        <v>0</v>
      </c>
      <c r="BF157">
        <v>4.2</v>
      </c>
      <c r="BG157">
        <v>0</v>
      </c>
      <c r="BH157">
        <v>0</v>
      </c>
      <c r="BI157">
        <v>0.22</v>
      </c>
      <c r="BJ157">
        <v>0.32</v>
      </c>
      <c r="BK157">
        <v>0</v>
      </c>
      <c r="BL157">
        <v>0</v>
      </c>
      <c r="BM157">
        <v>1.0900000000000001</v>
      </c>
      <c r="BN157">
        <v>0</v>
      </c>
      <c r="BO157">
        <v>0</v>
      </c>
      <c r="BP157">
        <v>12800</v>
      </c>
      <c r="BQ157" cm="1">
        <f t="array" ref="BQ157:CH157">VLOOKUP(A157,battedball_pitchers_2019!A:U,{3,4,5,6,7,8,9,10,11,12,13,14,15,16,17,18,19,20},FALSE)</f>
        <v>0.29899999999999999</v>
      </c>
      <c r="BR157">
        <v>0.96</v>
      </c>
      <c r="BS157">
        <v>0.20599999999999999</v>
      </c>
      <c r="BT157">
        <v>0.38900000000000001</v>
      </c>
      <c r="BU157">
        <v>0.40600000000000003</v>
      </c>
      <c r="BV157">
        <v>0.14099999999999999</v>
      </c>
      <c r="BW157">
        <v>0.127</v>
      </c>
      <c r="BX157">
        <v>41</v>
      </c>
      <c r="BY157">
        <v>5.45</v>
      </c>
      <c r="BZ157">
        <v>386</v>
      </c>
      <c r="CA157">
        <v>738</v>
      </c>
      <c r="CB157">
        <v>1124</v>
      </c>
      <c r="CC157">
        <v>0.47699999999999998</v>
      </c>
      <c r="CD157">
        <v>0.307</v>
      </c>
      <c r="CE157">
        <v>0.216</v>
      </c>
      <c r="CF157">
        <v>0.182</v>
      </c>
      <c r="CG157">
        <v>0.44900000000000001</v>
      </c>
      <c r="CH157">
        <v>0.36899999999999999</v>
      </c>
      <c r="CI157" cm="1">
        <f t="array" ref="CI157:CS157">VLOOKUP(A157,verticalmove_pitchers_2019!A:N,{3,4,5,6,7,8,9,10,11,12,13},FALSE)</f>
        <v>67.2</v>
      </c>
      <c r="CJ157">
        <v>6.5</v>
      </c>
      <c r="CK157">
        <v>0</v>
      </c>
      <c r="CL157">
        <v>0</v>
      </c>
      <c r="CM157">
        <v>0</v>
      </c>
      <c r="CN157">
        <v>-3.3</v>
      </c>
      <c r="CO157">
        <v>-2.7</v>
      </c>
      <c r="CP157">
        <v>0</v>
      </c>
      <c r="CQ157">
        <v>0</v>
      </c>
      <c r="CR157">
        <v>0</v>
      </c>
      <c r="CS157">
        <v>0</v>
      </c>
      <c r="CT157" cm="1">
        <f t="array" ref="CT157:DD157">VLOOKUP(A157,velocity_pitchers_2019!A:N,{3,4,5,6,7,8,9,10,11,12,13},FALSE)</f>
        <v>67.2</v>
      </c>
      <c r="CU157">
        <v>89.5</v>
      </c>
      <c r="CV157">
        <v>0</v>
      </c>
      <c r="CW157">
        <v>0</v>
      </c>
      <c r="CX157">
        <v>0</v>
      </c>
      <c r="CY157">
        <v>84.5</v>
      </c>
      <c r="CZ157">
        <v>77.900000000000006</v>
      </c>
      <c r="DA157">
        <v>0</v>
      </c>
      <c r="DB157">
        <v>0</v>
      </c>
      <c r="DC157">
        <v>0</v>
      </c>
      <c r="DD157">
        <v>0</v>
      </c>
    </row>
    <row r="158" spans="1:108" x14ac:dyDescent="0.3">
      <c r="A158" t="s">
        <v>165</v>
      </c>
      <c r="B158" t="str" cm="1">
        <f t="array" ref="B158:Y158">VLOOKUP(A158,standard_pitchers_2019!A:Y,{2,3,4,5,6,7,8,9,10,11,12,13,14,15,16,17,18,19,20,21,22,23,24,25},FALSE)</f>
        <v>Diamondbacks</v>
      </c>
      <c r="C158">
        <v>2</v>
      </c>
      <c r="D158">
        <v>2</v>
      </c>
      <c r="E158">
        <v>3.76</v>
      </c>
      <c r="F158">
        <v>77</v>
      </c>
      <c r="G158">
        <v>0</v>
      </c>
      <c r="H158">
        <v>0</v>
      </c>
      <c r="I158">
        <v>0</v>
      </c>
      <c r="J158">
        <v>0</v>
      </c>
      <c r="K158">
        <v>23</v>
      </c>
      <c r="L158">
        <v>4</v>
      </c>
      <c r="M158">
        <v>52.2</v>
      </c>
      <c r="N158">
        <v>225</v>
      </c>
      <c r="O158">
        <v>52</v>
      </c>
      <c r="P158">
        <v>23</v>
      </c>
      <c r="Q158">
        <v>22</v>
      </c>
      <c r="R158">
        <v>6</v>
      </c>
      <c r="S158">
        <v>18</v>
      </c>
      <c r="T158">
        <v>0</v>
      </c>
      <c r="U158">
        <v>2</v>
      </c>
      <c r="V158">
        <v>2</v>
      </c>
      <c r="W158">
        <v>0</v>
      </c>
      <c r="X158">
        <v>68</v>
      </c>
      <c r="Y158">
        <v>12988</v>
      </c>
      <c r="Z158" cm="1">
        <f t="array" ref="Z158:AR158">VLOOKUP(A158,advanced_pitchers_2019!A:Y,{3,4,5,6,7,8,9,10,11,12,13,14,15,16,17,18,19,20,21},FALSE)</f>
        <v>11.62</v>
      </c>
      <c r="AA158">
        <v>3.08</v>
      </c>
      <c r="AB158">
        <v>3.78</v>
      </c>
      <c r="AC158">
        <v>1.03</v>
      </c>
      <c r="AD158">
        <v>0.30199999999999999</v>
      </c>
      <c r="AE158">
        <v>0.08</v>
      </c>
      <c r="AF158">
        <v>0.222</v>
      </c>
      <c r="AG158">
        <v>0.254</v>
      </c>
      <c r="AH158">
        <v>1.33</v>
      </c>
      <c r="AI158">
        <v>0.35099999999999998</v>
      </c>
      <c r="AJ158">
        <v>0.77</v>
      </c>
      <c r="AK158">
        <v>85</v>
      </c>
      <c r="AL158">
        <v>74</v>
      </c>
      <c r="AM158">
        <v>73</v>
      </c>
      <c r="AN158">
        <v>3.76</v>
      </c>
      <c r="AO158">
        <v>3.25</v>
      </c>
      <c r="AP158">
        <v>0.51</v>
      </c>
      <c r="AQ158">
        <v>3.24</v>
      </c>
      <c r="AR158">
        <v>3.33</v>
      </c>
      <c r="AS158" cm="1">
        <f t="array" ref="AS158:BA158">VLOOKUP(A158,plate_discipline_pitchers_2019!A:L,{3,4,5,6,7,8,9,10,11},FALSE)</f>
        <v>0.34699999999999998</v>
      </c>
      <c r="AT158">
        <v>0.71199999999999997</v>
      </c>
      <c r="AU158">
        <v>0.495</v>
      </c>
      <c r="AV158">
        <v>0.51100000000000001</v>
      </c>
      <c r="AW158">
        <v>0.81100000000000005</v>
      </c>
      <c r="AX158">
        <v>0.68600000000000005</v>
      </c>
      <c r="AY158">
        <v>0.40699999999999997</v>
      </c>
      <c r="AZ158">
        <v>0.61799999999999999</v>
      </c>
      <c r="BA158">
        <v>0.155</v>
      </c>
      <c r="BB158" cm="1">
        <f t="array" ref="BB158:BP158">VLOOKUP(A158,pitchvalue_pitchers_2019!A:Q,{3,4,5,6,7,8,9,10,11,12,13,14,15,16,17},FALSE)</f>
        <v>0.7</v>
      </c>
      <c r="BC158">
        <v>4.9000000000000004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0.12</v>
      </c>
      <c r="BJ158">
        <v>1.41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12988</v>
      </c>
      <c r="BQ158" cm="1">
        <f t="array" ref="BQ158:CH158">VLOOKUP(A158,battedball_pitchers_2019!A:U,{3,4,5,6,7,8,9,10,11,12,13,14,15,16,17,18,19,20},FALSE)</f>
        <v>0.35099999999999998</v>
      </c>
      <c r="BR158">
        <v>1.46</v>
      </c>
      <c r="BS158">
        <v>0.27800000000000002</v>
      </c>
      <c r="BT158">
        <v>0.42899999999999999</v>
      </c>
      <c r="BU158">
        <v>0.29299999999999998</v>
      </c>
      <c r="BV158">
        <v>0.20499999999999999</v>
      </c>
      <c r="BW158">
        <v>0.154</v>
      </c>
      <c r="BX158">
        <v>33</v>
      </c>
      <c r="BY158">
        <v>5.64</v>
      </c>
      <c r="BZ158">
        <v>317</v>
      </c>
      <c r="CA158">
        <v>578</v>
      </c>
      <c r="CB158">
        <v>895</v>
      </c>
      <c r="CC158">
        <v>0.28499999999999998</v>
      </c>
      <c r="CD158">
        <v>0.44500000000000001</v>
      </c>
      <c r="CE158">
        <v>0.27</v>
      </c>
      <c r="CF158">
        <v>0.16800000000000001</v>
      </c>
      <c r="CG158">
        <v>0.45300000000000001</v>
      </c>
      <c r="CH158">
        <v>0.38</v>
      </c>
      <c r="CI158" cm="1">
        <f t="array" ref="CI158:CS158">VLOOKUP(A158,verticalmove_pitchers_2019!A:N,{3,4,5,6,7,8,9,10,11,12,13},FALSE)</f>
        <v>52.2</v>
      </c>
      <c r="CJ158">
        <v>8.1</v>
      </c>
      <c r="CK158">
        <v>0</v>
      </c>
      <c r="CL158">
        <v>0</v>
      </c>
      <c r="CM158">
        <v>6.3</v>
      </c>
      <c r="CN158">
        <v>0</v>
      </c>
      <c r="CO158">
        <v>-0.6</v>
      </c>
      <c r="CP158">
        <v>0</v>
      </c>
      <c r="CQ158">
        <v>0</v>
      </c>
      <c r="CR158">
        <v>0</v>
      </c>
      <c r="CS158">
        <v>0</v>
      </c>
      <c r="CT158" cm="1">
        <f t="array" ref="CT158:DD158">VLOOKUP(A158,velocity_pitchers_2019!A:N,{3,4,5,6,7,8,9,10,11,12,13},FALSE)</f>
        <v>52.2</v>
      </c>
      <c r="CU158">
        <v>93.9</v>
      </c>
      <c r="CV158">
        <v>0</v>
      </c>
      <c r="CW158">
        <v>0</v>
      </c>
      <c r="CX158">
        <v>94</v>
      </c>
      <c r="CY158">
        <v>0</v>
      </c>
      <c r="CZ158">
        <v>84.6</v>
      </c>
      <c r="DA158">
        <v>0</v>
      </c>
      <c r="DB158">
        <v>0</v>
      </c>
      <c r="DC158">
        <v>0</v>
      </c>
      <c r="DD158">
        <v>0</v>
      </c>
    </row>
    <row r="159" spans="1:108" x14ac:dyDescent="0.3">
      <c r="A159" t="s">
        <v>154</v>
      </c>
      <c r="B159" t="str" cm="1">
        <f t="array" ref="B159:Y159">VLOOKUP(A159,standard_pitchers_2019!A:Y,{2,3,4,5,6,7,8,9,10,11,12,13,14,15,16,17,18,19,20,21,22,23,24,25},FALSE)</f>
        <v>Astros</v>
      </c>
      <c r="C159">
        <v>3</v>
      </c>
      <c r="D159">
        <v>2</v>
      </c>
      <c r="E159">
        <v>3.71</v>
      </c>
      <c r="F159">
        <v>62</v>
      </c>
      <c r="G159">
        <v>1</v>
      </c>
      <c r="H159">
        <v>0</v>
      </c>
      <c r="I159">
        <v>0</v>
      </c>
      <c r="J159">
        <v>0</v>
      </c>
      <c r="K159">
        <v>19</v>
      </c>
      <c r="L159">
        <v>3</v>
      </c>
      <c r="M159">
        <v>60.2</v>
      </c>
      <c r="N159">
        <v>257</v>
      </c>
      <c r="O159">
        <v>56</v>
      </c>
      <c r="P159">
        <v>25</v>
      </c>
      <c r="Q159">
        <v>25</v>
      </c>
      <c r="R159">
        <v>10</v>
      </c>
      <c r="S159">
        <v>20</v>
      </c>
      <c r="T159">
        <v>0</v>
      </c>
      <c r="U159">
        <v>4</v>
      </c>
      <c r="V159">
        <v>0</v>
      </c>
      <c r="W159">
        <v>0</v>
      </c>
      <c r="X159">
        <v>48</v>
      </c>
      <c r="Y159">
        <v>2391</v>
      </c>
      <c r="Z159" cm="1">
        <f t="array" ref="Z159:AR159">VLOOKUP(A159,advanced_pitchers_2019!A:Y,{3,4,5,6,7,8,9,10,11,12,13,14,15,16,17,18,19,20,21},FALSE)</f>
        <v>7.12</v>
      </c>
      <c r="AA159">
        <v>2.97</v>
      </c>
      <c r="AB159">
        <v>2.4</v>
      </c>
      <c r="AC159">
        <v>1.48</v>
      </c>
      <c r="AD159">
        <v>0.187</v>
      </c>
      <c r="AE159">
        <v>7.8E-2</v>
      </c>
      <c r="AF159">
        <v>0.109</v>
      </c>
      <c r="AG159">
        <v>0.24</v>
      </c>
      <c r="AH159">
        <v>1.25</v>
      </c>
      <c r="AI159">
        <v>0.26300000000000001</v>
      </c>
      <c r="AJ159">
        <v>0.83299999999999996</v>
      </c>
      <c r="AK159">
        <v>83</v>
      </c>
      <c r="AL159">
        <v>110</v>
      </c>
      <c r="AM159">
        <v>106</v>
      </c>
      <c r="AN159">
        <v>3.71</v>
      </c>
      <c r="AO159">
        <v>4.96</v>
      </c>
      <c r="AP159">
        <v>-1.25</v>
      </c>
      <c r="AQ159">
        <v>4.8499999999999996</v>
      </c>
      <c r="AR159">
        <v>4.49</v>
      </c>
      <c r="AS159" cm="1">
        <f t="array" ref="AS159:BA159">VLOOKUP(A159,plate_discipline_pitchers_2019!A:L,{3,4,5,6,7,8,9,10,11},FALSE)</f>
        <v>0.32500000000000001</v>
      </c>
      <c r="AT159">
        <v>0.68899999999999995</v>
      </c>
      <c r="AU159">
        <v>0.47499999999999998</v>
      </c>
      <c r="AV159">
        <v>0.63700000000000001</v>
      </c>
      <c r="AW159">
        <v>0.90100000000000002</v>
      </c>
      <c r="AX159">
        <v>0.79400000000000004</v>
      </c>
      <c r="AY159">
        <v>0.41099999999999998</v>
      </c>
      <c r="AZ159">
        <v>0.60299999999999998</v>
      </c>
      <c r="BA159">
        <v>9.8000000000000004E-2</v>
      </c>
      <c r="BB159" cm="1">
        <f t="array" ref="BB159:BP159">VLOOKUP(A159,pitchvalue_pitchers_2019!A:Q,{3,4,5,6,7,8,9,10,11,12,13,14,15,16,17},FALSE)</f>
        <v>0.6</v>
      </c>
      <c r="BC159">
        <v>1</v>
      </c>
      <c r="BD159">
        <v>0</v>
      </c>
      <c r="BE159">
        <v>0</v>
      </c>
      <c r="BF159">
        <v>-1.7</v>
      </c>
      <c r="BG159">
        <v>0</v>
      </c>
      <c r="BH159">
        <v>0</v>
      </c>
      <c r="BI159">
        <v>0.1</v>
      </c>
      <c r="BJ159">
        <v>0.28999999999999998</v>
      </c>
      <c r="BK159">
        <v>0</v>
      </c>
      <c r="BL159">
        <v>0</v>
      </c>
      <c r="BM159">
        <v>-3.89</v>
      </c>
      <c r="BN159">
        <v>0</v>
      </c>
      <c r="BO159">
        <v>0</v>
      </c>
      <c r="BP159">
        <v>2391</v>
      </c>
      <c r="BQ159" cm="1">
        <f t="array" ref="BQ159:CH159">VLOOKUP(A159,battedball_pitchers_2019!A:U,{3,4,5,6,7,8,9,10,11,12,13,14,15,16,17,18,19,20},FALSE)</f>
        <v>0.26300000000000001</v>
      </c>
      <c r="BR159">
        <v>1.48</v>
      </c>
      <c r="BS159">
        <v>0.16300000000000001</v>
      </c>
      <c r="BT159">
        <v>0.5</v>
      </c>
      <c r="BU159">
        <v>0.33700000000000002</v>
      </c>
      <c r="BV159">
        <v>1.6E-2</v>
      </c>
      <c r="BW159">
        <v>0.161</v>
      </c>
      <c r="BX159">
        <v>44</v>
      </c>
      <c r="BY159">
        <v>6.53</v>
      </c>
      <c r="BZ159">
        <v>370</v>
      </c>
      <c r="CA159">
        <v>624</v>
      </c>
      <c r="CB159">
        <v>994</v>
      </c>
      <c r="CC159">
        <v>0.33500000000000002</v>
      </c>
      <c r="CD159">
        <v>0.38400000000000001</v>
      </c>
      <c r="CE159">
        <v>0.28100000000000003</v>
      </c>
      <c r="CF159">
        <v>0.222</v>
      </c>
      <c r="CG159">
        <v>0.45400000000000001</v>
      </c>
      <c r="CH159">
        <v>0.32400000000000001</v>
      </c>
      <c r="CI159" cm="1">
        <f t="array" ref="CI159:CS159">VLOOKUP(A159,verticalmove_pitchers_2019!A:N,{3,4,5,6,7,8,9,10,11,12,13},FALSE)</f>
        <v>60.2</v>
      </c>
      <c r="CJ159">
        <v>8</v>
      </c>
      <c r="CK159">
        <v>0</v>
      </c>
      <c r="CL159">
        <v>0</v>
      </c>
      <c r="CM159">
        <v>5.0999999999999996</v>
      </c>
      <c r="CN159">
        <v>2.2000000000000002</v>
      </c>
      <c r="CO159">
        <v>-1.2</v>
      </c>
      <c r="CP159">
        <v>0</v>
      </c>
      <c r="CQ159">
        <v>0</v>
      </c>
      <c r="CR159">
        <v>0</v>
      </c>
      <c r="CS159">
        <v>0</v>
      </c>
      <c r="CT159" cm="1">
        <f t="array" ref="CT159:DD159">VLOOKUP(A159,velocity_pitchers_2019!A:N,{3,4,5,6,7,8,9,10,11,12,13},FALSE)</f>
        <v>60.2</v>
      </c>
      <c r="CU159">
        <v>96.9</v>
      </c>
      <c r="CV159">
        <v>0</v>
      </c>
      <c r="CW159">
        <v>0</v>
      </c>
      <c r="CX159">
        <v>96.8</v>
      </c>
      <c r="CY159">
        <v>90.8</v>
      </c>
      <c r="CZ159">
        <v>87</v>
      </c>
      <c r="DA159">
        <v>0</v>
      </c>
      <c r="DB159">
        <v>0</v>
      </c>
      <c r="DC159">
        <v>0</v>
      </c>
      <c r="DD159">
        <v>0</v>
      </c>
    </row>
    <row r="160" spans="1:108" x14ac:dyDescent="0.3">
      <c r="A160" t="s">
        <v>341</v>
      </c>
      <c r="B160" t="str" cm="1">
        <f t="array" ref="B160:Y160">VLOOKUP(A160,standard_pitchers_2019!A:Y,{2,3,4,5,6,7,8,9,10,11,12,13,14,15,16,17,18,19,20,21,22,23,24,25},FALSE)</f>
        <v>- - -</v>
      </c>
      <c r="C160">
        <v>5</v>
      </c>
      <c r="D160">
        <v>4</v>
      </c>
      <c r="E160">
        <v>5.47</v>
      </c>
      <c r="F160">
        <v>58</v>
      </c>
      <c r="G160">
        <v>0</v>
      </c>
      <c r="H160">
        <v>0</v>
      </c>
      <c r="I160">
        <v>0</v>
      </c>
      <c r="J160">
        <v>0</v>
      </c>
      <c r="K160">
        <v>6</v>
      </c>
      <c r="L160">
        <v>3</v>
      </c>
      <c r="M160">
        <v>54.1</v>
      </c>
      <c r="N160">
        <v>242</v>
      </c>
      <c r="O160">
        <v>57</v>
      </c>
      <c r="P160">
        <v>33</v>
      </c>
      <c r="Q160">
        <v>33</v>
      </c>
      <c r="R160">
        <v>4</v>
      </c>
      <c r="S160">
        <v>31</v>
      </c>
      <c r="T160">
        <v>2</v>
      </c>
      <c r="U160">
        <v>1</v>
      </c>
      <c r="V160">
        <v>3</v>
      </c>
      <c r="W160">
        <v>0</v>
      </c>
      <c r="X160">
        <v>60</v>
      </c>
      <c r="Y160">
        <v>6627</v>
      </c>
      <c r="Z160" cm="1">
        <f t="array" ref="Z160:AR160">VLOOKUP(A160,advanced_pitchers_2019!A:Y,{3,4,5,6,7,8,9,10,11,12,13,14,15,16,17,18,19,20,21},FALSE)</f>
        <v>9.94</v>
      </c>
      <c r="AA160">
        <v>5.13</v>
      </c>
      <c r="AB160">
        <v>1.94</v>
      </c>
      <c r="AC160">
        <v>0.66</v>
      </c>
      <c r="AD160">
        <v>0.248</v>
      </c>
      <c r="AE160">
        <v>0.128</v>
      </c>
      <c r="AF160">
        <v>0.12</v>
      </c>
      <c r="AG160">
        <v>0.27100000000000002</v>
      </c>
      <c r="AH160">
        <v>1.62</v>
      </c>
      <c r="AI160">
        <v>0.36299999999999999</v>
      </c>
      <c r="AJ160">
        <v>0.67100000000000004</v>
      </c>
      <c r="AK160">
        <v>126</v>
      </c>
      <c r="AL160">
        <v>84</v>
      </c>
      <c r="AM160">
        <v>105</v>
      </c>
      <c r="AN160">
        <v>5.47</v>
      </c>
      <c r="AO160">
        <v>3.73</v>
      </c>
      <c r="AP160">
        <v>1.74</v>
      </c>
      <c r="AQ160">
        <v>4.68</v>
      </c>
      <c r="AR160">
        <v>4.58</v>
      </c>
      <c r="AS160" cm="1">
        <f t="array" ref="AS160:BA160">VLOOKUP(A160,plate_discipline_pitchers_2019!A:L,{3,4,5,6,7,8,9,10,11},FALSE)</f>
        <v>0.32400000000000001</v>
      </c>
      <c r="AT160">
        <v>0.69599999999999995</v>
      </c>
      <c r="AU160">
        <v>0.47899999999999998</v>
      </c>
      <c r="AV160">
        <v>0.63800000000000001</v>
      </c>
      <c r="AW160">
        <v>0.82399999999999995</v>
      </c>
      <c r="AX160">
        <v>0.751</v>
      </c>
      <c r="AY160">
        <v>0.41699999999999998</v>
      </c>
      <c r="AZ160">
        <v>0.64900000000000002</v>
      </c>
      <c r="BA160">
        <v>0.11899999999999999</v>
      </c>
      <c r="BB160" cm="1">
        <f t="array" ref="BB160:BP160">VLOOKUP(A160,pitchvalue_pitchers_2019!A:Q,{3,4,5,6,7,8,9,10,11,12,13,14,15,16,17},FALSE)</f>
        <v>0.6</v>
      </c>
      <c r="BC160">
        <v>-1.3</v>
      </c>
      <c r="BD160">
        <v>1.6</v>
      </c>
      <c r="BE160">
        <v>0</v>
      </c>
      <c r="BF160">
        <v>-0.4</v>
      </c>
      <c r="BG160">
        <v>0</v>
      </c>
      <c r="BH160">
        <v>0</v>
      </c>
      <c r="BI160">
        <v>0.11</v>
      </c>
      <c r="BJ160">
        <v>-0.73</v>
      </c>
      <c r="BK160">
        <v>1.75</v>
      </c>
      <c r="BL160">
        <v>0</v>
      </c>
      <c r="BM160">
        <v>-0.21</v>
      </c>
      <c r="BN160">
        <v>0</v>
      </c>
      <c r="BO160">
        <v>0</v>
      </c>
      <c r="BP160">
        <v>6627</v>
      </c>
      <c r="BQ160" cm="1">
        <f t="array" ref="BQ160:CH160">VLOOKUP(A160,battedball_pitchers_2019!A:U,{3,4,5,6,7,8,9,10,11,12,13,14,15,16,17,18,19,20},FALSE)</f>
        <v>0.36299999999999999</v>
      </c>
      <c r="BR160">
        <v>1.1200000000000001</v>
      </c>
      <c r="BS160">
        <v>0.25700000000000001</v>
      </c>
      <c r="BT160">
        <v>0.39200000000000002</v>
      </c>
      <c r="BU160">
        <v>0.35099999999999998</v>
      </c>
      <c r="BV160">
        <v>0.13500000000000001</v>
      </c>
      <c r="BW160">
        <v>7.6999999999999999E-2</v>
      </c>
      <c r="BX160">
        <v>25</v>
      </c>
      <c r="BY160">
        <v>4.1399999999999997</v>
      </c>
      <c r="BZ160">
        <v>370</v>
      </c>
      <c r="CA160">
        <v>627</v>
      </c>
      <c r="CB160">
        <v>997</v>
      </c>
      <c r="CC160">
        <v>0.36699999999999999</v>
      </c>
      <c r="CD160">
        <v>0.34</v>
      </c>
      <c r="CE160">
        <v>0.29299999999999998</v>
      </c>
      <c r="CF160">
        <v>0.16700000000000001</v>
      </c>
      <c r="CG160">
        <v>0.48699999999999999</v>
      </c>
      <c r="CH160">
        <v>0.34699999999999998</v>
      </c>
      <c r="CI160" cm="1">
        <f t="array" ref="CI160:CS160">VLOOKUP(A160,verticalmove_pitchers_2019!A:N,{3,4,5,6,7,8,9,10,11,12,13},FALSE)</f>
        <v>54.1</v>
      </c>
      <c r="CJ160">
        <v>7.4</v>
      </c>
      <c r="CK160">
        <v>4.5</v>
      </c>
      <c r="CL160">
        <v>0</v>
      </c>
      <c r="CM160">
        <v>4.9000000000000004</v>
      </c>
      <c r="CN160">
        <v>-0.4</v>
      </c>
      <c r="CO160">
        <v>0</v>
      </c>
      <c r="CP160">
        <v>0</v>
      </c>
      <c r="CQ160">
        <v>0</v>
      </c>
      <c r="CR160">
        <v>0</v>
      </c>
      <c r="CS160">
        <v>0</v>
      </c>
      <c r="CT160" cm="1">
        <f t="array" ref="CT160:DD160">VLOOKUP(A160,velocity_pitchers_2019!A:N,{3,4,5,6,7,8,9,10,11,12,13},FALSE)</f>
        <v>54.1</v>
      </c>
      <c r="CU160">
        <v>94.2</v>
      </c>
      <c r="CV160">
        <v>90.7</v>
      </c>
      <c r="CW160">
        <v>0</v>
      </c>
      <c r="CX160">
        <v>92.6</v>
      </c>
      <c r="CY160">
        <v>86.7</v>
      </c>
      <c r="CZ160">
        <v>85.3</v>
      </c>
      <c r="DA160">
        <v>0</v>
      </c>
      <c r="DB160">
        <v>0</v>
      </c>
      <c r="DC160">
        <v>0</v>
      </c>
      <c r="DD160">
        <v>0</v>
      </c>
    </row>
    <row r="161" spans="1:108" x14ac:dyDescent="0.3">
      <c r="A161" t="s">
        <v>233</v>
      </c>
      <c r="B161" t="str" cm="1">
        <f t="array" ref="B161:Y161">VLOOKUP(A161,standard_pitchers_2019!A:Y,{2,3,4,5,6,7,8,9,10,11,12,13,14,15,16,17,18,19,20,21,22,23,24,25},FALSE)</f>
        <v>Rangers</v>
      </c>
      <c r="C161">
        <v>2</v>
      </c>
      <c r="D161">
        <v>4</v>
      </c>
      <c r="E161">
        <v>4.33</v>
      </c>
      <c r="F161">
        <v>70</v>
      </c>
      <c r="G161">
        <v>3</v>
      </c>
      <c r="H161">
        <v>0</v>
      </c>
      <c r="I161">
        <v>0</v>
      </c>
      <c r="J161">
        <v>14</v>
      </c>
      <c r="K161">
        <v>7</v>
      </c>
      <c r="L161">
        <v>4</v>
      </c>
      <c r="M161">
        <v>68.2</v>
      </c>
      <c r="N161">
        <v>299</v>
      </c>
      <c r="O161">
        <v>52</v>
      </c>
      <c r="P161">
        <v>34</v>
      </c>
      <c r="Q161">
        <v>33</v>
      </c>
      <c r="R161">
        <v>7</v>
      </c>
      <c r="S161">
        <v>39</v>
      </c>
      <c r="T161">
        <v>1</v>
      </c>
      <c r="U161">
        <v>6</v>
      </c>
      <c r="V161">
        <v>7</v>
      </c>
      <c r="W161">
        <v>0</v>
      </c>
      <c r="X161">
        <v>100</v>
      </c>
      <c r="Y161">
        <v>14524</v>
      </c>
      <c r="Z161" cm="1">
        <f t="array" ref="Z161:AR161">VLOOKUP(A161,advanced_pitchers_2019!A:Y,{3,4,5,6,7,8,9,10,11,12,13,14,15,16,17,18,19,20,21},FALSE)</f>
        <v>13.11</v>
      </c>
      <c r="AA161">
        <v>5.1100000000000003</v>
      </c>
      <c r="AB161">
        <v>2.56</v>
      </c>
      <c r="AC161">
        <v>0.92</v>
      </c>
      <c r="AD161">
        <v>0.33400000000000002</v>
      </c>
      <c r="AE161">
        <v>0.13</v>
      </c>
      <c r="AF161">
        <v>0.20399999999999999</v>
      </c>
      <c r="AG161">
        <v>0.20499999999999999</v>
      </c>
      <c r="AH161">
        <v>1.33</v>
      </c>
      <c r="AI161">
        <v>0.30599999999999999</v>
      </c>
      <c r="AJ161">
        <v>0.72199999999999998</v>
      </c>
      <c r="AK161">
        <v>86</v>
      </c>
      <c r="AL161">
        <v>76</v>
      </c>
      <c r="AM161">
        <v>92</v>
      </c>
      <c r="AN161">
        <v>4.33</v>
      </c>
      <c r="AO161">
        <v>3.59</v>
      </c>
      <c r="AP161">
        <v>0.73</v>
      </c>
      <c r="AQ161">
        <v>4.21</v>
      </c>
      <c r="AR161">
        <v>3.73</v>
      </c>
      <c r="AS161" cm="1">
        <f t="array" ref="AS161:BA161">VLOOKUP(A161,plate_discipline_pitchers_2019!A:L,{3,4,5,6,7,8,9,10,11},FALSE)</f>
        <v>0.28799999999999998</v>
      </c>
      <c r="AT161">
        <v>0.66700000000000004</v>
      </c>
      <c r="AU161">
        <v>0.438</v>
      </c>
      <c r="AV161">
        <v>0.56899999999999995</v>
      </c>
      <c r="AW161">
        <v>0.77200000000000002</v>
      </c>
      <c r="AX161">
        <v>0.69099999999999995</v>
      </c>
      <c r="AY161">
        <v>0.39600000000000002</v>
      </c>
      <c r="AZ161">
        <v>0.58899999999999997</v>
      </c>
      <c r="BA161">
        <v>0.13500000000000001</v>
      </c>
      <c r="BB161" cm="1">
        <f t="array" ref="BB161:BP161">VLOOKUP(A161,pitchvalue_pitchers_2019!A:Q,{3,4,5,6,7,8,9,10,11,12,13,14,15,16,17},FALSE)</f>
        <v>0.6</v>
      </c>
      <c r="BC161">
        <v>0.1</v>
      </c>
      <c r="BD161">
        <v>0</v>
      </c>
      <c r="BE161">
        <v>-0.2</v>
      </c>
      <c r="BF161">
        <v>4.5</v>
      </c>
      <c r="BG161">
        <v>0.3</v>
      </c>
      <c r="BH161">
        <v>0</v>
      </c>
      <c r="BI161">
        <v>0.09</v>
      </c>
      <c r="BJ161">
        <v>3.91</v>
      </c>
      <c r="BK161">
        <v>0</v>
      </c>
      <c r="BL161">
        <v>-0.94</v>
      </c>
      <c r="BM161">
        <v>0.94</v>
      </c>
      <c r="BN161">
        <v>0.21</v>
      </c>
      <c r="BO161">
        <v>0</v>
      </c>
      <c r="BP161">
        <v>14524</v>
      </c>
      <c r="BQ161" cm="1">
        <f t="array" ref="BQ161:CH161">VLOOKUP(A161,battedball_pitchers_2019!A:U,{3,4,5,6,7,8,9,10,11,12,13,14,15,16,17,18,19,20},FALSE)</f>
        <v>0.30599999999999999</v>
      </c>
      <c r="BR161">
        <v>0.78</v>
      </c>
      <c r="BS161">
        <v>0.20100000000000001</v>
      </c>
      <c r="BT161">
        <v>0.34899999999999998</v>
      </c>
      <c r="BU161">
        <v>0.45</v>
      </c>
      <c r="BV161">
        <v>0.16400000000000001</v>
      </c>
      <c r="BW161">
        <v>0.104</v>
      </c>
      <c r="BX161">
        <v>17</v>
      </c>
      <c r="BY161">
        <v>2.23</v>
      </c>
      <c r="BZ161">
        <v>505</v>
      </c>
      <c r="CA161">
        <v>789</v>
      </c>
      <c r="CB161">
        <v>1294</v>
      </c>
      <c r="CC161">
        <v>0.46100000000000002</v>
      </c>
      <c r="CD161">
        <v>0.312</v>
      </c>
      <c r="CE161">
        <v>0.22700000000000001</v>
      </c>
      <c r="CF161">
        <v>0.182</v>
      </c>
      <c r="CG161">
        <v>0.46100000000000002</v>
      </c>
      <c r="CH161">
        <v>0.35699999999999998</v>
      </c>
      <c r="CI161" cm="1">
        <f t="array" ref="CI161:CS161">VLOOKUP(A161,verticalmove_pitchers_2019!A:N,{3,4,5,6,7,8,9,10,11,12,13},FALSE)</f>
        <v>68.2</v>
      </c>
      <c r="CJ161">
        <v>9.1999999999999993</v>
      </c>
      <c r="CK161">
        <v>8.9</v>
      </c>
      <c r="CL161">
        <v>-0.5</v>
      </c>
      <c r="CM161">
        <v>5.5</v>
      </c>
      <c r="CN161">
        <v>5.6</v>
      </c>
      <c r="CO161">
        <v>0</v>
      </c>
      <c r="CP161">
        <v>-3.5</v>
      </c>
      <c r="CQ161">
        <v>0</v>
      </c>
      <c r="CR161">
        <v>0</v>
      </c>
      <c r="CS161">
        <v>0</v>
      </c>
      <c r="CT161" cm="1">
        <f t="array" ref="CT161:DD161">VLOOKUP(A161,velocity_pitchers_2019!A:N,{3,4,5,6,7,8,9,10,11,12,13},FALSE)</f>
        <v>68.2</v>
      </c>
      <c r="CU161">
        <v>96.9</v>
      </c>
      <c r="CV161">
        <v>97.7</v>
      </c>
      <c r="CW161">
        <v>82.1</v>
      </c>
      <c r="CX161">
        <v>96.3</v>
      </c>
      <c r="CY161">
        <v>89.9</v>
      </c>
      <c r="CZ161">
        <v>0</v>
      </c>
      <c r="DA161">
        <v>79.5</v>
      </c>
      <c r="DB161">
        <v>0</v>
      </c>
      <c r="DC161">
        <v>0</v>
      </c>
      <c r="DD161">
        <v>0</v>
      </c>
    </row>
    <row r="162" spans="1:108" x14ac:dyDescent="0.3">
      <c r="A162" t="s">
        <v>342</v>
      </c>
      <c r="B162" t="str" cm="1">
        <f t="array" ref="B162:Y162">VLOOKUP(A162,standard_pitchers_2019!A:Y,{2,3,4,5,6,7,8,9,10,11,12,13,14,15,16,17,18,19,20,21,22,23,24,25},FALSE)</f>
        <v>Nationals</v>
      </c>
      <c r="C162">
        <v>4</v>
      </c>
      <c r="D162">
        <v>4</v>
      </c>
      <c r="E162">
        <v>5.48</v>
      </c>
      <c r="F162">
        <v>27</v>
      </c>
      <c r="G162">
        <v>9</v>
      </c>
      <c r="H162">
        <v>0</v>
      </c>
      <c r="I162">
        <v>0</v>
      </c>
      <c r="J162">
        <v>0</v>
      </c>
      <c r="K162">
        <v>2</v>
      </c>
      <c r="L162">
        <v>2</v>
      </c>
      <c r="M162">
        <v>64</v>
      </c>
      <c r="N162">
        <v>295</v>
      </c>
      <c r="O162">
        <v>74</v>
      </c>
      <c r="P162">
        <v>41</v>
      </c>
      <c r="Q162">
        <v>39</v>
      </c>
      <c r="R162">
        <v>7</v>
      </c>
      <c r="S162">
        <v>33</v>
      </c>
      <c r="T162">
        <v>1</v>
      </c>
      <c r="U162">
        <v>4</v>
      </c>
      <c r="V162">
        <v>2</v>
      </c>
      <c r="W162">
        <v>0</v>
      </c>
      <c r="X162">
        <v>57</v>
      </c>
      <c r="Y162">
        <v>12972</v>
      </c>
      <c r="Z162" cm="1">
        <f t="array" ref="Z162:AR162">VLOOKUP(A162,advanced_pitchers_2019!A:Y,{3,4,5,6,7,8,9,10,11,12,13,14,15,16,17,18,19,20,21},FALSE)</f>
        <v>8.02</v>
      </c>
      <c r="AA162">
        <v>4.6399999999999997</v>
      </c>
      <c r="AB162">
        <v>1.73</v>
      </c>
      <c r="AC162">
        <v>0.98</v>
      </c>
      <c r="AD162">
        <v>0.193</v>
      </c>
      <c r="AE162">
        <v>0.112</v>
      </c>
      <c r="AF162">
        <v>8.1000000000000003E-2</v>
      </c>
      <c r="AG162">
        <v>0.28699999999999998</v>
      </c>
      <c r="AH162">
        <v>1.67</v>
      </c>
      <c r="AI162">
        <v>0.34499999999999997</v>
      </c>
      <c r="AJ162">
        <v>0.69199999999999995</v>
      </c>
      <c r="AK162">
        <v>122</v>
      </c>
      <c r="AL162">
        <v>101</v>
      </c>
      <c r="AM162">
        <v>115</v>
      </c>
      <c r="AN162">
        <v>5.48</v>
      </c>
      <c r="AO162">
        <v>4.59</v>
      </c>
      <c r="AP162">
        <v>0.9</v>
      </c>
      <c r="AQ162">
        <v>5.09</v>
      </c>
      <c r="AR162">
        <v>5.17</v>
      </c>
      <c r="AS162" cm="1">
        <f t="array" ref="AS162:BA162">VLOOKUP(A162,plate_discipline_pitchers_2019!A:L,{3,4,5,6,7,8,9,10,11},FALSE)</f>
        <v>0.31900000000000001</v>
      </c>
      <c r="AT162">
        <v>0.70799999999999996</v>
      </c>
      <c r="AU162">
        <v>0.47</v>
      </c>
      <c r="AV162">
        <v>0.68899999999999995</v>
      </c>
      <c r="AW162">
        <v>0.84</v>
      </c>
      <c r="AX162">
        <v>0.77800000000000002</v>
      </c>
      <c r="AY162">
        <v>0.38800000000000001</v>
      </c>
      <c r="AZ162">
        <v>0.59299999999999997</v>
      </c>
      <c r="BA162">
        <v>0.105</v>
      </c>
      <c r="BB162" cm="1">
        <f t="array" ref="BB162:BP162">VLOOKUP(A162,pitchvalue_pitchers_2019!A:Q,{3,4,5,6,7,8,9,10,11,12,13,14,15,16,17},FALSE)</f>
        <v>0.5</v>
      </c>
      <c r="BC162">
        <v>-2.7</v>
      </c>
      <c r="BD162">
        <v>0</v>
      </c>
      <c r="BE162">
        <v>-0.4</v>
      </c>
      <c r="BF162">
        <v>-3.6</v>
      </c>
      <c r="BG162">
        <v>0</v>
      </c>
      <c r="BH162">
        <v>0</v>
      </c>
      <c r="BI162">
        <v>0.08</v>
      </c>
      <c r="BJ162">
        <v>-1.1299999999999999</v>
      </c>
      <c r="BK162">
        <v>0</v>
      </c>
      <c r="BL162">
        <v>-0.38</v>
      </c>
      <c r="BM162">
        <v>-4.2300000000000004</v>
      </c>
      <c r="BN162">
        <v>0</v>
      </c>
      <c r="BO162">
        <v>0</v>
      </c>
      <c r="BP162">
        <v>12972</v>
      </c>
      <c r="BQ162" cm="1">
        <f t="array" ref="BQ162:CH162">VLOOKUP(A162,battedball_pitchers_2019!A:U,{3,4,5,6,7,8,9,10,11,12,13,14,15,16,17,18,19,20},FALSE)</f>
        <v>0.34499999999999997</v>
      </c>
      <c r="BR162">
        <v>1.42</v>
      </c>
      <c r="BS162">
        <v>0.24199999999999999</v>
      </c>
      <c r="BT162">
        <v>0.44400000000000001</v>
      </c>
      <c r="BU162">
        <v>0.313</v>
      </c>
      <c r="BV162">
        <v>0.14499999999999999</v>
      </c>
      <c r="BW162">
        <v>0.113</v>
      </c>
      <c r="BX162">
        <v>42</v>
      </c>
      <c r="BY162">
        <v>5.91</v>
      </c>
      <c r="BZ162">
        <v>443</v>
      </c>
      <c r="CA162">
        <v>695</v>
      </c>
      <c r="CB162">
        <v>1138</v>
      </c>
      <c r="CC162">
        <v>0.38800000000000001</v>
      </c>
      <c r="CD162">
        <v>0.36799999999999999</v>
      </c>
      <c r="CE162">
        <v>0.24399999999999999</v>
      </c>
      <c r="CF162">
        <v>0.20899999999999999</v>
      </c>
      <c r="CG162">
        <v>0.47299999999999998</v>
      </c>
      <c r="CH162">
        <v>0.318</v>
      </c>
      <c r="CI162" cm="1">
        <f t="array" ref="CI162:CS162">VLOOKUP(A162,verticalmove_pitchers_2019!A:N,{3,4,5,6,7,8,9,10,11,12,13},FALSE)</f>
        <v>64</v>
      </c>
      <c r="CJ162">
        <v>7.9</v>
      </c>
      <c r="CK162">
        <v>0</v>
      </c>
      <c r="CL162">
        <v>0</v>
      </c>
      <c r="CM162">
        <v>5.5</v>
      </c>
      <c r="CN162">
        <v>4.0999999999999996</v>
      </c>
      <c r="CO162">
        <v>2.6</v>
      </c>
      <c r="CP162">
        <v>-3.1</v>
      </c>
      <c r="CQ162">
        <v>0</v>
      </c>
      <c r="CR162">
        <v>0</v>
      </c>
      <c r="CS162">
        <v>0</v>
      </c>
      <c r="CT162" cm="1">
        <f t="array" ref="CT162:DD162">VLOOKUP(A162,velocity_pitchers_2019!A:N,{3,4,5,6,7,8,9,10,11,12,13},FALSE)</f>
        <v>64</v>
      </c>
      <c r="CU162">
        <v>94.4</v>
      </c>
      <c r="CV162">
        <v>0</v>
      </c>
      <c r="CW162">
        <v>0</v>
      </c>
      <c r="CX162">
        <v>94.2</v>
      </c>
      <c r="CY162">
        <v>88.2</v>
      </c>
      <c r="CZ162">
        <v>88.2</v>
      </c>
      <c r="DA162">
        <v>81.3</v>
      </c>
      <c r="DB162">
        <v>0</v>
      </c>
      <c r="DC162">
        <v>0</v>
      </c>
      <c r="DD162">
        <v>0</v>
      </c>
    </row>
    <row r="163" spans="1:108" x14ac:dyDescent="0.3">
      <c r="A163" t="s">
        <v>179</v>
      </c>
      <c r="B163" t="str" cm="1">
        <f t="array" ref="B163:Y163">VLOOKUP(A163,standard_pitchers_2019!A:Y,{2,3,4,5,6,7,8,9,10,11,12,13,14,15,16,17,18,19,20,21,22,23,24,25},FALSE)</f>
        <v>Nationals</v>
      </c>
      <c r="C163">
        <v>11</v>
      </c>
      <c r="D163">
        <v>8</v>
      </c>
      <c r="E163">
        <v>3.85</v>
      </c>
      <c r="F163">
        <v>30</v>
      </c>
      <c r="G163">
        <v>30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166</v>
      </c>
      <c r="N163">
        <v>712</v>
      </c>
      <c r="O163">
        <v>153</v>
      </c>
      <c r="P163">
        <v>77</v>
      </c>
      <c r="Q163">
        <v>71</v>
      </c>
      <c r="R163">
        <v>22</v>
      </c>
      <c r="S163">
        <v>58</v>
      </c>
      <c r="T163">
        <v>10</v>
      </c>
      <c r="U163">
        <v>4</v>
      </c>
      <c r="V163">
        <v>1</v>
      </c>
      <c r="W163">
        <v>3</v>
      </c>
      <c r="X163">
        <v>134</v>
      </c>
      <c r="Y163">
        <v>3284</v>
      </c>
      <c r="Z163" cm="1">
        <f t="array" ref="Z163:AR163">VLOOKUP(A163,advanced_pitchers_2019!A:Y,{3,4,5,6,7,8,9,10,11,12,13,14,15,16,17,18,19,20,21},FALSE)</f>
        <v>7.27</v>
      </c>
      <c r="AA163">
        <v>3.14</v>
      </c>
      <c r="AB163">
        <v>2.31</v>
      </c>
      <c r="AC163">
        <v>1.19</v>
      </c>
      <c r="AD163">
        <v>0.188</v>
      </c>
      <c r="AE163">
        <v>8.1000000000000003E-2</v>
      </c>
      <c r="AF163">
        <v>0.107</v>
      </c>
      <c r="AG163">
        <v>0.23499999999999999</v>
      </c>
      <c r="AH163">
        <v>1.27</v>
      </c>
      <c r="AI163">
        <v>0.26500000000000001</v>
      </c>
      <c r="AJ163">
        <v>0.749</v>
      </c>
      <c r="AK163">
        <v>86</v>
      </c>
      <c r="AL163">
        <v>98</v>
      </c>
      <c r="AM163">
        <v>115</v>
      </c>
      <c r="AN163">
        <v>3.85</v>
      </c>
      <c r="AO163">
        <v>4.4400000000000004</v>
      </c>
      <c r="AP163">
        <v>-0.59</v>
      </c>
      <c r="AQ163">
        <v>5.0999999999999996</v>
      </c>
      <c r="AR163">
        <v>5.07</v>
      </c>
      <c r="AS163" cm="1">
        <f t="array" ref="AS163:BA163">VLOOKUP(A163,plate_discipline_pitchers_2019!A:L,{3,4,5,6,7,8,9,10,11},FALSE)</f>
        <v>0.34399999999999997</v>
      </c>
      <c r="AT163">
        <v>0.69199999999999995</v>
      </c>
      <c r="AU163">
        <v>0.48199999999999998</v>
      </c>
      <c r="AV163">
        <v>0.69499999999999995</v>
      </c>
      <c r="AW163">
        <v>0.86199999999999999</v>
      </c>
      <c r="AX163">
        <v>0.79</v>
      </c>
      <c r="AY163">
        <v>0.39700000000000002</v>
      </c>
      <c r="AZ163">
        <v>0.63800000000000001</v>
      </c>
      <c r="BA163">
        <v>0.10100000000000001</v>
      </c>
      <c r="BB163" cm="1">
        <f t="array" ref="BB163:BP163">VLOOKUP(A163,pitchvalue_pitchers_2019!A:Q,{3,4,5,6,7,8,9,10,11,12,13,14,15,16,17},FALSE)</f>
        <v>0.5</v>
      </c>
      <c r="BC163">
        <v>-2.2999999999999998</v>
      </c>
      <c r="BD163">
        <v>5.9</v>
      </c>
      <c r="BE163">
        <v>-0.7</v>
      </c>
      <c r="BF163">
        <v>3.3</v>
      </c>
      <c r="BG163">
        <v>0</v>
      </c>
      <c r="BH163">
        <v>0</v>
      </c>
      <c r="BI163">
        <v>0.06</v>
      </c>
      <c r="BJ163">
        <v>-2.73</v>
      </c>
      <c r="BK163">
        <v>0.79</v>
      </c>
      <c r="BL163">
        <v>-0.45</v>
      </c>
      <c r="BM163">
        <v>0.44</v>
      </c>
      <c r="BN163">
        <v>0</v>
      </c>
      <c r="BO163">
        <v>0</v>
      </c>
      <c r="BP163">
        <v>3284</v>
      </c>
      <c r="BQ163" cm="1">
        <f t="array" ref="BQ163:CH163">VLOOKUP(A163,battedball_pitchers_2019!A:U,{3,4,5,6,7,8,9,10,11,12,13,14,15,16,17,18,19,20},FALSE)</f>
        <v>0.26500000000000001</v>
      </c>
      <c r="BR163">
        <v>0.97</v>
      </c>
      <c r="BS163">
        <v>0.22800000000000001</v>
      </c>
      <c r="BT163">
        <v>0.38</v>
      </c>
      <c r="BU163">
        <v>0.39200000000000002</v>
      </c>
      <c r="BV163">
        <v>8.5000000000000006E-2</v>
      </c>
      <c r="BW163">
        <v>0.111</v>
      </c>
      <c r="BX163">
        <v>115</v>
      </c>
      <c r="BY163">
        <v>6.23</v>
      </c>
      <c r="BZ163">
        <v>964</v>
      </c>
      <c r="CA163">
        <v>1726</v>
      </c>
      <c r="CB163">
        <v>2690</v>
      </c>
      <c r="CC163">
        <v>0.39900000000000002</v>
      </c>
      <c r="CD163">
        <v>0.34100000000000003</v>
      </c>
      <c r="CE163">
        <v>0.26</v>
      </c>
      <c r="CF163">
        <v>0.19</v>
      </c>
      <c r="CG163">
        <v>0.49399999999999999</v>
      </c>
      <c r="CH163">
        <v>0.316</v>
      </c>
      <c r="CI163" cm="1">
        <f t="array" ref="CI163:CS163">VLOOKUP(A163,verticalmove_pitchers_2019!A:N,{3,4,5,6,7,8,9,10,11,12,13},FALSE)</f>
        <v>166</v>
      </c>
      <c r="CJ163">
        <v>9.5</v>
      </c>
      <c r="CK163">
        <v>6.6</v>
      </c>
      <c r="CL163">
        <v>4.5999999999999996</v>
      </c>
      <c r="CM163">
        <v>7.9</v>
      </c>
      <c r="CN163">
        <v>3.8</v>
      </c>
      <c r="CO163">
        <v>2</v>
      </c>
      <c r="CP163">
        <v>-2.2000000000000002</v>
      </c>
      <c r="CQ163">
        <v>0</v>
      </c>
      <c r="CR163">
        <v>0</v>
      </c>
      <c r="CS163">
        <v>0</v>
      </c>
      <c r="CT163" cm="1">
        <f t="array" ref="CT163:DD163">VLOOKUP(A163,velocity_pitchers_2019!A:N,{3,4,5,6,7,8,9,10,11,12,13},FALSE)</f>
        <v>166</v>
      </c>
      <c r="CU163">
        <v>90.7</v>
      </c>
      <c r="CV163">
        <v>88.1</v>
      </c>
      <c r="CW163">
        <v>70.900000000000006</v>
      </c>
      <c r="CX163">
        <v>90.7</v>
      </c>
      <c r="CY163">
        <v>84.6</v>
      </c>
      <c r="CZ163">
        <v>83.6</v>
      </c>
      <c r="DA163">
        <v>77.099999999999994</v>
      </c>
      <c r="DB163">
        <v>0</v>
      </c>
      <c r="DC163">
        <v>0</v>
      </c>
      <c r="DD163">
        <v>0</v>
      </c>
    </row>
    <row r="164" spans="1:108" x14ac:dyDescent="0.3">
      <c r="A164" t="s">
        <v>313</v>
      </c>
      <c r="B164" t="str" cm="1">
        <f t="array" ref="B164:Y164">VLOOKUP(A164,standard_pitchers_2019!A:Y,{2,3,4,5,6,7,8,9,10,11,12,13,14,15,16,17,18,19,20,21,22,23,24,25},FALSE)</f>
        <v>Brewers</v>
      </c>
      <c r="C164">
        <v>3</v>
      </c>
      <c r="D164">
        <v>4</v>
      </c>
      <c r="E164">
        <v>5.0199999999999996</v>
      </c>
      <c r="F164">
        <v>48</v>
      </c>
      <c r="G164">
        <v>0</v>
      </c>
      <c r="H164">
        <v>0</v>
      </c>
      <c r="I164">
        <v>0</v>
      </c>
      <c r="J164">
        <v>1</v>
      </c>
      <c r="K164">
        <v>12</v>
      </c>
      <c r="L164">
        <v>3</v>
      </c>
      <c r="M164">
        <v>52</v>
      </c>
      <c r="N164">
        <v>225</v>
      </c>
      <c r="O164">
        <v>54</v>
      </c>
      <c r="P164">
        <v>32</v>
      </c>
      <c r="Q164">
        <v>29</v>
      </c>
      <c r="R164">
        <v>5</v>
      </c>
      <c r="S164">
        <v>17</v>
      </c>
      <c r="T164">
        <v>0</v>
      </c>
      <c r="U164">
        <v>5</v>
      </c>
      <c r="V164">
        <v>1</v>
      </c>
      <c r="W164">
        <v>0</v>
      </c>
      <c r="X164">
        <v>46</v>
      </c>
      <c r="Y164">
        <v>9490</v>
      </c>
      <c r="Z164" cm="1">
        <f t="array" ref="Z164:AR164">VLOOKUP(A164,advanced_pitchers_2019!A:Y,{3,4,5,6,7,8,9,10,11,12,13,14,15,16,17,18,19,20,21},FALSE)</f>
        <v>7.96</v>
      </c>
      <c r="AA164">
        <v>2.94</v>
      </c>
      <c r="AB164">
        <v>2.71</v>
      </c>
      <c r="AC164">
        <v>0.87</v>
      </c>
      <c r="AD164">
        <v>0.20399999999999999</v>
      </c>
      <c r="AE164">
        <v>7.5999999999999998E-2</v>
      </c>
      <c r="AF164">
        <v>0.129</v>
      </c>
      <c r="AG164">
        <v>0.26600000000000001</v>
      </c>
      <c r="AH164">
        <v>1.37</v>
      </c>
      <c r="AI164">
        <v>0.32200000000000001</v>
      </c>
      <c r="AJ164">
        <v>0.63800000000000001</v>
      </c>
      <c r="AK164">
        <v>113</v>
      </c>
      <c r="AL164">
        <v>89</v>
      </c>
      <c r="AM164">
        <v>99</v>
      </c>
      <c r="AN164">
        <v>5.0199999999999996</v>
      </c>
      <c r="AO164">
        <v>3.96</v>
      </c>
      <c r="AP164">
        <v>1.06</v>
      </c>
      <c r="AQ164">
        <v>4.4000000000000004</v>
      </c>
      <c r="AR164">
        <v>4.21</v>
      </c>
      <c r="AS164" cm="1">
        <f t="array" ref="AS164:BA164">VLOOKUP(A164,plate_discipline_pitchers_2019!A:L,{3,4,5,6,7,8,9,10,11},FALSE)</f>
        <v>0.316</v>
      </c>
      <c r="AT164">
        <v>0.70799999999999996</v>
      </c>
      <c r="AU164">
        <v>0.48</v>
      </c>
      <c r="AV164">
        <v>0.65800000000000003</v>
      </c>
      <c r="AW164">
        <v>0.89200000000000002</v>
      </c>
      <c r="AX164">
        <v>0.80300000000000005</v>
      </c>
      <c r="AY164">
        <v>0.41799999999999998</v>
      </c>
      <c r="AZ164">
        <v>0.61799999999999999</v>
      </c>
      <c r="BA164">
        <v>9.5000000000000001E-2</v>
      </c>
      <c r="BB164" cm="1">
        <f t="array" ref="BB164:BP164">VLOOKUP(A164,pitchvalue_pitchers_2019!A:Q,{3,4,5,6,7,8,9,10,11,12,13,14,15,16,17},FALSE)</f>
        <v>0.5</v>
      </c>
      <c r="BC164">
        <v>0</v>
      </c>
      <c r="BD164">
        <v>0</v>
      </c>
      <c r="BE164">
        <v>2</v>
      </c>
      <c r="BF164">
        <v>-0.5</v>
      </c>
      <c r="BG164">
        <v>0</v>
      </c>
      <c r="BH164">
        <v>0</v>
      </c>
      <c r="BI164">
        <v>0.1</v>
      </c>
      <c r="BJ164">
        <v>0</v>
      </c>
      <c r="BK164">
        <v>0</v>
      </c>
      <c r="BL164">
        <v>0.8</v>
      </c>
      <c r="BM164">
        <v>-0.77</v>
      </c>
      <c r="BN164">
        <v>0</v>
      </c>
      <c r="BO164">
        <v>0</v>
      </c>
      <c r="BP164">
        <v>9490</v>
      </c>
      <c r="BQ164" cm="1">
        <f t="array" ref="BQ164:CH164">VLOOKUP(A164,battedball_pitchers_2019!A:U,{3,4,5,6,7,8,9,10,11,12,13,14,15,16,17,18,19,20},FALSE)</f>
        <v>0.32200000000000001</v>
      </c>
      <c r="BR164">
        <v>1.7</v>
      </c>
      <c r="BS164">
        <v>0.23200000000000001</v>
      </c>
      <c r="BT164">
        <v>0.48399999999999999</v>
      </c>
      <c r="BU164">
        <v>0.28399999999999997</v>
      </c>
      <c r="BV164">
        <v>6.8000000000000005E-2</v>
      </c>
      <c r="BW164">
        <v>0.114</v>
      </c>
      <c r="BX164">
        <v>23</v>
      </c>
      <c r="BY164">
        <v>3.98</v>
      </c>
      <c r="BZ164">
        <v>305</v>
      </c>
      <c r="CA164">
        <v>572</v>
      </c>
      <c r="CB164">
        <v>877</v>
      </c>
      <c r="CC164">
        <v>0.318</v>
      </c>
      <c r="CD164">
        <v>0.439</v>
      </c>
      <c r="CE164">
        <v>0.24199999999999999</v>
      </c>
      <c r="CF164">
        <v>0.21</v>
      </c>
      <c r="CG164">
        <v>0.44600000000000001</v>
      </c>
      <c r="CH164">
        <v>0.34399999999999997</v>
      </c>
      <c r="CI164" cm="1">
        <f t="array" ref="CI164:CS164">VLOOKUP(A164,verticalmove_pitchers_2019!A:N,{3,4,5,6,7,8,9,10,11,12,13},FALSE)</f>
        <v>52</v>
      </c>
      <c r="CJ164">
        <v>8.1999999999999993</v>
      </c>
      <c r="CK164">
        <v>0</v>
      </c>
      <c r="CL164">
        <v>2</v>
      </c>
      <c r="CM164">
        <v>4.4000000000000004</v>
      </c>
      <c r="CN164">
        <v>0</v>
      </c>
      <c r="CO164">
        <v>0</v>
      </c>
      <c r="CP164">
        <v>-3.9</v>
      </c>
      <c r="CQ164">
        <v>0</v>
      </c>
      <c r="CR164">
        <v>0</v>
      </c>
      <c r="CS164">
        <v>0</v>
      </c>
      <c r="CT164" cm="1">
        <f t="array" ref="CT164:DD164">VLOOKUP(A164,velocity_pitchers_2019!A:N,{3,4,5,6,7,8,9,10,11,12,13},FALSE)</f>
        <v>52</v>
      </c>
      <c r="CU164">
        <v>94.4</v>
      </c>
      <c r="CV164">
        <v>0</v>
      </c>
      <c r="CW164">
        <v>90.6</v>
      </c>
      <c r="CX164">
        <v>93.9</v>
      </c>
      <c r="CY164">
        <v>0</v>
      </c>
      <c r="CZ164">
        <v>0</v>
      </c>
      <c r="DA164">
        <v>81.3</v>
      </c>
      <c r="DB164">
        <v>0</v>
      </c>
      <c r="DC164">
        <v>0</v>
      </c>
      <c r="DD164">
        <v>0</v>
      </c>
    </row>
    <row r="165" spans="1:108" x14ac:dyDescent="0.3">
      <c r="A165" t="s">
        <v>207</v>
      </c>
      <c r="B165" t="str" cm="1">
        <f t="array" ref="B165:Y165">VLOOKUP(A165,standard_pitchers_2019!A:Y,{2,3,4,5,6,7,8,9,10,11,12,13,14,15,16,17,18,19,20,21,22,23,24,25},FALSE)</f>
        <v>Tigers</v>
      </c>
      <c r="C165">
        <v>5</v>
      </c>
      <c r="D165">
        <v>4</v>
      </c>
      <c r="E165">
        <v>4.07</v>
      </c>
      <c r="F165">
        <v>46</v>
      </c>
      <c r="G165">
        <v>0</v>
      </c>
      <c r="H165">
        <v>0</v>
      </c>
      <c r="I165">
        <v>0</v>
      </c>
      <c r="J165">
        <v>0</v>
      </c>
      <c r="K165">
        <v>1</v>
      </c>
      <c r="L165">
        <v>1</v>
      </c>
      <c r="M165">
        <v>79.2</v>
      </c>
      <c r="N165">
        <v>348</v>
      </c>
      <c r="O165">
        <v>76</v>
      </c>
      <c r="P165">
        <v>45</v>
      </c>
      <c r="Q165">
        <v>36</v>
      </c>
      <c r="R165">
        <v>11</v>
      </c>
      <c r="S165">
        <v>35</v>
      </c>
      <c r="T165">
        <v>4</v>
      </c>
      <c r="U165">
        <v>1</v>
      </c>
      <c r="V165">
        <v>6</v>
      </c>
      <c r="W165">
        <v>0</v>
      </c>
      <c r="X165">
        <v>74</v>
      </c>
      <c r="Y165">
        <v>12575</v>
      </c>
      <c r="Z165" cm="1">
        <f t="array" ref="Z165:AR165">VLOOKUP(A165,advanced_pitchers_2019!A:Y,{3,4,5,6,7,8,9,10,11,12,13,14,15,16,17,18,19,20,21},FALSE)</f>
        <v>8.36</v>
      </c>
      <c r="AA165">
        <v>3.95</v>
      </c>
      <c r="AB165">
        <v>2.11</v>
      </c>
      <c r="AC165">
        <v>1.24</v>
      </c>
      <c r="AD165">
        <v>0.21299999999999999</v>
      </c>
      <c r="AE165">
        <v>0.10100000000000001</v>
      </c>
      <c r="AF165">
        <v>0.112</v>
      </c>
      <c r="AG165">
        <v>0.24399999999999999</v>
      </c>
      <c r="AH165">
        <v>1.39</v>
      </c>
      <c r="AI165">
        <v>0.28599999999999998</v>
      </c>
      <c r="AJ165">
        <v>0.69399999999999995</v>
      </c>
      <c r="AK165">
        <v>87</v>
      </c>
      <c r="AL165">
        <v>97</v>
      </c>
      <c r="AM165">
        <v>102</v>
      </c>
      <c r="AN165">
        <v>4.07</v>
      </c>
      <c r="AO165">
        <v>4.51</v>
      </c>
      <c r="AP165">
        <v>-0.44</v>
      </c>
      <c r="AQ165">
        <v>4.68</v>
      </c>
      <c r="AR165">
        <v>4.54</v>
      </c>
      <c r="AS165" cm="1">
        <f t="array" ref="AS165:BA165">VLOOKUP(A165,plate_discipline_pitchers_2019!A:L,{3,4,5,6,7,8,9,10,11},FALSE)</f>
        <v>0.35399999999999998</v>
      </c>
      <c r="AT165">
        <v>0.69199999999999995</v>
      </c>
      <c r="AU165">
        <v>0.46800000000000003</v>
      </c>
      <c r="AV165">
        <v>0.63</v>
      </c>
      <c r="AW165">
        <v>0.83399999999999996</v>
      </c>
      <c r="AX165">
        <v>0.73199999999999998</v>
      </c>
      <c r="AY165">
        <v>0.33600000000000002</v>
      </c>
      <c r="AZ165">
        <v>0.54900000000000004</v>
      </c>
      <c r="BA165">
        <v>0.125</v>
      </c>
      <c r="BB165" cm="1">
        <f t="array" ref="BB165:BP165">VLOOKUP(A165,pitchvalue_pitchers_2019!A:Q,{3,4,5,6,7,8,9,10,11,12,13,14,15,16,17},FALSE)</f>
        <v>0.5</v>
      </c>
      <c r="BC165">
        <v>1.5</v>
      </c>
      <c r="BD165">
        <v>-2.5</v>
      </c>
      <c r="BE165">
        <v>-0.7</v>
      </c>
      <c r="BF165">
        <v>0.5</v>
      </c>
      <c r="BG165">
        <v>0</v>
      </c>
      <c r="BH165">
        <v>0</v>
      </c>
      <c r="BI165">
        <v>0.12</v>
      </c>
      <c r="BJ165">
        <v>1.37</v>
      </c>
      <c r="BK165">
        <v>-0.78</v>
      </c>
      <c r="BL165">
        <v>-0.89</v>
      </c>
      <c r="BM165">
        <v>0.12</v>
      </c>
      <c r="BN165">
        <v>0</v>
      </c>
      <c r="BO165">
        <v>0</v>
      </c>
      <c r="BP165">
        <v>12575</v>
      </c>
      <c r="BQ165" cm="1">
        <f t="array" ref="BQ165:CH165">VLOOKUP(A165,battedball_pitchers_2019!A:U,{3,4,5,6,7,8,9,10,11,12,13,14,15,16,17,18,19,20},FALSE)</f>
        <v>0.28599999999999998</v>
      </c>
      <c r="BR165">
        <v>1.37</v>
      </c>
      <c r="BS165">
        <v>0.20100000000000001</v>
      </c>
      <c r="BT165">
        <v>0.46200000000000002</v>
      </c>
      <c r="BU165">
        <v>0.33800000000000002</v>
      </c>
      <c r="BV165">
        <v>0.114</v>
      </c>
      <c r="BW165">
        <v>0.13900000000000001</v>
      </c>
      <c r="BX165">
        <v>28</v>
      </c>
      <c r="BY165">
        <v>3.16</v>
      </c>
      <c r="BZ165">
        <v>516</v>
      </c>
      <c r="CA165">
        <v>807</v>
      </c>
      <c r="CB165">
        <v>1323</v>
      </c>
      <c r="CC165">
        <v>0.437</v>
      </c>
      <c r="CD165">
        <v>0.34899999999999998</v>
      </c>
      <c r="CE165">
        <v>0.214</v>
      </c>
      <c r="CF165">
        <v>0.21</v>
      </c>
      <c r="CG165">
        <v>0.378</v>
      </c>
      <c r="CH165">
        <v>0.41199999999999998</v>
      </c>
      <c r="CI165" cm="1">
        <f t="array" ref="CI165:CS165">VLOOKUP(A165,verticalmove_pitchers_2019!A:N,{3,4,5,6,7,8,9,10,11,12,13},FALSE)</f>
        <v>79.2</v>
      </c>
      <c r="CJ165">
        <v>7.4</v>
      </c>
      <c r="CK165">
        <v>4.5</v>
      </c>
      <c r="CL165">
        <v>0</v>
      </c>
      <c r="CM165">
        <v>5.0999999999999996</v>
      </c>
      <c r="CN165">
        <v>4</v>
      </c>
      <c r="CO165">
        <v>1.9</v>
      </c>
      <c r="CP165">
        <v>-5.8</v>
      </c>
      <c r="CQ165">
        <v>0</v>
      </c>
      <c r="CR165">
        <v>0</v>
      </c>
      <c r="CS165">
        <v>0</v>
      </c>
      <c r="CT165" cm="1">
        <f t="array" ref="CT165:DD165">VLOOKUP(A165,velocity_pitchers_2019!A:N,{3,4,5,6,7,8,9,10,11,12,13},FALSE)</f>
        <v>79.2</v>
      </c>
      <c r="CU165">
        <v>90.4</v>
      </c>
      <c r="CV165">
        <v>87.3</v>
      </c>
      <c r="CW165">
        <v>0</v>
      </c>
      <c r="CX165">
        <v>89.3</v>
      </c>
      <c r="CY165">
        <v>79.3</v>
      </c>
      <c r="CZ165">
        <v>83.8</v>
      </c>
      <c r="DA165">
        <v>78.599999999999994</v>
      </c>
      <c r="DB165">
        <v>0</v>
      </c>
      <c r="DC165">
        <v>0</v>
      </c>
      <c r="DD165">
        <v>0</v>
      </c>
    </row>
    <row r="166" spans="1:108" x14ac:dyDescent="0.3">
      <c r="A166" t="s">
        <v>319</v>
      </c>
      <c r="B166" t="str" cm="1">
        <f t="array" ref="B166:Y166">VLOOKUP(A166,standard_pitchers_2019!A:Y,{2,3,4,5,6,7,8,9,10,11,12,13,14,15,16,17,18,19,20,21,22,23,24,25},FALSE)</f>
        <v>Reds</v>
      </c>
      <c r="C166">
        <v>3</v>
      </c>
      <c r="D166">
        <v>12</v>
      </c>
      <c r="E166">
        <v>5.14</v>
      </c>
      <c r="F166">
        <v>25</v>
      </c>
      <c r="G166">
        <v>25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129.19999999999999</v>
      </c>
      <c r="N166">
        <v>556</v>
      </c>
      <c r="O166">
        <v>136</v>
      </c>
      <c r="P166">
        <v>82</v>
      </c>
      <c r="Q166">
        <v>74</v>
      </c>
      <c r="R166">
        <v>25</v>
      </c>
      <c r="S166">
        <v>34</v>
      </c>
      <c r="T166">
        <v>0</v>
      </c>
      <c r="U166">
        <v>6</v>
      </c>
      <c r="V166">
        <v>2</v>
      </c>
      <c r="W166">
        <v>1</v>
      </c>
      <c r="X166">
        <v>129</v>
      </c>
      <c r="Y166">
        <v>16358</v>
      </c>
      <c r="Z166" cm="1">
        <f t="array" ref="Z166:AR166">VLOOKUP(A166,advanced_pitchers_2019!A:Y,{3,4,5,6,7,8,9,10,11,12,13,14,15,16,17,18,19,20,21},FALSE)</f>
        <v>8.9499999999999993</v>
      </c>
      <c r="AA166">
        <v>2.36</v>
      </c>
      <c r="AB166">
        <v>3.79</v>
      </c>
      <c r="AC166">
        <v>1.74</v>
      </c>
      <c r="AD166">
        <v>0.23200000000000001</v>
      </c>
      <c r="AE166">
        <v>6.0999999999999999E-2</v>
      </c>
      <c r="AF166">
        <v>0.17100000000000001</v>
      </c>
      <c r="AG166">
        <v>0.26400000000000001</v>
      </c>
      <c r="AH166">
        <v>1.31</v>
      </c>
      <c r="AI166">
        <v>0.307</v>
      </c>
      <c r="AJ166">
        <v>0.66700000000000004</v>
      </c>
      <c r="AK166">
        <v>114</v>
      </c>
      <c r="AL166">
        <v>103</v>
      </c>
      <c r="AM166">
        <v>90</v>
      </c>
      <c r="AN166">
        <v>5.14</v>
      </c>
      <c r="AO166">
        <v>4.66</v>
      </c>
      <c r="AP166">
        <v>0.48</v>
      </c>
      <c r="AQ166">
        <v>3.99</v>
      </c>
      <c r="AR166">
        <v>4.16</v>
      </c>
      <c r="AS166" cm="1">
        <f t="array" ref="AS166:BA166">VLOOKUP(A166,plate_discipline_pitchers_2019!A:L,{3,4,5,6,7,8,9,10,11},FALSE)</f>
        <v>0.29799999999999999</v>
      </c>
      <c r="AT166">
        <v>0.65700000000000003</v>
      </c>
      <c r="AU166">
        <v>0.45800000000000002</v>
      </c>
      <c r="AV166">
        <v>0.68200000000000005</v>
      </c>
      <c r="AW166">
        <v>0.86</v>
      </c>
      <c r="AX166">
        <v>0.79600000000000004</v>
      </c>
      <c r="AY166">
        <v>0.44600000000000001</v>
      </c>
      <c r="AZ166">
        <v>0.68500000000000005</v>
      </c>
      <c r="BA166">
        <v>9.4E-2</v>
      </c>
      <c r="BB166" cm="1">
        <f t="array" ref="BB166:BP166">VLOOKUP(A166,pitchvalue_pitchers_2019!A:Q,{3,4,5,6,7,8,9,10,11,12,13,14,15,16,17},FALSE)</f>
        <v>0.4</v>
      </c>
      <c r="BC166">
        <v>0</v>
      </c>
      <c r="BD166">
        <v>-6.9</v>
      </c>
      <c r="BE166">
        <v>-1</v>
      </c>
      <c r="BF166">
        <v>0</v>
      </c>
      <c r="BG166">
        <v>3.9</v>
      </c>
      <c r="BH166">
        <v>0</v>
      </c>
      <c r="BI166">
        <v>0.03</v>
      </c>
      <c r="BJ166">
        <v>0</v>
      </c>
      <c r="BK166">
        <v>-4.5599999999999996</v>
      </c>
      <c r="BL166">
        <v>-0.2</v>
      </c>
      <c r="BM166">
        <v>0</v>
      </c>
      <c r="BN166">
        <v>1.31</v>
      </c>
      <c r="BO166">
        <v>0</v>
      </c>
      <c r="BP166">
        <v>16358</v>
      </c>
      <c r="BQ166" cm="1">
        <f t="array" ref="BQ166:CH166">VLOOKUP(A166,battedball_pitchers_2019!A:U,{3,4,5,6,7,8,9,10,11,12,13,14,15,16,17,18,19,20},FALSE)</f>
        <v>0.307</v>
      </c>
      <c r="BR166">
        <v>1.5</v>
      </c>
      <c r="BS166">
        <v>0.217</v>
      </c>
      <c r="BT166">
        <v>0.47</v>
      </c>
      <c r="BU166">
        <v>0.313</v>
      </c>
      <c r="BV166">
        <v>6.7000000000000004E-2</v>
      </c>
      <c r="BW166">
        <v>0.20799999999999999</v>
      </c>
      <c r="BX166">
        <v>60</v>
      </c>
      <c r="BY166">
        <v>4.16</v>
      </c>
      <c r="BZ166">
        <v>750</v>
      </c>
      <c r="CA166">
        <v>1461</v>
      </c>
      <c r="CB166">
        <v>2211</v>
      </c>
      <c r="CC166">
        <v>0.375</v>
      </c>
      <c r="CD166">
        <v>0.37</v>
      </c>
      <c r="CE166">
        <v>0.25600000000000001</v>
      </c>
      <c r="CF166">
        <v>0.14499999999999999</v>
      </c>
      <c r="CG166">
        <v>0.49399999999999999</v>
      </c>
      <c r="CH166">
        <v>0.36199999999999999</v>
      </c>
      <c r="CI166" cm="1">
        <f t="array" ref="CI166:CS166">VLOOKUP(A166,verticalmove_pitchers_2019!A:N,{3,4,5,6,7,8,9,10,11,12,13},FALSE)</f>
        <v>129.19999999999999</v>
      </c>
      <c r="CJ166">
        <v>7.7</v>
      </c>
      <c r="CK166">
        <v>5.2</v>
      </c>
      <c r="CL166">
        <v>2</v>
      </c>
      <c r="CM166">
        <v>-5.9</v>
      </c>
      <c r="CN166">
        <v>1.1000000000000001</v>
      </c>
      <c r="CO166">
        <v>6.4</v>
      </c>
      <c r="CP166">
        <v>-4.8</v>
      </c>
      <c r="CQ166">
        <v>0</v>
      </c>
      <c r="CR166">
        <v>0</v>
      </c>
      <c r="CS166">
        <v>0</v>
      </c>
      <c r="CT166" cm="1">
        <f t="array" ref="CT166:DD166">VLOOKUP(A166,velocity_pitchers_2019!A:N,{3,4,5,6,7,8,9,10,11,12,13},FALSE)</f>
        <v>129.19999999999999</v>
      </c>
      <c r="CU166">
        <v>93.6</v>
      </c>
      <c r="CV166">
        <v>90.2</v>
      </c>
      <c r="CW166">
        <v>87.4</v>
      </c>
      <c r="CX166">
        <v>78.8</v>
      </c>
      <c r="CY166">
        <v>89</v>
      </c>
      <c r="CZ166">
        <v>93.2</v>
      </c>
      <c r="DA166">
        <v>80.599999999999994</v>
      </c>
      <c r="DB166">
        <v>0</v>
      </c>
      <c r="DC166">
        <v>0</v>
      </c>
      <c r="DD166">
        <v>0</v>
      </c>
    </row>
    <row r="167" spans="1:108" x14ac:dyDescent="0.3">
      <c r="A167" t="s">
        <v>205</v>
      </c>
      <c r="B167" t="str" cm="1">
        <f t="array" ref="B167:Y167">VLOOKUP(A167,standard_pitchers_2019!A:Y,{2,3,4,5,6,7,8,9,10,11,12,13,14,15,16,17,18,19,20,21,22,23,24,25},FALSE)</f>
        <v>Brewers</v>
      </c>
      <c r="C167">
        <v>2</v>
      </c>
      <c r="D167">
        <v>2</v>
      </c>
      <c r="E167">
        <v>4.0599999999999996</v>
      </c>
      <c r="F167">
        <v>83</v>
      </c>
      <c r="G167">
        <v>0</v>
      </c>
      <c r="H167">
        <v>0</v>
      </c>
      <c r="I167">
        <v>0</v>
      </c>
      <c r="J167">
        <v>0</v>
      </c>
      <c r="K167">
        <v>22</v>
      </c>
      <c r="L167">
        <v>3</v>
      </c>
      <c r="M167">
        <v>62</v>
      </c>
      <c r="N167">
        <v>267</v>
      </c>
      <c r="O167">
        <v>57</v>
      </c>
      <c r="P167">
        <v>29</v>
      </c>
      <c r="Q167">
        <v>28</v>
      </c>
      <c r="R167">
        <v>8</v>
      </c>
      <c r="S167">
        <v>24</v>
      </c>
      <c r="T167">
        <v>2</v>
      </c>
      <c r="U167">
        <v>6</v>
      </c>
      <c r="V167">
        <v>1</v>
      </c>
      <c r="W167">
        <v>0</v>
      </c>
      <c r="X167">
        <v>44</v>
      </c>
      <c r="Y167">
        <v>12890</v>
      </c>
      <c r="Z167" cm="1">
        <f t="array" ref="Z167:AR167">VLOOKUP(A167,advanced_pitchers_2019!A:Y,{3,4,5,6,7,8,9,10,11,12,13,14,15,16,17,18,19,20,21},FALSE)</f>
        <v>6.39</v>
      </c>
      <c r="AA167">
        <v>3.48</v>
      </c>
      <c r="AB167">
        <v>1.83</v>
      </c>
      <c r="AC167">
        <v>1.1599999999999999</v>
      </c>
      <c r="AD167">
        <v>0.16500000000000001</v>
      </c>
      <c r="AE167">
        <v>0.09</v>
      </c>
      <c r="AF167">
        <v>7.4999999999999997E-2</v>
      </c>
      <c r="AG167">
        <v>0.24099999999999999</v>
      </c>
      <c r="AH167">
        <v>1.31</v>
      </c>
      <c r="AI167">
        <v>0.26500000000000001</v>
      </c>
      <c r="AJ167">
        <v>0.76500000000000001</v>
      </c>
      <c r="AK167">
        <v>92</v>
      </c>
      <c r="AL167">
        <v>110</v>
      </c>
      <c r="AM167">
        <v>104</v>
      </c>
      <c r="AN167">
        <v>4.0599999999999996</v>
      </c>
      <c r="AO167">
        <v>4.92</v>
      </c>
      <c r="AP167">
        <v>-0.86</v>
      </c>
      <c r="AQ167">
        <v>4.59</v>
      </c>
      <c r="AR167">
        <v>4.54</v>
      </c>
      <c r="AS167" cm="1">
        <f t="array" ref="AS167:BA167">VLOOKUP(A167,plate_discipline_pitchers_2019!A:L,{3,4,5,6,7,8,9,10,11},FALSE)</f>
        <v>0.35099999999999998</v>
      </c>
      <c r="AT167">
        <v>0.623</v>
      </c>
      <c r="AU167">
        <v>0.45500000000000002</v>
      </c>
      <c r="AV167">
        <v>0.61799999999999999</v>
      </c>
      <c r="AW167">
        <v>0.90100000000000002</v>
      </c>
      <c r="AX167">
        <v>0.76600000000000001</v>
      </c>
      <c r="AY167">
        <v>0.38200000000000001</v>
      </c>
      <c r="AZ167">
        <v>0.622</v>
      </c>
      <c r="BA167">
        <v>0.106</v>
      </c>
      <c r="BB167" cm="1">
        <f t="array" ref="BB167:BP167">VLOOKUP(A167,pitchvalue_pitchers_2019!A:Q,{3,4,5,6,7,8,9,10,11,12,13,14,15,16,17},FALSE)</f>
        <v>0.4</v>
      </c>
      <c r="BC167">
        <v>1.4</v>
      </c>
      <c r="BD167">
        <v>0</v>
      </c>
      <c r="BE167">
        <v>0</v>
      </c>
      <c r="BF167">
        <v>-0.4</v>
      </c>
      <c r="BG167">
        <v>0</v>
      </c>
      <c r="BH167">
        <v>0</v>
      </c>
      <c r="BI167">
        <v>0.08</v>
      </c>
      <c r="BJ167">
        <v>0.81</v>
      </c>
      <c r="BK167">
        <v>0</v>
      </c>
      <c r="BL167">
        <v>0</v>
      </c>
      <c r="BM167">
        <v>-0.11</v>
      </c>
      <c r="BN167">
        <v>0</v>
      </c>
      <c r="BO167">
        <v>0</v>
      </c>
      <c r="BP167">
        <v>12890</v>
      </c>
      <c r="BQ167" cm="1">
        <f t="array" ref="BQ167:CH167">VLOOKUP(A167,battedball_pitchers_2019!A:U,{3,4,5,6,7,8,9,10,11,12,13,14,15,16,17,18,19,20},FALSE)</f>
        <v>0.26500000000000001</v>
      </c>
      <c r="BR167">
        <v>2.57</v>
      </c>
      <c r="BS167">
        <v>0.20200000000000001</v>
      </c>
      <c r="BT167">
        <v>0.57399999999999995</v>
      </c>
      <c r="BU167">
        <v>0.223</v>
      </c>
      <c r="BV167">
        <v>0.14299999999999999</v>
      </c>
      <c r="BW167">
        <v>0.19</v>
      </c>
      <c r="BX167">
        <v>32</v>
      </c>
      <c r="BY167">
        <v>4.6500000000000004</v>
      </c>
      <c r="BZ167">
        <v>349</v>
      </c>
      <c r="CA167">
        <v>629</v>
      </c>
      <c r="CB167">
        <v>978</v>
      </c>
      <c r="CC167">
        <v>0.438</v>
      </c>
      <c r="CD167">
        <v>0.33300000000000002</v>
      </c>
      <c r="CE167">
        <v>0.22900000000000001</v>
      </c>
      <c r="CF167">
        <v>0.28100000000000003</v>
      </c>
      <c r="CG167">
        <v>0.41699999999999998</v>
      </c>
      <c r="CH167">
        <v>0.30199999999999999</v>
      </c>
      <c r="CI167" cm="1">
        <f t="array" ref="CI167:CS167">VLOOKUP(A167,verticalmove_pitchers_2019!A:N,{3,4,5,6,7,8,9,10,11,12,13},FALSE)</f>
        <v>62</v>
      </c>
      <c r="CJ167">
        <v>-2.1</v>
      </c>
      <c r="CK167">
        <v>0</v>
      </c>
      <c r="CL167">
        <v>0</v>
      </c>
      <c r="CM167">
        <v>-3.3</v>
      </c>
      <c r="CN167">
        <v>-1.5</v>
      </c>
      <c r="CO167">
        <v>0.6</v>
      </c>
      <c r="CP167">
        <v>0</v>
      </c>
      <c r="CQ167">
        <v>0</v>
      </c>
      <c r="CR167">
        <v>0</v>
      </c>
      <c r="CS167">
        <v>0</v>
      </c>
      <c r="CT167" cm="1">
        <f t="array" ref="CT167:DD167">VLOOKUP(A167,velocity_pitchers_2019!A:N,{3,4,5,6,7,8,9,10,11,12,13},FALSE)</f>
        <v>62</v>
      </c>
      <c r="CU167">
        <v>87.5</v>
      </c>
      <c r="CV167">
        <v>0</v>
      </c>
      <c r="CW167">
        <v>0</v>
      </c>
      <c r="CX167">
        <v>85.9</v>
      </c>
      <c r="CY167">
        <v>73.599999999999994</v>
      </c>
      <c r="CZ167">
        <v>76.7</v>
      </c>
      <c r="DA167">
        <v>0</v>
      </c>
      <c r="DB167">
        <v>0</v>
      </c>
      <c r="DC167">
        <v>0</v>
      </c>
      <c r="DD167">
        <v>0</v>
      </c>
    </row>
    <row r="168" spans="1:108" x14ac:dyDescent="0.3">
      <c r="A168" t="s">
        <v>201</v>
      </c>
      <c r="B168" t="str" cm="1">
        <f t="array" ref="B168:Y168">VLOOKUP(A168,standard_pitchers_2019!A:Y,{2,3,4,5,6,7,8,9,10,11,12,13,14,15,16,17,18,19,20,21,22,23,24,25},FALSE)</f>
        <v>Dodgers</v>
      </c>
      <c r="C168">
        <v>10</v>
      </c>
      <c r="D168">
        <v>8</v>
      </c>
      <c r="E168">
        <v>4.04</v>
      </c>
      <c r="F168">
        <v>37</v>
      </c>
      <c r="G168">
        <v>26</v>
      </c>
      <c r="H168">
        <v>0</v>
      </c>
      <c r="I168">
        <v>0</v>
      </c>
      <c r="J168">
        <v>3</v>
      </c>
      <c r="K168">
        <v>4</v>
      </c>
      <c r="L168">
        <v>0</v>
      </c>
      <c r="M168">
        <v>153.19999999999999</v>
      </c>
      <c r="N168">
        <v>624</v>
      </c>
      <c r="O168">
        <v>114</v>
      </c>
      <c r="P168">
        <v>70</v>
      </c>
      <c r="Q168">
        <v>69</v>
      </c>
      <c r="R168">
        <v>22</v>
      </c>
      <c r="S168">
        <v>51</v>
      </c>
      <c r="T168">
        <v>1</v>
      </c>
      <c r="U168">
        <v>4</v>
      </c>
      <c r="V168">
        <v>3</v>
      </c>
      <c r="W168">
        <v>0</v>
      </c>
      <c r="X168">
        <v>169</v>
      </c>
      <c r="Y168">
        <v>18498</v>
      </c>
      <c r="Z168" cm="1">
        <f t="array" ref="Z168:AR168">VLOOKUP(A168,advanced_pitchers_2019!A:Y,{3,4,5,6,7,8,9,10,11,12,13,14,15,16,17,18,19,20,21},FALSE)</f>
        <v>9.9</v>
      </c>
      <c r="AA168">
        <v>2.99</v>
      </c>
      <c r="AB168">
        <v>3.31</v>
      </c>
      <c r="AC168">
        <v>1.29</v>
      </c>
      <c r="AD168">
        <v>0.27100000000000002</v>
      </c>
      <c r="AE168">
        <v>8.2000000000000003E-2</v>
      </c>
      <c r="AF168">
        <v>0.189</v>
      </c>
      <c r="AG168">
        <v>0.2</v>
      </c>
      <c r="AH168">
        <v>1.07</v>
      </c>
      <c r="AI168">
        <v>0.24299999999999999</v>
      </c>
      <c r="AJ168">
        <v>0.71599999999999997</v>
      </c>
      <c r="AK168">
        <v>96</v>
      </c>
      <c r="AL168">
        <v>91</v>
      </c>
      <c r="AM168">
        <v>91</v>
      </c>
      <c r="AN168">
        <v>4.04</v>
      </c>
      <c r="AO168">
        <v>3.95</v>
      </c>
      <c r="AP168">
        <v>0.09</v>
      </c>
      <c r="AQ168">
        <v>4.04</v>
      </c>
      <c r="AR168">
        <v>4.0599999999999996</v>
      </c>
      <c r="AS168" cm="1">
        <f t="array" ref="AS168:BA168">VLOOKUP(A168,plate_discipline_pitchers_2019!A:L,{3,4,5,6,7,8,9,10,11},FALSE)</f>
        <v>0.34799999999999998</v>
      </c>
      <c r="AT168">
        <v>0.68400000000000005</v>
      </c>
      <c r="AU168">
        <v>0.48299999999999998</v>
      </c>
      <c r="AV168">
        <v>0.55900000000000005</v>
      </c>
      <c r="AW168">
        <v>0.80200000000000005</v>
      </c>
      <c r="AX168">
        <v>0.69699999999999995</v>
      </c>
      <c r="AY168">
        <v>0.4</v>
      </c>
      <c r="AZ168">
        <v>0.64700000000000002</v>
      </c>
      <c r="BA168">
        <v>0.14599999999999999</v>
      </c>
      <c r="BB168" cm="1">
        <f t="array" ref="BB168:BP168">VLOOKUP(A168,pitchvalue_pitchers_2019!A:Q,{3,4,5,6,7,8,9,10,11,12,13,14,15,16,17},FALSE)</f>
        <v>0.2</v>
      </c>
      <c r="BC168">
        <v>19</v>
      </c>
      <c r="BD168">
        <v>0.4</v>
      </c>
      <c r="BE168">
        <v>-0.8</v>
      </c>
      <c r="BF168">
        <v>4.3</v>
      </c>
      <c r="BG168">
        <v>0</v>
      </c>
      <c r="BH168">
        <v>0</v>
      </c>
      <c r="BI168">
        <v>0.02</v>
      </c>
      <c r="BJ168">
        <v>2.54</v>
      </c>
      <c r="BK168">
        <v>2.2000000000000002</v>
      </c>
      <c r="BL168">
        <v>-0.43</v>
      </c>
      <c r="BM168">
        <v>0.74</v>
      </c>
      <c r="BN168">
        <v>0</v>
      </c>
      <c r="BO168">
        <v>0</v>
      </c>
      <c r="BP168">
        <v>18498</v>
      </c>
      <c r="BQ168" cm="1">
        <f t="array" ref="BQ168:CH168">VLOOKUP(A168,battedball_pitchers_2019!A:U,{3,4,5,6,7,8,9,10,11,12,13,14,15,16,17,18,19,20},FALSE)</f>
        <v>0.24299999999999999</v>
      </c>
      <c r="BR168">
        <v>1.06</v>
      </c>
      <c r="BS168">
        <v>0.21099999999999999</v>
      </c>
      <c r="BT168">
        <v>0.40600000000000003</v>
      </c>
      <c r="BU168">
        <v>0.38300000000000001</v>
      </c>
      <c r="BV168">
        <v>0.113</v>
      </c>
      <c r="BW168">
        <v>0.14599999999999999</v>
      </c>
      <c r="BX168">
        <v>95</v>
      </c>
      <c r="BY168">
        <v>5.56</v>
      </c>
      <c r="BZ168">
        <v>834</v>
      </c>
      <c r="CA168">
        <v>1599</v>
      </c>
      <c r="CB168">
        <v>2433</v>
      </c>
      <c r="CC168">
        <v>0.4</v>
      </c>
      <c r="CD168">
        <v>0.34300000000000003</v>
      </c>
      <c r="CE168">
        <v>0.25800000000000001</v>
      </c>
      <c r="CF168">
        <v>0.22</v>
      </c>
      <c r="CG168">
        <v>0.45500000000000002</v>
      </c>
      <c r="CH168">
        <v>0.32500000000000001</v>
      </c>
      <c r="CI168" cm="1">
        <f t="array" ref="CI168:CS168">VLOOKUP(A168,verticalmove_pitchers_2019!A:N,{3,4,5,6,7,8,9,10,11,12,13},FALSE)</f>
        <v>153.19999999999999</v>
      </c>
      <c r="CJ168">
        <v>8.3000000000000007</v>
      </c>
      <c r="CK168">
        <v>0</v>
      </c>
      <c r="CL168">
        <v>0</v>
      </c>
      <c r="CM168">
        <v>4.9000000000000004</v>
      </c>
      <c r="CN168">
        <v>1.9</v>
      </c>
      <c r="CO168">
        <v>2.9</v>
      </c>
      <c r="CP168">
        <v>-7.2</v>
      </c>
      <c r="CQ168">
        <v>0</v>
      </c>
      <c r="CR168">
        <v>0</v>
      </c>
      <c r="CS168">
        <v>0</v>
      </c>
      <c r="CT168" cm="1">
        <f t="array" ref="CT168:DD168">VLOOKUP(A168,velocity_pitchers_2019!A:N,{3,4,5,6,7,8,9,10,11,12,13},FALSE)</f>
        <v>153.19999999999999</v>
      </c>
      <c r="CU168">
        <v>92.2</v>
      </c>
      <c r="CV168">
        <v>0</v>
      </c>
      <c r="CW168">
        <v>0</v>
      </c>
      <c r="CX168">
        <v>91.8</v>
      </c>
      <c r="CY168">
        <v>85</v>
      </c>
      <c r="CZ168">
        <v>83.6</v>
      </c>
      <c r="DA168">
        <v>77.3</v>
      </c>
      <c r="DB168">
        <v>0</v>
      </c>
      <c r="DC168">
        <v>0</v>
      </c>
      <c r="DD168">
        <v>0</v>
      </c>
    </row>
    <row r="169" spans="1:108" x14ac:dyDescent="0.3">
      <c r="A169" t="s">
        <v>190</v>
      </c>
      <c r="B169" t="str" cm="1">
        <f t="array" ref="B169:Y169">VLOOKUP(A169,standard_pitchers_2019!A:Y,{2,3,4,5,6,7,8,9,10,11,12,13,14,15,16,17,18,19,20,21,22,23,24,25},FALSE)</f>
        <v>Astros</v>
      </c>
      <c r="C169">
        <v>14</v>
      </c>
      <c r="D169">
        <v>6</v>
      </c>
      <c r="E169">
        <v>3.98</v>
      </c>
      <c r="F169">
        <v>33</v>
      </c>
      <c r="G169">
        <v>33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167.1</v>
      </c>
      <c r="N169">
        <v>720</v>
      </c>
      <c r="O169">
        <v>164</v>
      </c>
      <c r="P169">
        <v>83</v>
      </c>
      <c r="Q169">
        <v>74</v>
      </c>
      <c r="R169">
        <v>23</v>
      </c>
      <c r="S169">
        <v>61</v>
      </c>
      <c r="T169">
        <v>0</v>
      </c>
      <c r="U169">
        <v>5</v>
      </c>
      <c r="V169">
        <v>4</v>
      </c>
      <c r="W169">
        <v>2</v>
      </c>
      <c r="X169">
        <v>140</v>
      </c>
      <c r="Y169">
        <v>8779</v>
      </c>
      <c r="Z169" cm="1">
        <f t="array" ref="Z169:AR169">VLOOKUP(A169,advanced_pitchers_2019!A:Y,{3,4,5,6,7,8,9,10,11,12,13,14,15,16,17,18,19,20,21},FALSE)</f>
        <v>7.53</v>
      </c>
      <c r="AA169">
        <v>3.28</v>
      </c>
      <c r="AB169">
        <v>2.2999999999999998</v>
      </c>
      <c r="AC169">
        <v>1.24</v>
      </c>
      <c r="AD169">
        <v>0.19400000000000001</v>
      </c>
      <c r="AE169">
        <v>8.5000000000000006E-2</v>
      </c>
      <c r="AF169">
        <v>0.11</v>
      </c>
      <c r="AG169">
        <v>0.251</v>
      </c>
      <c r="AH169">
        <v>1.34</v>
      </c>
      <c r="AI169">
        <v>0.28699999999999998</v>
      </c>
      <c r="AJ169">
        <v>0.74299999999999999</v>
      </c>
      <c r="AK169">
        <v>89</v>
      </c>
      <c r="AL169">
        <v>100</v>
      </c>
      <c r="AM169">
        <v>99</v>
      </c>
      <c r="AN169">
        <v>3.98</v>
      </c>
      <c r="AO169">
        <v>4.51</v>
      </c>
      <c r="AP169">
        <v>-0.53</v>
      </c>
      <c r="AQ169">
        <v>4.5199999999999996</v>
      </c>
      <c r="AR169">
        <v>4.8</v>
      </c>
      <c r="AS169" cm="1">
        <f t="array" ref="AS169:BA169">VLOOKUP(A169,plate_discipline_pitchers_2019!A:L,{3,4,5,6,7,8,9,10,11},FALSE)</f>
        <v>0.29299999999999998</v>
      </c>
      <c r="AT169">
        <v>0.69899999999999995</v>
      </c>
      <c r="AU169">
        <v>0.443</v>
      </c>
      <c r="AV169">
        <v>0.67600000000000005</v>
      </c>
      <c r="AW169">
        <v>0.871</v>
      </c>
      <c r="AX169">
        <v>0.79</v>
      </c>
      <c r="AY169">
        <v>0.37</v>
      </c>
      <c r="AZ169">
        <v>0.55800000000000005</v>
      </c>
      <c r="BA169">
        <v>9.2999999999999999E-2</v>
      </c>
      <c r="BB169" cm="1">
        <f t="array" ref="BB169:BP169">VLOOKUP(A169,pitchvalue_pitchers_2019!A:Q,{3,4,5,6,7,8,9,10,11,12,13,14,15,16,17},FALSE)</f>
        <v>0.1</v>
      </c>
      <c r="BC169">
        <v>-2.1</v>
      </c>
      <c r="BD169">
        <v>-2.4</v>
      </c>
      <c r="BE169">
        <v>-3.7</v>
      </c>
      <c r="BF169">
        <v>10.1</v>
      </c>
      <c r="BG169">
        <v>0</v>
      </c>
      <c r="BH169">
        <v>0</v>
      </c>
      <c r="BI169">
        <v>0.02</v>
      </c>
      <c r="BJ169">
        <v>-7.55</v>
      </c>
      <c r="BK169">
        <v>-0.17</v>
      </c>
      <c r="BL169">
        <v>-1.35</v>
      </c>
      <c r="BM169">
        <v>1.69</v>
      </c>
      <c r="BN169">
        <v>0</v>
      </c>
      <c r="BO169">
        <v>0</v>
      </c>
      <c r="BP169">
        <v>8779</v>
      </c>
      <c r="BQ169" cm="1">
        <f t="array" ref="BQ169:CH169">VLOOKUP(A169,battedball_pitchers_2019!A:U,{3,4,5,6,7,8,9,10,11,12,13,14,15,16,17,18,19,20},FALSE)</f>
        <v>0.28699999999999998</v>
      </c>
      <c r="BR169">
        <v>1.67</v>
      </c>
      <c r="BS169">
        <v>0.20499999999999999</v>
      </c>
      <c r="BT169">
        <v>0.497</v>
      </c>
      <c r="BU169">
        <v>0.29799999999999999</v>
      </c>
      <c r="BV169">
        <v>6.6000000000000003E-2</v>
      </c>
      <c r="BW169">
        <v>0.152</v>
      </c>
      <c r="BX169">
        <v>111</v>
      </c>
      <c r="BY169">
        <v>5.97</v>
      </c>
      <c r="BZ169">
        <v>1167</v>
      </c>
      <c r="CA169">
        <v>1801</v>
      </c>
      <c r="CB169">
        <v>2968</v>
      </c>
      <c r="CC169">
        <v>0.42299999999999999</v>
      </c>
      <c r="CD169">
        <v>0.372</v>
      </c>
      <c r="CE169">
        <v>0.20499999999999999</v>
      </c>
      <c r="CF169">
        <v>0.17299999999999999</v>
      </c>
      <c r="CG169">
        <v>0.46800000000000003</v>
      </c>
      <c r="CH169">
        <v>0.35899999999999999</v>
      </c>
      <c r="CI169" cm="1">
        <f t="array" ref="CI169:CS169">VLOOKUP(A169,verticalmove_pitchers_2019!A:N,{3,4,5,6,7,8,9,10,11,12,13},FALSE)</f>
        <v>167.1</v>
      </c>
      <c r="CJ169">
        <v>9.1999999999999993</v>
      </c>
      <c r="CK169">
        <v>3.9</v>
      </c>
      <c r="CL169">
        <v>0</v>
      </c>
      <c r="CM169">
        <v>7.7</v>
      </c>
      <c r="CN169">
        <v>5.0999999999999996</v>
      </c>
      <c r="CO169">
        <v>-2.7</v>
      </c>
      <c r="CP169">
        <v>-8</v>
      </c>
      <c r="CQ169">
        <v>0</v>
      </c>
      <c r="CR169">
        <v>0</v>
      </c>
      <c r="CS169">
        <v>0</v>
      </c>
      <c r="CT169" cm="1">
        <f t="array" ref="CT169:DD169">VLOOKUP(A169,velocity_pitchers_2019!A:N,{3,4,5,6,7,8,9,10,11,12,13},FALSE)</f>
        <v>167.1</v>
      </c>
      <c r="CU169">
        <v>91</v>
      </c>
      <c r="CV169">
        <v>87.5</v>
      </c>
      <c r="CW169">
        <v>0</v>
      </c>
      <c r="CX169">
        <v>89.6</v>
      </c>
      <c r="CY169">
        <v>81.400000000000006</v>
      </c>
      <c r="CZ169">
        <v>81.8</v>
      </c>
      <c r="DA169">
        <v>75.7</v>
      </c>
      <c r="DB169">
        <v>0</v>
      </c>
      <c r="DC169">
        <v>0</v>
      </c>
      <c r="DD169">
        <v>0</v>
      </c>
    </row>
    <row r="170" spans="1:108" x14ac:dyDescent="0.3">
      <c r="A170" t="s">
        <v>94</v>
      </c>
      <c r="B170" t="str" cm="1">
        <f t="array" ref="B170:Y170">VLOOKUP(A170,standard_pitchers_2019!A:Y,{2,3,4,5,6,7,8,9,10,11,12,13,14,15,16,17,18,19,20,21,22,23,24,25},FALSE)</f>
        <v>Phillies</v>
      </c>
      <c r="C170">
        <v>3</v>
      </c>
      <c r="D170">
        <v>6</v>
      </c>
      <c r="E170">
        <v>2.93</v>
      </c>
      <c r="F170">
        <v>68</v>
      </c>
      <c r="G170">
        <v>0</v>
      </c>
      <c r="H170">
        <v>0</v>
      </c>
      <c r="I170">
        <v>0</v>
      </c>
      <c r="J170">
        <v>28</v>
      </c>
      <c r="K170">
        <v>2</v>
      </c>
      <c r="L170">
        <v>6</v>
      </c>
      <c r="M170">
        <v>67.2</v>
      </c>
      <c r="N170">
        <v>275</v>
      </c>
      <c r="O170">
        <v>45</v>
      </c>
      <c r="P170">
        <v>24</v>
      </c>
      <c r="Q170">
        <v>22</v>
      </c>
      <c r="R170">
        <v>10</v>
      </c>
      <c r="S170">
        <v>24</v>
      </c>
      <c r="T170">
        <v>1</v>
      </c>
      <c r="U170">
        <v>6</v>
      </c>
      <c r="V170">
        <v>2</v>
      </c>
      <c r="W170">
        <v>2</v>
      </c>
      <c r="X170">
        <v>89</v>
      </c>
      <c r="Y170">
        <v>11804</v>
      </c>
      <c r="Z170" cm="1">
        <f t="array" ref="Z170:AR170">VLOOKUP(A170,advanced_pitchers_2019!A:Y,{3,4,5,6,7,8,9,10,11,12,13,14,15,16,17,18,19,20,21},FALSE)</f>
        <v>11.84</v>
      </c>
      <c r="AA170">
        <v>3.19</v>
      </c>
      <c r="AB170">
        <v>3.71</v>
      </c>
      <c r="AC170">
        <v>1.33</v>
      </c>
      <c r="AD170">
        <v>0.32400000000000001</v>
      </c>
      <c r="AE170">
        <v>8.6999999999999994E-2</v>
      </c>
      <c r="AF170">
        <v>0.23599999999999999</v>
      </c>
      <c r="AG170">
        <v>0.184</v>
      </c>
      <c r="AH170">
        <v>1.02</v>
      </c>
      <c r="AI170">
        <v>0.24</v>
      </c>
      <c r="AJ170">
        <v>0.83599999999999997</v>
      </c>
      <c r="AK170">
        <v>66</v>
      </c>
      <c r="AL170">
        <v>84</v>
      </c>
      <c r="AM170">
        <v>79</v>
      </c>
      <c r="AN170">
        <v>2.93</v>
      </c>
      <c r="AO170">
        <v>3.83</v>
      </c>
      <c r="AP170">
        <v>-0.91</v>
      </c>
      <c r="AQ170">
        <v>3.53</v>
      </c>
      <c r="AR170">
        <v>3.23</v>
      </c>
      <c r="AS170" cm="1">
        <f t="array" ref="AS170:BA170">VLOOKUP(A170,plate_discipline_pitchers_2019!A:L,{3,4,5,6,7,8,9,10,11},FALSE)</f>
        <v>0.36499999999999999</v>
      </c>
      <c r="AT170">
        <v>0.68500000000000005</v>
      </c>
      <c r="AU170">
        <v>0.48399999999999999</v>
      </c>
      <c r="AV170">
        <v>0.504</v>
      </c>
      <c r="AW170">
        <v>0.753</v>
      </c>
      <c r="AX170">
        <v>0.63500000000000001</v>
      </c>
      <c r="AY170">
        <v>0.372</v>
      </c>
      <c r="AZ170">
        <v>0.6</v>
      </c>
      <c r="BA170">
        <v>0.17699999999999999</v>
      </c>
      <c r="BB170" cm="1">
        <f t="array" ref="BB170:BP170">VLOOKUP(A170,pitchvalue_pitchers_2019!A:Q,{3,4,5,6,7,8,9,10,11,12,13,14,15,16,17},FALSE)</f>
        <v>0</v>
      </c>
      <c r="BC170">
        <v>0</v>
      </c>
      <c r="BD170">
        <v>0</v>
      </c>
      <c r="BE170">
        <v>0</v>
      </c>
      <c r="BF170">
        <v>0</v>
      </c>
      <c r="BG170">
        <v>11.2</v>
      </c>
      <c r="BH170">
        <v>0</v>
      </c>
      <c r="BI170">
        <v>0.01</v>
      </c>
      <c r="BJ170">
        <v>0</v>
      </c>
      <c r="BK170">
        <v>0</v>
      </c>
      <c r="BL170">
        <v>0</v>
      </c>
      <c r="BM170">
        <v>0</v>
      </c>
      <c r="BN170">
        <v>1.53</v>
      </c>
      <c r="BO170">
        <v>0</v>
      </c>
      <c r="BP170">
        <v>11804</v>
      </c>
      <c r="BQ170" cm="1">
        <f t="array" ref="BQ170:CH170">VLOOKUP(A170,battedball_pitchers_2019!A:U,{3,4,5,6,7,8,9,10,11,12,13,14,15,16,17,18,19,20},FALSE)</f>
        <v>0.24</v>
      </c>
      <c r="BR170">
        <v>1.27</v>
      </c>
      <c r="BS170">
        <v>0.188</v>
      </c>
      <c r="BT170">
        <v>0.45500000000000002</v>
      </c>
      <c r="BU170">
        <v>0.35699999999999998</v>
      </c>
      <c r="BV170">
        <v>0.109</v>
      </c>
      <c r="BW170">
        <v>0.182</v>
      </c>
      <c r="BX170">
        <v>22</v>
      </c>
      <c r="BY170">
        <v>2.93</v>
      </c>
      <c r="BZ170">
        <v>409</v>
      </c>
      <c r="CA170">
        <v>717</v>
      </c>
      <c r="CB170">
        <v>1126</v>
      </c>
      <c r="CC170">
        <v>0.48699999999999999</v>
      </c>
      <c r="CD170">
        <v>0.314</v>
      </c>
      <c r="CE170">
        <v>0.19900000000000001</v>
      </c>
      <c r="CF170">
        <v>0.19900000000000001</v>
      </c>
      <c r="CG170">
        <v>0.38500000000000001</v>
      </c>
      <c r="CH170">
        <v>0.41699999999999998</v>
      </c>
      <c r="CI170" cm="1">
        <f t="array" ref="CI170:CS170">VLOOKUP(A170,verticalmove_pitchers_2019!A:N,{3,4,5,6,7,8,9,10,11,12,13},FALSE)</f>
        <v>67.2</v>
      </c>
      <c r="CJ170">
        <v>8.1999999999999993</v>
      </c>
      <c r="CK170">
        <v>0</v>
      </c>
      <c r="CL170">
        <v>-0.3</v>
      </c>
      <c r="CM170">
        <v>4.7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 cm="1">
        <f t="array" ref="CT170:DD170">VLOOKUP(A170,velocity_pitchers_2019!A:N,{3,4,5,6,7,8,9,10,11,12,13},FALSE)</f>
        <v>67.2</v>
      </c>
      <c r="CU170">
        <v>94.7</v>
      </c>
      <c r="CV170">
        <v>0</v>
      </c>
      <c r="CW170">
        <v>87.2</v>
      </c>
      <c r="CX170">
        <v>95.1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0</v>
      </c>
    </row>
    <row r="171" spans="1:108" x14ac:dyDescent="0.3">
      <c r="A171" t="s">
        <v>133</v>
      </c>
      <c r="B171" t="str" cm="1">
        <f t="array" ref="B171:Y171">VLOOKUP(A171,standard_pitchers_2019!A:Y,{2,3,4,5,6,7,8,9,10,11,12,13,14,15,16,17,18,19,20,21,22,23,24,25},FALSE)</f>
        <v>Dodgers</v>
      </c>
      <c r="C171">
        <v>4</v>
      </c>
      <c r="D171">
        <v>4</v>
      </c>
      <c r="E171">
        <v>3.47</v>
      </c>
      <c r="F171">
        <v>32</v>
      </c>
      <c r="G171">
        <v>15</v>
      </c>
      <c r="H171">
        <v>0</v>
      </c>
      <c r="I171">
        <v>0</v>
      </c>
      <c r="J171">
        <v>0</v>
      </c>
      <c r="K171">
        <v>3</v>
      </c>
      <c r="L171">
        <v>0</v>
      </c>
      <c r="M171">
        <v>90.2</v>
      </c>
      <c r="N171">
        <v>370</v>
      </c>
      <c r="O171">
        <v>84</v>
      </c>
      <c r="P171">
        <v>40</v>
      </c>
      <c r="Q171">
        <v>35</v>
      </c>
      <c r="R171">
        <v>11</v>
      </c>
      <c r="S171">
        <v>20</v>
      </c>
      <c r="T171">
        <v>0</v>
      </c>
      <c r="U171">
        <v>2</v>
      </c>
      <c r="V171">
        <v>4</v>
      </c>
      <c r="W171">
        <v>0</v>
      </c>
      <c r="X171">
        <v>93</v>
      </c>
      <c r="Y171">
        <v>13273</v>
      </c>
      <c r="Z171" cm="1">
        <f t="array" ref="Z171:AR171">VLOOKUP(A171,advanced_pitchers_2019!A:Y,{3,4,5,6,7,8,9,10,11,12,13,14,15,16,17,18,19,20,21},FALSE)</f>
        <v>9.23</v>
      </c>
      <c r="AA171">
        <v>1.99</v>
      </c>
      <c r="AB171">
        <v>4.6500000000000004</v>
      </c>
      <c r="AC171">
        <v>1.0900000000000001</v>
      </c>
      <c r="AD171">
        <v>0.251</v>
      </c>
      <c r="AE171">
        <v>5.3999999999999999E-2</v>
      </c>
      <c r="AF171">
        <v>0.19700000000000001</v>
      </c>
      <c r="AG171">
        <v>0.24099999999999999</v>
      </c>
      <c r="AH171">
        <v>1.1499999999999999</v>
      </c>
      <c r="AI171">
        <v>0.29899999999999999</v>
      </c>
      <c r="AJ171">
        <v>0.72799999999999998</v>
      </c>
      <c r="AK171">
        <v>83</v>
      </c>
      <c r="AL171">
        <v>79</v>
      </c>
      <c r="AM171">
        <v>81</v>
      </c>
      <c r="AN171">
        <v>3.47</v>
      </c>
      <c r="AO171">
        <v>3.47</v>
      </c>
      <c r="AP171">
        <v>0.01</v>
      </c>
      <c r="AQ171">
        <v>3.58</v>
      </c>
      <c r="AR171">
        <v>3.75</v>
      </c>
      <c r="AS171" cm="1">
        <f t="array" ref="AS171:BA171">VLOOKUP(A171,plate_discipline_pitchers_2019!A:L,{3,4,5,6,7,8,9,10,11},FALSE)</f>
        <v>0.32</v>
      </c>
      <c r="AT171">
        <v>0.64200000000000002</v>
      </c>
      <c r="AU171">
        <v>0.45700000000000002</v>
      </c>
      <c r="AV171">
        <v>0.61899999999999999</v>
      </c>
      <c r="AW171">
        <v>0.876</v>
      </c>
      <c r="AX171">
        <v>0.77300000000000002</v>
      </c>
      <c r="AY171">
        <v>0.42699999999999999</v>
      </c>
      <c r="AZ171">
        <v>0.68600000000000005</v>
      </c>
      <c r="BA171">
        <v>0.104</v>
      </c>
      <c r="BB171" cm="1">
        <f t="array" ref="BB171:BP171">VLOOKUP(A171,pitchvalue_pitchers_2019!A:Q,{3,4,5,6,7,8,9,10,11,12,13,14,15,16,17},FALSE)</f>
        <v>0</v>
      </c>
      <c r="BC171">
        <v>-1.4</v>
      </c>
      <c r="BD171">
        <v>0</v>
      </c>
      <c r="BE171">
        <v>8.8000000000000007</v>
      </c>
      <c r="BF171">
        <v>-0.1</v>
      </c>
      <c r="BG171">
        <v>0</v>
      </c>
      <c r="BH171">
        <v>0</v>
      </c>
      <c r="BI171">
        <v>0</v>
      </c>
      <c r="BJ171">
        <v>-0.52</v>
      </c>
      <c r="BK171">
        <v>0</v>
      </c>
      <c r="BL171">
        <v>2.13</v>
      </c>
      <c r="BM171">
        <v>-0.05</v>
      </c>
      <c r="BN171">
        <v>0</v>
      </c>
      <c r="BO171">
        <v>0</v>
      </c>
      <c r="BP171">
        <v>13273</v>
      </c>
      <c r="BQ171" cm="1">
        <f t="array" ref="BQ171:CH171">VLOOKUP(A171,battedball_pitchers_2019!A:U,{3,4,5,6,7,8,9,10,11,12,13,14,15,16,17,18,19,20},FALSE)</f>
        <v>0.29899999999999999</v>
      </c>
      <c r="BR171">
        <v>1.64</v>
      </c>
      <c r="BS171">
        <v>0.191</v>
      </c>
      <c r="BT171">
        <v>0.502</v>
      </c>
      <c r="BU171">
        <v>0.307</v>
      </c>
      <c r="BV171">
        <v>0.13</v>
      </c>
      <c r="BW171">
        <v>0.14299999999999999</v>
      </c>
      <c r="BX171">
        <v>47</v>
      </c>
      <c r="BY171">
        <v>4.67</v>
      </c>
      <c r="BZ171">
        <v>495</v>
      </c>
      <c r="CA171">
        <v>950</v>
      </c>
      <c r="CB171">
        <v>1445</v>
      </c>
      <c r="CC171">
        <v>0.4</v>
      </c>
      <c r="CD171">
        <v>0.376</v>
      </c>
      <c r="CE171">
        <v>0.224</v>
      </c>
      <c r="CF171">
        <v>0.16500000000000001</v>
      </c>
      <c r="CG171">
        <v>0.47499999999999998</v>
      </c>
      <c r="CH171">
        <v>0.36099999999999999</v>
      </c>
      <c r="CI171" cm="1">
        <f t="array" ref="CI171:CS171">VLOOKUP(A171,verticalmove_pitchers_2019!A:N,{3,4,5,6,7,8,9,10,11,12,13},FALSE)</f>
        <v>90.2</v>
      </c>
      <c r="CJ171">
        <v>9.5</v>
      </c>
      <c r="CK171">
        <v>0</v>
      </c>
      <c r="CL171">
        <v>0</v>
      </c>
      <c r="CM171">
        <v>6.5</v>
      </c>
      <c r="CN171">
        <v>2.2999999999999998</v>
      </c>
      <c r="CO171">
        <v>3.1</v>
      </c>
      <c r="CP171">
        <v>-8.6</v>
      </c>
      <c r="CQ171">
        <v>0</v>
      </c>
      <c r="CR171">
        <v>0</v>
      </c>
      <c r="CS171">
        <v>0</v>
      </c>
      <c r="CT171" cm="1">
        <f t="array" ref="CT171:DD171">VLOOKUP(A171,velocity_pitchers_2019!A:N,{3,4,5,6,7,8,9,10,11,12,13},FALSE)</f>
        <v>90.2</v>
      </c>
      <c r="CU171">
        <v>90.8</v>
      </c>
      <c r="CV171">
        <v>0</v>
      </c>
      <c r="CW171">
        <v>0</v>
      </c>
      <c r="CX171">
        <v>88.8</v>
      </c>
      <c r="CY171">
        <v>83</v>
      </c>
      <c r="CZ171">
        <v>86.7</v>
      </c>
      <c r="DA171">
        <v>80</v>
      </c>
      <c r="DB171">
        <v>0</v>
      </c>
      <c r="DC171">
        <v>0</v>
      </c>
      <c r="DD171">
        <v>0</v>
      </c>
    </row>
    <row r="172" spans="1:108" x14ac:dyDescent="0.3">
      <c r="A172" t="s">
        <v>259</v>
      </c>
      <c r="B172" t="str" cm="1">
        <f t="array" ref="B172:Y172">VLOOKUP(A172,standard_pitchers_2019!A:Y,{2,3,4,5,6,7,8,9,10,11,12,13,14,15,16,17,18,19,20,21,22,23,24,25},FALSE)</f>
        <v>Nationals</v>
      </c>
      <c r="C172">
        <v>6</v>
      </c>
      <c r="D172">
        <v>9</v>
      </c>
      <c r="E172">
        <v>4.54</v>
      </c>
      <c r="F172">
        <v>78</v>
      </c>
      <c r="G172">
        <v>0</v>
      </c>
      <c r="H172">
        <v>0</v>
      </c>
      <c r="I172">
        <v>0</v>
      </c>
      <c r="J172">
        <v>1</v>
      </c>
      <c r="K172">
        <v>19</v>
      </c>
      <c r="L172">
        <v>6</v>
      </c>
      <c r="M172">
        <v>71.099999999999994</v>
      </c>
      <c r="N172">
        <v>296</v>
      </c>
      <c r="O172">
        <v>64</v>
      </c>
      <c r="P172">
        <v>36</v>
      </c>
      <c r="Q172">
        <v>36</v>
      </c>
      <c r="R172">
        <v>5</v>
      </c>
      <c r="S172">
        <v>26</v>
      </c>
      <c r="T172">
        <v>3</v>
      </c>
      <c r="U172">
        <v>3</v>
      </c>
      <c r="V172">
        <v>2</v>
      </c>
      <c r="W172">
        <v>1</v>
      </c>
      <c r="X172">
        <v>81</v>
      </c>
      <c r="Y172">
        <v>15855</v>
      </c>
      <c r="Z172" cm="1">
        <f t="array" ref="Z172:AR172">VLOOKUP(A172,advanced_pitchers_2019!A:Y,{3,4,5,6,7,8,9,10,11,12,13,14,15,16,17,18,19,20,21},FALSE)</f>
        <v>10.220000000000001</v>
      </c>
      <c r="AA172">
        <v>3.28</v>
      </c>
      <c r="AB172">
        <v>3.12</v>
      </c>
      <c r="AC172">
        <v>0.63</v>
      </c>
      <c r="AD172">
        <v>0.27400000000000002</v>
      </c>
      <c r="AE172">
        <v>8.7999999999999995E-2</v>
      </c>
      <c r="AF172">
        <v>0.186</v>
      </c>
      <c r="AG172">
        <v>0.24</v>
      </c>
      <c r="AH172">
        <v>1.26</v>
      </c>
      <c r="AI172">
        <v>0.32600000000000001</v>
      </c>
      <c r="AJ172">
        <v>0.66300000000000003</v>
      </c>
      <c r="AK172">
        <v>101</v>
      </c>
      <c r="AL172">
        <v>68</v>
      </c>
      <c r="AM172">
        <v>86</v>
      </c>
      <c r="AN172">
        <v>4.54</v>
      </c>
      <c r="AO172">
        <v>3.07</v>
      </c>
      <c r="AP172">
        <v>1.47</v>
      </c>
      <c r="AQ172">
        <v>3.81</v>
      </c>
      <c r="AR172">
        <v>3.74</v>
      </c>
      <c r="AS172" cm="1">
        <f t="array" ref="AS172:BA172">VLOOKUP(A172,plate_discipline_pitchers_2019!A:L,{3,4,5,6,7,8,9,10,11},FALSE)</f>
        <v>0.30299999999999999</v>
      </c>
      <c r="AT172">
        <v>0.72899999999999998</v>
      </c>
      <c r="AU172">
        <v>0.497</v>
      </c>
      <c r="AV172">
        <v>0.61499999999999999</v>
      </c>
      <c r="AW172">
        <v>0.78300000000000003</v>
      </c>
      <c r="AX172">
        <v>0.72699999999999998</v>
      </c>
      <c r="AY172">
        <v>0.45500000000000002</v>
      </c>
      <c r="AZ172">
        <v>0.58399999999999996</v>
      </c>
      <c r="BA172">
        <v>0.13600000000000001</v>
      </c>
      <c r="BB172" cm="1">
        <f t="array" ref="BB172:BP172">VLOOKUP(A172,pitchvalue_pitchers_2019!A:Q,{3,4,5,6,7,8,9,10,11,12,13,14,15,16,17},FALSE)</f>
        <v>0</v>
      </c>
      <c r="BC172">
        <v>0</v>
      </c>
      <c r="BD172">
        <v>7.5</v>
      </c>
      <c r="BE172">
        <v>-3.4</v>
      </c>
      <c r="BF172">
        <v>5.9</v>
      </c>
      <c r="BG172">
        <v>0</v>
      </c>
      <c r="BH172">
        <v>0</v>
      </c>
      <c r="BI172">
        <v>-2.98</v>
      </c>
      <c r="BJ172">
        <v>0</v>
      </c>
      <c r="BK172">
        <v>0.86</v>
      </c>
      <c r="BL172">
        <v>-4.04</v>
      </c>
      <c r="BM172">
        <v>2.36</v>
      </c>
      <c r="BN172">
        <v>0</v>
      </c>
      <c r="BO172">
        <v>0</v>
      </c>
      <c r="BP172">
        <v>15855</v>
      </c>
      <c r="BQ172" cm="1">
        <f t="array" ref="BQ172:CH172">VLOOKUP(A172,battedball_pitchers_2019!A:U,{3,4,5,6,7,8,9,10,11,12,13,14,15,16,17,18,19,20},FALSE)</f>
        <v>0.32600000000000001</v>
      </c>
      <c r="BR172">
        <v>1.27</v>
      </c>
      <c r="BS172">
        <v>0.27200000000000002</v>
      </c>
      <c r="BT172">
        <v>0.40799999999999997</v>
      </c>
      <c r="BU172">
        <v>0.32100000000000001</v>
      </c>
      <c r="BV172">
        <v>6.8000000000000005E-2</v>
      </c>
      <c r="BW172">
        <v>8.5000000000000006E-2</v>
      </c>
      <c r="BX172">
        <v>64</v>
      </c>
      <c r="BY172">
        <v>8.07</v>
      </c>
      <c r="BZ172">
        <v>428</v>
      </c>
      <c r="CA172">
        <v>782</v>
      </c>
      <c r="CB172">
        <v>1210</v>
      </c>
      <c r="CC172">
        <v>0.35499999999999998</v>
      </c>
      <c r="CD172">
        <v>0.33900000000000002</v>
      </c>
      <c r="CE172">
        <v>0.30599999999999999</v>
      </c>
      <c r="CF172">
        <v>0.156</v>
      </c>
      <c r="CG172">
        <v>0.46800000000000003</v>
      </c>
      <c r="CH172">
        <v>0.376</v>
      </c>
      <c r="CI172" cm="1">
        <f t="array" ref="CI172:CS172">VLOOKUP(A172,verticalmove_pitchers_2019!A:N,{3,4,5,6,7,8,9,10,11,12,13},FALSE)</f>
        <v>71.099999999999994</v>
      </c>
      <c r="CJ172">
        <v>6</v>
      </c>
      <c r="CK172">
        <v>6.3</v>
      </c>
      <c r="CL172">
        <v>0</v>
      </c>
      <c r="CM172">
        <v>0</v>
      </c>
      <c r="CN172">
        <v>2.9</v>
      </c>
      <c r="CO172">
        <v>6.9</v>
      </c>
      <c r="CP172">
        <v>-7.9</v>
      </c>
      <c r="CQ172">
        <v>0</v>
      </c>
      <c r="CR172">
        <v>0</v>
      </c>
      <c r="CS172">
        <v>0</v>
      </c>
      <c r="CT172" cm="1">
        <f t="array" ref="CT172:DD172">VLOOKUP(A172,velocity_pitchers_2019!A:N,{3,4,5,6,7,8,9,10,11,12,13},FALSE)</f>
        <v>71.099999999999994</v>
      </c>
      <c r="CU172">
        <v>94.3</v>
      </c>
      <c r="CV172">
        <v>93.1</v>
      </c>
      <c r="CW172">
        <v>0</v>
      </c>
      <c r="CX172">
        <v>0</v>
      </c>
      <c r="CY172">
        <v>87.7</v>
      </c>
      <c r="CZ172">
        <v>93.4</v>
      </c>
      <c r="DA172">
        <v>79.8</v>
      </c>
      <c r="DB172">
        <v>0</v>
      </c>
      <c r="DC172">
        <v>0</v>
      </c>
      <c r="DD172">
        <v>0</v>
      </c>
    </row>
    <row r="173" spans="1:108" x14ac:dyDescent="0.3">
      <c r="A173" t="s">
        <v>334</v>
      </c>
      <c r="B173" t="str" cm="1">
        <f t="array" ref="B173:Y173">VLOOKUP(A173,standard_pitchers_2019!A:Y,{2,3,4,5,6,7,8,9,10,11,12,13,14,15,16,17,18,19,20,21,22,23,24,25},FALSE)</f>
        <v>Rockies</v>
      </c>
      <c r="C173">
        <v>3</v>
      </c>
      <c r="D173">
        <v>2</v>
      </c>
      <c r="E173">
        <v>5.38</v>
      </c>
      <c r="F173">
        <v>70</v>
      </c>
      <c r="G173">
        <v>0</v>
      </c>
      <c r="H173">
        <v>0</v>
      </c>
      <c r="I173">
        <v>0</v>
      </c>
      <c r="J173">
        <v>1</v>
      </c>
      <c r="K173">
        <v>12</v>
      </c>
      <c r="L173">
        <v>5</v>
      </c>
      <c r="M173">
        <v>72</v>
      </c>
      <c r="N173">
        <v>311</v>
      </c>
      <c r="O173">
        <v>69</v>
      </c>
      <c r="P173">
        <v>44</v>
      </c>
      <c r="Q173">
        <v>43</v>
      </c>
      <c r="R173">
        <v>12</v>
      </c>
      <c r="S173">
        <v>29</v>
      </c>
      <c r="T173">
        <v>1</v>
      </c>
      <c r="U173">
        <v>5</v>
      </c>
      <c r="V173">
        <v>1</v>
      </c>
      <c r="W173">
        <v>0</v>
      </c>
      <c r="X173">
        <v>58</v>
      </c>
      <c r="Y173">
        <v>8110</v>
      </c>
      <c r="Z173" cm="1">
        <f t="array" ref="Z173:AR173">VLOOKUP(A173,advanced_pitchers_2019!A:Y,{3,4,5,6,7,8,9,10,11,12,13,14,15,16,17,18,19,20,21},FALSE)</f>
        <v>7.25</v>
      </c>
      <c r="AA173">
        <v>3.63</v>
      </c>
      <c r="AB173">
        <v>2</v>
      </c>
      <c r="AC173">
        <v>1.5</v>
      </c>
      <c r="AD173">
        <v>0.186</v>
      </c>
      <c r="AE173">
        <v>9.2999999999999999E-2</v>
      </c>
      <c r="AF173">
        <v>9.2999999999999999E-2</v>
      </c>
      <c r="AG173">
        <v>0.249</v>
      </c>
      <c r="AH173">
        <v>1.36</v>
      </c>
      <c r="AI173">
        <v>0.27500000000000002</v>
      </c>
      <c r="AJ173">
        <v>0.68400000000000005</v>
      </c>
      <c r="AK173">
        <v>107</v>
      </c>
      <c r="AL173">
        <v>111</v>
      </c>
      <c r="AM173">
        <v>110</v>
      </c>
      <c r="AN173">
        <v>5.38</v>
      </c>
      <c r="AO173">
        <v>5.19</v>
      </c>
      <c r="AP173">
        <v>0.19</v>
      </c>
      <c r="AQ173">
        <v>4.87</v>
      </c>
      <c r="AR173">
        <v>4.67</v>
      </c>
      <c r="AS173" cm="1">
        <f t="array" ref="AS173:BA173">VLOOKUP(A173,plate_discipline_pitchers_2019!A:L,{3,4,5,6,7,8,9,10,11},FALSE)</f>
        <v>0.26100000000000001</v>
      </c>
      <c r="AT173">
        <v>0.73699999999999999</v>
      </c>
      <c r="AU173">
        <v>0.45900000000000002</v>
      </c>
      <c r="AV173">
        <v>0.57499999999999996</v>
      </c>
      <c r="AW173">
        <v>0.86499999999999999</v>
      </c>
      <c r="AX173">
        <v>0.76900000000000002</v>
      </c>
      <c r="AY173">
        <v>0.41599999999999998</v>
      </c>
      <c r="AZ173">
        <v>0.55600000000000005</v>
      </c>
      <c r="BA173">
        <v>0.106</v>
      </c>
      <c r="BB173" cm="1">
        <f t="array" ref="BB173:BP173">VLOOKUP(A173,pitchvalue_pitchers_2019!A:Q,{3,4,5,6,7,8,9,10,11,12,13,14,15,16,17},FALSE)</f>
        <v>-0.1</v>
      </c>
      <c r="BC173">
        <v>-1.2</v>
      </c>
      <c r="BD173">
        <v>1.2</v>
      </c>
      <c r="BE173">
        <v>-2.8</v>
      </c>
      <c r="BF173">
        <v>-0.8</v>
      </c>
      <c r="BG173">
        <v>0</v>
      </c>
      <c r="BH173">
        <v>0</v>
      </c>
      <c r="BI173">
        <v>-6.2</v>
      </c>
      <c r="BJ173">
        <v>-1.1299999999999999</v>
      </c>
      <c r="BK173">
        <v>0.13</v>
      </c>
      <c r="BL173">
        <v>-2.88</v>
      </c>
      <c r="BM173">
        <v>-0.88</v>
      </c>
      <c r="BN173">
        <v>0</v>
      </c>
      <c r="BO173">
        <v>0</v>
      </c>
      <c r="BP173">
        <v>8110</v>
      </c>
      <c r="BQ173" cm="1">
        <f t="array" ref="BQ173:CH173">VLOOKUP(A173,battedball_pitchers_2019!A:U,{3,4,5,6,7,8,9,10,11,12,13,14,15,16,17,18,19,20},FALSE)</f>
        <v>0.27500000000000002</v>
      </c>
      <c r="BR173">
        <v>1.58</v>
      </c>
      <c r="BS173">
        <v>0.20300000000000001</v>
      </c>
      <c r="BT173">
        <v>0.48799999999999999</v>
      </c>
      <c r="BU173">
        <v>0.309</v>
      </c>
      <c r="BV173">
        <v>4.4999999999999998E-2</v>
      </c>
      <c r="BW173">
        <v>0.17899999999999999</v>
      </c>
      <c r="BX173">
        <v>44</v>
      </c>
      <c r="BY173">
        <v>5.5</v>
      </c>
      <c r="BZ173">
        <v>474</v>
      </c>
      <c r="CA173">
        <v>714</v>
      </c>
      <c r="CB173">
        <v>1188</v>
      </c>
      <c r="CC173">
        <v>0.32900000000000001</v>
      </c>
      <c r="CD173">
        <v>0.42499999999999999</v>
      </c>
      <c r="CE173">
        <v>0.247</v>
      </c>
      <c r="CF173">
        <v>0.13200000000000001</v>
      </c>
      <c r="CG173">
        <v>0.51100000000000001</v>
      </c>
      <c r="CH173">
        <v>0.35599999999999998</v>
      </c>
      <c r="CI173" cm="1">
        <f t="array" ref="CI173:CS173">VLOOKUP(A173,verticalmove_pitchers_2019!A:N,{3,4,5,6,7,8,9,10,11,12,13},FALSE)</f>
        <v>72</v>
      </c>
      <c r="CJ173">
        <v>0</v>
      </c>
      <c r="CK173">
        <v>3.7</v>
      </c>
      <c r="CL173">
        <v>0</v>
      </c>
      <c r="CM173">
        <v>2.4</v>
      </c>
      <c r="CN173">
        <v>3.3</v>
      </c>
      <c r="CO173">
        <v>-4</v>
      </c>
      <c r="CP173">
        <v>0</v>
      </c>
      <c r="CQ173">
        <v>0</v>
      </c>
      <c r="CR173">
        <v>0</v>
      </c>
      <c r="CS173">
        <v>0</v>
      </c>
      <c r="CT173" cm="1">
        <f t="array" ref="CT173:DD173">VLOOKUP(A173,velocity_pitchers_2019!A:N,{3,4,5,6,7,8,9,10,11,12,13},FALSE)</f>
        <v>72</v>
      </c>
      <c r="CU173">
        <v>0</v>
      </c>
      <c r="CV173">
        <v>92.5</v>
      </c>
      <c r="CW173">
        <v>0</v>
      </c>
      <c r="CX173">
        <v>87.9</v>
      </c>
      <c r="CY173">
        <v>84</v>
      </c>
      <c r="CZ173">
        <v>82</v>
      </c>
      <c r="DA173">
        <v>0</v>
      </c>
      <c r="DB173">
        <v>0</v>
      </c>
      <c r="DC173">
        <v>0</v>
      </c>
      <c r="DD173">
        <v>0</v>
      </c>
    </row>
    <row r="174" spans="1:108" x14ac:dyDescent="0.3">
      <c r="A174" t="s">
        <v>91</v>
      </c>
      <c r="B174" t="str" cm="1">
        <f t="array" ref="B174:Y174">VLOOKUP(A174,standard_pitchers_2019!A:Y,{2,3,4,5,6,7,8,9,10,11,12,13,14,15,16,17,18,19,20,21,22,23,24,25},FALSE)</f>
        <v>Reds</v>
      </c>
      <c r="C174">
        <v>1</v>
      </c>
      <c r="D174">
        <v>4</v>
      </c>
      <c r="E174">
        <v>2.92</v>
      </c>
      <c r="F174">
        <v>73</v>
      </c>
      <c r="G174">
        <v>0</v>
      </c>
      <c r="H174">
        <v>0</v>
      </c>
      <c r="I174">
        <v>0</v>
      </c>
      <c r="J174">
        <v>7</v>
      </c>
      <c r="K174">
        <v>21</v>
      </c>
      <c r="L174">
        <v>4</v>
      </c>
      <c r="M174">
        <v>83.1</v>
      </c>
      <c r="N174">
        <v>343</v>
      </c>
      <c r="O174">
        <v>68</v>
      </c>
      <c r="P174">
        <v>29</v>
      </c>
      <c r="Q174">
        <v>27</v>
      </c>
      <c r="R174">
        <v>9</v>
      </c>
      <c r="S174">
        <v>28</v>
      </c>
      <c r="T174">
        <v>1</v>
      </c>
      <c r="U174">
        <v>2</v>
      </c>
      <c r="V174">
        <v>2</v>
      </c>
      <c r="W174">
        <v>0</v>
      </c>
      <c r="X174">
        <v>85</v>
      </c>
      <c r="Y174">
        <v>14843</v>
      </c>
      <c r="Z174" cm="1">
        <f t="array" ref="Z174:AR174">VLOOKUP(A174,advanced_pitchers_2019!A:Y,{3,4,5,6,7,8,9,10,11,12,13,14,15,16,17,18,19,20,21},FALSE)</f>
        <v>9.18</v>
      </c>
      <c r="AA174">
        <v>3.02</v>
      </c>
      <c r="AB174">
        <v>3.04</v>
      </c>
      <c r="AC174">
        <v>0.97</v>
      </c>
      <c r="AD174">
        <v>0.248</v>
      </c>
      <c r="AE174">
        <v>8.2000000000000003E-2</v>
      </c>
      <c r="AF174">
        <v>0.16600000000000001</v>
      </c>
      <c r="AG174">
        <v>0.217</v>
      </c>
      <c r="AH174">
        <v>1.1499999999999999</v>
      </c>
      <c r="AI174">
        <v>0.26900000000000002</v>
      </c>
      <c r="AJ174">
        <v>0.80800000000000005</v>
      </c>
      <c r="AK174">
        <v>65</v>
      </c>
      <c r="AL174">
        <v>81</v>
      </c>
      <c r="AM174">
        <v>89</v>
      </c>
      <c r="AN174">
        <v>2.92</v>
      </c>
      <c r="AO174">
        <v>3.66</v>
      </c>
      <c r="AP174">
        <v>-0.74</v>
      </c>
      <c r="AQ174">
        <v>3.97</v>
      </c>
      <c r="AR174">
        <v>3.91</v>
      </c>
      <c r="AS174" cm="1">
        <f t="array" ref="AS174:BA174">VLOOKUP(A174,plate_discipline_pitchers_2019!A:L,{3,4,5,6,7,8,9,10,11},FALSE)</f>
        <v>0.33300000000000002</v>
      </c>
      <c r="AT174">
        <v>0.72</v>
      </c>
      <c r="AU174">
        <v>0.48599999999999999</v>
      </c>
      <c r="AV174">
        <v>0.61</v>
      </c>
      <c r="AW174">
        <v>0.78700000000000003</v>
      </c>
      <c r="AX174">
        <v>0.71299999999999997</v>
      </c>
      <c r="AY174">
        <v>0.39600000000000002</v>
      </c>
      <c r="AZ174">
        <v>0.627</v>
      </c>
      <c r="BA174">
        <v>0.13900000000000001</v>
      </c>
      <c r="BB174" cm="1">
        <f t="array" ref="BB174:BP174">VLOOKUP(A174,pitchvalue_pitchers_2019!A:Q,{3,4,5,6,7,8,9,10,11,12,13,14,15,16,17},FALSE)</f>
        <v>-0.2</v>
      </c>
      <c r="BC174">
        <v>-0.3</v>
      </c>
      <c r="BD174">
        <v>4.5</v>
      </c>
      <c r="BE174">
        <v>0.8</v>
      </c>
      <c r="BF174">
        <v>6.8</v>
      </c>
      <c r="BG174">
        <v>0</v>
      </c>
      <c r="BH174">
        <v>0</v>
      </c>
      <c r="BI174">
        <v>-0.05</v>
      </c>
      <c r="BJ174">
        <v>-0.26</v>
      </c>
      <c r="BK174">
        <v>1.19</v>
      </c>
      <c r="BL174">
        <v>0.84</v>
      </c>
      <c r="BM174">
        <v>2.64</v>
      </c>
      <c r="BN174">
        <v>0</v>
      </c>
      <c r="BO174">
        <v>0</v>
      </c>
      <c r="BP174">
        <v>14843</v>
      </c>
      <c r="BQ174" cm="1">
        <f t="array" ref="BQ174:CH174">VLOOKUP(A174,battedball_pitchers_2019!A:U,{3,4,5,6,7,8,9,10,11,12,13,14,15,16,17,18,19,20},FALSE)</f>
        <v>0.26900000000000002</v>
      </c>
      <c r="BR174">
        <v>1.38</v>
      </c>
      <c r="BS174">
        <v>0.23300000000000001</v>
      </c>
      <c r="BT174">
        <v>0.44400000000000001</v>
      </c>
      <c r="BU174">
        <v>0.32300000000000001</v>
      </c>
      <c r="BV174">
        <v>6.9000000000000006E-2</v>
      </c>
      <c r="BW174">
        <v>0.125</v>
      </c>
      <c r="BX174">
        <v>41</v>
      </c>
      <c r="BY174">
        <v>4.43</v>
      </c>
      <c r="BZ174">
        <v>494</v>
      </c>
      <c r="CA174">
        <v>841</v>
      </c>
      <c r="CB174">
        <v>1335</v>
      </c>
      <c r="CC174">
        <v>0.373</v>
      </c>
      <c r="CD174">
        <v>0.32</v>
      </c>
      <c r="CE174">
        <v>0.307</v>
      </c>
      <c r="CF174">
        <v>0.17100000000000001</v>
      </c>
      <c r="CG174">
        <v>0.5</v>
      </c>
      <c r="CH174">
        <v>0.32900000000000001</v>
      </c>
      <c r="CI174" cm="1">
        <f t="array" ref="CI174:CS174">VLOOKUP(A174,verticalmove_pitchers_2019!A:N,{3,4,5,6,7,8,9,10,11,12,13},FALSE)</f>
        <v>83.1</v>
      </c>
      <c r="CJ174">
        <v>9</v>
      </c>
      <c r="CK174">
        <v>5.4</v>
      </c>
      <c r="CL174">
        <v>0</v>
      </c>
      <c r="CM174">
        <v>6.3</v>
      </c>
      <c r="CN174">
        <v>4.8</v>
      </c>
      <c r="CO174">
        <v>-0.1</v>
      </c>
      <c r="CP174">
        <v>-6.8</v>
      </c>
      <c r="CQ174">
        <v>0</v>
      </c>
      <c r="CR174">
        <v>0</v>
      </c>
      <c r="CS174">
        <v>0</v>
      </c>
      <c r="CT174" cm="1">
        <f t="array" ref="CT174:DD174">VLOOKUP(A174,velocity_pitchers_2019!A:N,{3,4,5,6,7,8,9,10,11,12,13},FALSE)</f>
        <v>83.1</v>
      </c>
      <c r="CU174">
        <v>97.3</v>
      </c>
      <c r="CV174">
        <v>93.9</v>
      </c>
      <c r="CW174">
        <v>0</v>
      </c>
      <c r="CX174">
        <v>96.5</v>
      </c>
      <c r="CY174">
        <v>87.4</v>
      </c>
      <c r="CZ174">
        <v>86.8</v>
      </c>
      <c r="DA174">
        <v>83.8</v>
      </c>
      <c r="DB174">
        <v>0</v>
      </c>
      <c r="DC174">
        <v>0</v>
      </c>
      <c r="DD174">
        <v>0</v>
      </c>
    </row>
    <row r="175" spans="1:108" x14ac:dyDescent="0.3">
      <c r="A175" t="s">
        <v>198</v>
      </c>
      <c r="B175" t="str" cm="1">
        <f t="array" ref="B175:Y175">VLOOKUP(A175,standard_pitchers_2019!A:Y,{2,3,4,5,6,7,8,9,10,11,12,13,14,15,16,17,18,19,20,21,22,23,24,25},FALSE)</f>
        <v>Braves</v>
      </c>
      <c r="C175">
        <v>17</v>
      </c>
      <c r="D175">
        <v>6</v>
      </c>
      <c r="E175">
        <v>4.0199999999999996</v>
      </c>
      <c r="F175">
        <v>33</v>
      </c>
      <c r="G175">
        <v>30</v>
      </c>
      <c r="H175">
        <v>1</v>
      </c>
      <c r="I175">
        <v>0</v>
      </c>
      <c r="J175">
        <v>0</v>
      </c>
      <c r="K175">
        <v>0</v>
      </c>
      <c r="L175">
        <v>0</v>
      </c>
      <c r="M175">
        <v>165.2</v>
      </c>
      <c r="N175">
        <v>702</v>
      </c>
      <c r="O175">
        <v>174</v>
      </c>
      <c r="P175">
        <v>80</v>
      </c>
      <c r="Q175">
        <v>74</v>
      </c>
      <c r="R175">
        <v>21</v>
      </c>
      <c r="S175">
        <v>47</v>
      </c>
      <c r="T175">
        <v>3</v>
      </c>
      <c r="U175">
        <v>5</v>
      </c>
      <c r="V175">
        <v>11</v>
      </c>
      <c r="W175">
        <v>1</v>
      </c>
      <c r="X175">
        <v>173</v>
      </c>
      <c r="Y175">
        <v>13743</v>
      </c>
      <c r="Z175" cm="1">
        <f t="array" ref="Z175:AR175">VLOOKUP(A175,advanced_pitchers_2019!A:Y,{3,4,5,6,7,8,9,10,11,12,13,14,15,16,17,18,19,20,21},FALSE)</f>
        <v>9.4</v>
      </c>
      <c r="AA175">
        <v>2.5499999999999998</v>
      </c>
      <c r="AB175">
        <v>3.68</v>
      </c>
      <c r="AC175">
        <v>1.1399999999999999</v>
      </c>
      <c r="AD175">
        <v>0.246</v>
      </c>
      <c r="AE175">
        <v>6.7000000000000004E-2</v>
      </c>
      <c r="AF175">
        <v>0.17899999999999999</v>
      </c>
      <c r="AG175">
        <v>0.26800000000000002</v>
      </c>
      <c r="AH175">
        <v>1.33</v>
      </c>
      <c r="AI175">
        <v>0.33600000000000002</v>
      </c>
      <c r="AJ175">
        <v>0.74299999999999999</v>
      </c>
      <c r="AK175">
        <v>91</v>
      </c>
      <c r="AL175">
        <v>85</v>
      </c>
      <c r="AM175">
        <v>75</v>
      </c>
      <c r="AN175">
        <v>4.0199999999999996</v>
      </c>
      <c r="AO175">
        <v>3.72</v>
      </c>
      <c r="AP175">
        <v>0.31</v>
      </c>
      <c r="AQ175">
        <v>3.32</v>
      </c>
      <c r="AR175">
        <v>3.83</v>
      </c>
      <c r="AS175" cm="1">
        <f t="array" ref="AS175:BA175">VLOOKUP(A175,plate_discipline_pitchers_2019!A:L,{3,4,5,6,7,8,9,10,11},FALSE)</f>
        <v>0.31900000000000001</v>
      </c>
      <c r="AT175">
        <v>0.67500000000000004</v>
      </c>
      <c r="AU175">
        <v>0.46800000000000003</v>
      </c>
      <c r="AV175">
        <v>0.59</v>
      </c>
      <c r="AW175">
        <v>0.86299999999999999</v>
      </c>
      <c r="AX175">
        <v>0.755</v>
      </c>
      <c r="AY175">
        <v>0.41799999999999998</v>
      </c>
      <c r="AZ175">
        <v>0.63700000000000001</v>
      </c>
      <c r="BA175">
        <v>0.115</v>
      </c>
      <c r="BB175" cm="1">
        <f t="array" ref="BB175:BP175">VLOOKUP(A175,pitchvalue_pitchers_2019!A:Q,{3,4,5,6,7,8,9,10,11,12,13,14,15,16,17},FALSE)</f>
        <v>-0.2</v>
      </c>
      <c r="BC175">
        <v>6.4</v>
      </c>
      <c r="BD175">
        <v>0</v>
      </c>
      <c r="BE175">
        <v>1.8</v>
      </c>
      <c r="BF175">
        <v>-3.2</v>
      </c>
      <c r="BG175">
        <v>0</v>
      </c>
      <c r="BH175">
        <v>0</v>
      </c>
      <c r="BI175">
        <v>-0.02</v>
      </c>
      <c r="BJ175">
        <v>1.51</v>
      </c>
      <c r="BK175">
        <v>0</v>
      </c>
      <c r="BL175">
        <v>0.27</v>
      </c>
      <c r="BM175">
        <v>-4.95</v>
      </c>
      <c r="BN175">
        <v>0</v>
      </c>
      <c r="BO175">
        <v>0</v>
      </c>
      <c r="BP175">
        <v>13743</v>
      </c>
      <c r="BQ175" cm="1">
        <f t="array" ref="BQ175:CH175">VLOOKUP(A175,battedball_pitchers_2019!A:U,{3,4,5,6,7,8,9,10,11,12,13,14,15,16,17,18,19,20},FALSE)</f>
        <v>0.33600000000000002</v>
      </c>
      <c r="BR175">
        <v>2.41</v>
      </c>
      <c r="BS175">
        <v>0.24099999999999999</v>
      </c>
      <c r="BT175">
        <v>0.53600000000000003</v>
      </c>
      <c r="BU175">
        <v>0.222</v>
      </c>
      <c r="BV175">
        <v>6.7000000000000004E-2</v>
      </c>
      <c r="BW175">
        <v>0.20200000000000001</v>
      </c>
      <c r="BX175">
        <v>138</v>
      </c>
      <c r="BY175">
        <v>7.5</v>
      </c>
      <c r="BZ175">
        <v>945</v>
      </c>
      <c r="CA175">
        <v>1725</v>
      </c>
      <c r="CB175">
        <v>2670</v>
      </c>
      <c r="CC175">
        <v>0.39900000000000002</v>
      </c>
      <c r="CD175">
        <v>0.32400000000000001</v>
      </c>
      <c r="CE175">
        <v>0.27700000000000002</v>
      </c>
      <c r="CF175">
        <v>0.17899999999999999</v>
      </c>
      <c r="CG175">
        <v>0.439</v>
      </c>
      <c r="CH175">
        <v>0.38200000000000001</v>
      </c>
      <c r="CI175" cm="1">
        <f t="array" ref="CI175:CS175">VLOOKUP(A175,verticalmove_pitchers_2019!A:N,{3,4,5,6,7,8,9,10,11,12,13},FALSE)</f>
        <v>165.2</v>
      </c>
      <c r="CJ175">
        <v>6.6</v>
      </c>
      <c r="CK175">
        <v>0</v>
      </c>
      <c r="CL175">
        <v>0</v>
      </c>
      <c r="CM175">
        <v>4.5</v>
      </c>
      <c r="CN175">
        <v>3</v>
      </c>
      <c r="CO175">
        <v>-2</v>
      </c>
      <c r="CP175">
        <v>-11.6</v>
      </c>
      <c r="CQ175">
        <v>0</v>
      </c>
      <c r="CR175">
        <v>0</v>
      </c>
      <c r="CS175">
        <v>0</v>
      </c>
      <c r="CT175" cm="1">
        <f t="array" ref="CT175:DD175">VLOOKUP(A175,velocity_pitchers_2019!A:N,{3,4,5,6,7,8,9,10,11,12,13},FALSE)</f>
        <v>165.2</v>
      </c>
      <c r="CU175">
        <v>93.9</v>
      </c>
      <c r="CV175">
        <v>0</v>
      </c>
      <c r="CW175">
        <v>0</v>
      </c>
      <c r="CX175">
        <v>93.5</v>
      </c>
      <c r="CY175">
        <v>85</v>
      </c>
      <c r="CZ175">
        <v>83.7</v>
      </c>
      <c r="DA175">
        <v>74.599999999999994</v>
      </c>
      <c r="DB175">
        <v>0</v>
      </c>
      <c r="DC175">
        <v>0</v>
      </c>
      <c r="DD175">
        <v>0</v>
      </c>
    </row>
    <row r="176" spans="1:108" x14ac:dyDescent="0.3">
      <c r="A176" t="s">
        <v>295</v>
      </c>
      <c r="B176" t="str" cm="1">
        <f t="array" ref="B176:Y176">VLOOKUP(A176,standard_pitchers_2019!A:Y,{2,3,4,5,6,7,8,9,10,11,12,13,14,15,16,17,18,19,20,21,22,23,24,25},FALSE)</f>
        <v>Athletics</v>
      </c>
      <c r="C176">
        <v>5</v>
      </c>
      <c r="D176">
        <v>2</v>
      </c>
      <c r="E176">
        <v>4.83</v>
      </c>
      <c r="F176">
        <v>13</v>
      </c>
      <c r="G176">
        <v>9</v>
      </c>
      <c r="H176">
        <v>0</v>
      </c>
      <c r="I176">
        <v>0</v>
      </c>
      <c r="J176">
        <v>1</v>
      </c>
      <c r="K176">
        <v>0</v>
      </c>
      <c r="L176">
        <v>0</v>
      </c>
      <c r="M176">
        <v>59.2</v>
      </c>
      <c r="N176">
        <v>260</v>
      </c>
      <c r="O176">
        <v>59</v>
      </c>
      <c r="P176">
        <v>32</v>
      </c>
      <c r="Q176">
        <v>32</v>
      </c>
      <c r="R176">
        <v>7</v>
      </c>
      <c r="S176">
        <v>27</v>
      </c>
      <c r="T176">
        <v>0</v>
      </c>
      <c r="U176">
        <v>0</v>
      </c>
      <c r="V176">
        <v>1</v>
      </c>
      <c r="W176">
        <v>0</v>
      </c>
      <c r="X176">
        <v>42</v>
      </c>
      <c r="Y176">
        <v>16980</v>
      </c>
      <c r="Z176" cm="1">
        <f t="array" ref="Z176:AR176">VLOOKUP(A176,advanced_pitchers_2019!A:Y,{3,4,5,6,7,8,9,10,11,12,13,14,15,16,17,18,19,20,21},FALSE)</f>
        <v>6.34</v>
      </c>
      <c r="AA176">
        <v>4.07</v>
      </c>
      <c r="AB176">
        <v>1.56</v>
      </c>
      <c r="AC176">
        <v>1.06</v>
      </c>
      <c r="AD176">
        <v>0.16200000000000001</v>
      </c>
      <c r="AE176">
        <v>0.104</v>
      </c>
      <c r="AF176">
        <v>5.8000000000000003E-2</v>
      </c>
      <c r="AG176">
        <v>0.253</v>
      </c>
      <c r="AH176">
        <v>1.44</v>
      </c>
      <c r="AI176">
        <v>0.28299999999999997</v>
      </c>
      <c r="AJ176">
        <v>0.70899999999999996</v>
      </c>
      <c r="AK176">
        <v>108</v>
      </c>
      <c r="AL176">
        <v>105</v>
      </c>
      <c r="AM176">
        <v>125</v>
      </c>
      <c r="AN176">
        <v>4.83</v>
      </c>
      <c r="AO176">
        <v>4.6900000000000004</v>
      </c>
      <c r="AP176">
        <v>0.14000000000000001</v>
      </c>
      <c r="AQ176">
        <v>5.73</v>
      </c>
      <c r="AR176">
        <v>5.66</v>
      </c>
      <c r="AS176" cm="1">
        <f t="array" ref="AS176:BA176">VLOOKUP(A176,plate_discipline_pitchers_2019!A:L,{3,4,5,6,7,8,9,10,11},FALSE)</f>
        <v>0.253</v>
      </c>
      <c r="AT176">
        <v>0.65500000000000003</v>
      </c>
      <c r="AU176">
        <v>0.42699999999999999</v>
      </c>
      <c r="AV176">
        <v>0.753</v>
      </c>
      <c r="AW176">
        <v>0.91300000000000003</v>
      </c>
      <c r="AX176">
        <v>0.85899999999999999</v>
      </c>
      <c r="AY176">
        <v>0.434</v>
      </c>
      <c r="AZ176">
        <v>0.61199999999999999</v>
      </c>
      <c r="BA176">
        <v>0.06</v>
      </c>
      <c r="BB176" cm="1">
        <f t="array" ref="BB176:BP176">VLOOKUP(A176,pitchvalue_pitchers_2019!A:Q,{3,4,5,6,7,8,9,10,11,12,13,14,15,16,17},FALSE)</f>
        <v>-0.3</v>
      </c>
      <c r="BC176">
        <v>3.6</v>
      </c>
      <c r="BD176">
        <v>-1.2</v>
      </c>
      <c r="BE176">
        <v>-0.9</v>
      </c>
      <c r="BF176">
        <v>-1.5</v>
      </c>
      <c r="BG176">
        <v>0</v>
      </c>
      <c r="BH176">
        <v>0</v>
      </c>
      <c r="BI176">
        <v>-0.05</v>
      </c>
      <c r="BJ176">
        <v>2.95</v>
      </c>
      <c r="BK176">
        <v>-0.77</v>
      </c>
      <c r="BL176">
        <v>-0.88</v>
      </c>
      <c r="BM176">
        <v>-1.31</v>
      </c>
      <c r="BN176">
        <v>0</v>
      </c>
      <c r="BO176">
        <v>0</v>
      </c>
      <c r="BP176">
        <v>16980</v>
      </c>
      <c r="BQ176" cm="1">
        <f t="array" ref="BQ176:CH176">VLOOKUP(A176,battedball_pitchers_2019!A:U,{3,4,5,6,7,8,9,10,11,12,13,14,15,16,17,18,19,20},FALSE)</f>
        <v>0.28299999999999997</v>
      </c>
      <c r="BR176">
        <v>0.9</v>
      </c>
      <c r="BS176">
        <v>0.23200000000000001</v>
      </c>
      <c r="BT176">
        <v>0.36299999999999999</v>
      </c>
      <c r="BU176">
        <v>0.40500000000000003</v>
      </c>
      <c r="BV176">
        <v>0.104</v>
      </c>
      <c r="BW176">
        <v>9.0999999999999998E-2</v>
      </c>
      <c r="BX176">
        <v>39</v>
      </c>
      <c r="BY176">
        <v>5.88</v>
      </c>
      <c r="BZ176">
        <v>403</v>
      </c>
      <c r="CA176">
        <v>645</v>
      </c>
      <c r="CB176">
        <v>1048</v>
      </c>
      <c r="CC176">
        <v>0.435</v>
      </c>
      <c r="CD176">
        <v>0.34</v>
      </c>
      <c r="CE176">
        <v>0.22500000000000001</v>
      </c>
      <c r="CF176">
        <v>0.16200000000000001</v>
      </c>
      <c r="CG176">
        <v>0.41399999999999998</v>
      </c>
      <c r="CH176">
        <v>0.42399999999999999</v>
      </c>
      <c r="CI176" cm="1">
        <f t="array" ref="CI176:CS176">VLOOKUP(A176,verticalmove_pitchers_2019!A:N,{3,4,5,6,7,8,9,10,11,12,13},FALSE)</f>
        <v>59.2</v>
      </c>
      <c r="CJ176">
        <v>10</v>
      </c>
      <c r="CK176">
        <v>2.1</v>
      </c>
      <c r="CL176">
        <v>0</v>
      </c>
      <c r="CM176">
        <v>7.6</v>
      </c>
      <c r="CN176">
        <v>4.5</v>
      </c>
      <c r="CO176">
        <v>-1</v>
      </c>
      <c r="CP176">
        <v>-11.9</v>
      </c>
      <c r="CQ176">
        <v>0</v>
      </c>
      <c r="CR176">
        <v>0</v>
      </c>
      <c r="CS176">
        <v>0</v>
      </c>
      <c r="CT176" cm="1">
        <f t="array" ref="CT176:DD176">VLOOKUP(A176,velocity_pitchers_2019!A:N,{3,4,5,6,7,8,9,10,11,12,13},FALSE)</f>
        <v>59.2</v>
      </c>
      <c r="CU176">
        <v>91.7</v>
      </c>
      <c r="CV176">
        <v>86.3</v>
      </c>
      <c r="CW176">
        <v>0</v>
      </c>
      <c r="CX176">
        <v>90.6</v>
      </c>
      <c r="CY176">
        <v>83.1</v>
      </c>
      <c r="CZ176">
        <v>84</v>
      </c>
      <c r="DA176">
        <v>72.8</v>
      </c>
      <c r="DB176">
        <v>0</v>
      </c>
      <c r="DC176">
        <v>0</v>
      </c>
      <c r="DD176">
        <v>0</v>
      </c>
    </row>
    <row r="177" spans="1:108" x14ac:dyDescent="0.3">
      <c r="A177" t="s">
        <v>344</v>
      </c>
      <c r="B177" t="str" cm="1">
        <f t="array" ref="B177:Y177">VLOOKUP(A177,standard_pitchers_2019!A:Y,{2,3,4,5,6,7,8,9,10,11,12,13,14,15,16,17,18,19,20,21,22,23,24,25},FALSE)</f>
        <v>- - -</v>
      </c>
      <c r="C177">
        <v>1</v>
      </c>
      <c r="D177">
        <v>3</v>
      </c>
      <c r="E177">
        <v>5.57</v>
      </c>
      <c r="F177">
        <v>35</v>
      </c>
      <c r="G177">
        <v>5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76</v>
      </c>
      <c r="N177">
        <v>344</v>
      </c>
      <c r="O177">
        <v>93</v>
      </c>
      <c r="P177">
        <v>50</v>
      </c>
      <c r="Q177">
        <v>47</v>
      </c>
      <c r="R177">
        <v>13</v>
      </c>
      <c r="S177">
        <v>33</v>
      </c>
      <c r="T177">
        <v>1</v>
      </c>
      <c r="U177">
        <v>0</v>
      </c>
      <c r="V177">
        <v>2</v>
      </c>
      <c r="W177">
        <v>0</v>
      </c>
      <c r="X177">
        <v>69</v>
      </c>
      <c r="Y177">
        <v>13761</v>
      </c>
      <c r="Z177" cm="1">
        <f t="array" ref="Z177:AR177">VLOOKUP(A177,advanced_pitchers_2019!A:Y,{3,4,5,6,7,8,9,10,11,12,13,14,15,16,17,18,19,20,21},FALSE)</f>
        <v>8.17</v>
      </c>
      <c r="AA177">
        <v>3.91</v>
      </c>
      <c r="AB177">
        <v>2.09</v>
      </c>
      <c r="AC177">
        <v>1.54</v>
      </c>
      <c r="AD177">
        <v>0.20100000000000001</v>
      </c>
      <c r="AE177">
        <v>9.6000000000000002E-2</v>
      </c>
      <c r="AF177">
        <v>0.105</v>
      </c>
      <c r="AG177">
        <v>0.29899999999999999</v>
      </c>
      <c r="AH177">
        <v>1.66</v>
      </c>
      <c r="AI177">
        <v>0.34899999999999998</v>
      </c>
      <c r="AJ177">
        <v>0.70499999999999996</v>
      </c>
      <c r="AK177">
        <v>126</v>
      </c>
      <c r="AL177">
        <v>109</v>
      </c>
      <c r="AM177">
        <v>107</v>
      </c>
      <c r="AN177">
        <v>5.57</v>
      </c>
      <c r="AO177">
        <v>4.92</v>
      </c>
      <c r="AP177">
        <v>0.64</v>
      </c>
      <c r="AQ177">
        <v>4.82</v>
      </c>
      <c r="AR177">
        <v>4.79</v>
      </c>
      <c r="AS177" cm="1">
        <f t="array" ref="AS177:BA177">VLOOKUP(A177,plate_discipline_pitchers_2019!A:L,{3,4,5,6,7,8,9,10,11},FALSE)</f>
        <v>0.30199999999999999</v>
      </c>
      <c r="AT177">
        <v>0.71099999999999997</v>
      </c>
      <c r="AU177">
        <v>0.47699999999999998</v>
      </c>
      <c r="AV177">
        <v>0.60399999999999998</v>
      </c>
      <c r="AW177">
        <v>0.877</v>
      </c>
      <c r="AX177">
        <v>0.77800000000000002</v>
      </c>
      <c r="AY177">
        <v>0.42899999999999999</v>
      </c>
      <c r="AZ177">
        <v>0.59599999999999997</v>
      </c>
      <c r="BA177">
        <v>0.106</v>
      </c>
      <c r="BB177" cm="1">
        <f t="array" ref="BB177:BP177">VLOOKUP(A177,pitchvalue_pitchers_2019!A:Q,{3,4,5,6,7,8,9,10,11,12,13,14,15,16,17},FALSE)</f>
        <v>-0.3</v>
      </c>
      <c r="BC177">
        <v>-5.2</v>
      </c>
      <c r="BD177">
        <v>0</v>
      </c>
      <c r="BE177">
        <v>-3.3</v>
      </c>
      <c r="BF177">
        <v>-2.6</v>
      </c>
      <c r="BG177">
        <v>0</v>
      </c>
      <c r="BH177">
        <v>0</v>
      </c>
      <c r="BI177">
        <v>-0.04</v>
      </c>
      <c r="BJ177">
        <v>-1.59</v>
      </c>
      <c r="BK177">
        <v>0</v>
      </c>
      <c r="BL177">
        <v>-1.93</v>
      </c>
      <c r="BM177">
        <v>-2.81</v>
      </c>
      <c r="BN177">
        <v>0</v>
      </c>
      <c r="BO177">
        <v>0</v>
      </c>
      <c r="BP177">
        <v>13761</v>
      </c>
      <c r="BQ177" cm="1">
        <f t="array" ref="BQ177:CH177">VLOOKUP(A177,battedball_pitchers_2019!A:U,{3,4,5,6,7,8,9,10,11,12,13,14,15,16,17,18,19,20},FALSE)</f>
        <v>0.34899999999999998</v>
      </c>
      <c r="BR177">
        <v>1.17</v>
      </c>
      <c r="BS177">
        <v>0.26400000000000001</v>
      </c>
      <c r="BT177">
        <v>0.39700000000000002</v>
      </c>
      <c r="BU177">
        <v>0.33900000000000002</v>
      </c>
      <c r="BV177">
        <v>9.9000000000000005E-2</v>
      </c>
      <c r="BW177">
        <v>0.16</v>
      </c>
      <c r="BX177">
        <v>49</v>
      </c>
      <c r="BY177">
        <v>5.8</v>
      </c>
      <c r="BZ177">
        <v>505</v>
      </c>
      <c r="CA177">
        <v>858</v>
      </c>
      <c r="CB177">
        <v>1363</v>
      </c>
      <c r="CC177">
        <v>0.33600000000000002</v>
      </c>
      <c r="CD177">
        <v>0.38600000000000001</v>
      </c>
      <c r="CE177">
        <v>0.27800000000000002</v>
      </c>
      <c r="CF177">
        <v>0.17399999999999999</v>
      </c>
      <c r="CG177">
        <v>0.44800000000000001</v>
      </c>
      <c r="CH177">
        <v>0.378</v>
      </c>
      <c r="CI177" cm="1">
        <f t="array" ref="CI177:CS177">VLOOKUP(A177,verticalmove_pitchers_2019!A:N,{3,4,5,6,7,8,9,10,11,12,13},FALSE)</f>
        <v>76</v>
      </c>
      <c r="CJ177">
        <v>8.3000000000000007</v>
      </c>
      <c r="CK177">
        <v>0</v>
      </c>
      <c r="CL177">
        <v>0</v>
      </c>
      <c r="CM177">
        <v>7.7</v>
      </c>
      <c r="CN177">
        <v>2.8</v>
      </c>
      <c r="CO177">
        <v>-1.4</v>
      </c>
      <c r="CP177">
        <v>-7.1</v>
      </c>
      <c r="CQ177">
        <v>0</v>
      </c>
      <c r="CR177">
        <v>0</v>
      </c>
      <c r="CS177">
        <v>0</v>
      </c>
      <c r="CT177" cm="1">
        <f t="array" ref="CT177:DD177">VLOOKUP(A177,velocity_pitchers_2019!A:N,{3,4,5,6,7,8,9,10,11,12,13},FALSE)</f>
        <v>76</v>
      </c>
      <c r="CU177">
        <v>92.5</v>
      </c>
      <c r="CV177">
        <v>0</v>
      </c>
      <c r="CW177">
        <v>0</v>
      </c>
      <c r="CX177">
        <v>92.8</v>
      </c>
      <c r="CY177">
        <v>85.2</v>
      </c>
      <c r="CZ177">
        <v>84.8</v>
      </c>
      <c r="DA177">
        <v>77.5</v>
      </c>
      <c r="DB177">
        <v>0</v>
      </c>
      <c r="DC177">
        <v>0</v>
      </c>
      <c r="DD177">
        <v>0</v>
      </c>
    </row>
    <row r="178" spans="1:108" x14ac:dyDescent="0.3">
      <c r="A178" t="s">
        <v>173</v>
      </c>
      <c r="B178" t="str" cm="1">
        <f t="array" ref="B178:Y178">VLOOKUP(A178,standard_pitchers_2019!A:Y,{2,3,4,5,6,7,8,9,10,11,12,13,14,15,16,17,18,19,20,21,22,23,24,25},FALSE)</f>
        <v>Indians</v>
      </c>
      <c r="C178">
        <v>8</v>
      </c>
      <c r="D178">
        <v>6</v>
      </c>
      <c r="E178">
        <v>3.81</v>
      </c>
      <c r="F178">
        <v>21</v>
      </c>
      <c r="G178">
        <v>21</v>
      </c>
      <c r="H178">
        <v>1</v>
      </c>
      <c r="I178">
        <v>1</v>
      </c>
      <c r="J178">
        <v>0</v>
      </c>
      <c r="K178">
        <v>0</v>
      </c>
      <c r="L178">
        <v>0</v>
      </c>
      <c r="M178">
        <v>115.2</v>
      </c>
      <c r="N178">
        <v>475</v>
      </c>
      <c r="O178">
        <v>102</v>
      </c>
      <c r="P178">
        <v>52</v>
      </c>
      <c r="Q178">
        <v>49</v>
      </c>
      <c r="R178">
        <v>19</v>
      </c>
      <c r="S178">
        <v>40</v>
      </c>
      <c r="T178">
        <v>0</v>
      </c>
      <c r="U178">
        <v>3</v>
      </c>
      <c r="V178">
        <v>1</v>
      </c>
      <c r="W178">
        <v>0</v>
      </c>
      <c r="X178">
        <v>88</v>
      </c>
      <c r="Y178">
        <v>19979</v>
      </c>
      <c r="Z178" cm="1">
        <f t="array" ref="Z178:AR178">VLOOKUP(A178,advanced_pitchers_2019!A:Y,{3,4,5,6,7,8,9,10,11,12,13,14,15,16,17,18,19,20,21},FALSE)</f>
        <v>6.85</v>
      </c>
      <c r="AA178">
        <v>3.11</v>
      </c>
      <c r="AB178">
        <v>2.2000000000000002</v>
      </c>
      <c r="AC178">
        <v>1.48</v>
      </c>
      <c r="AD178">
        <v>0.185</v>
      </c>
      <c r="AE178">
        <v>8.4000000000000005E-2</v>
      </c>
      <c r="AF178">
        <v>0.10100000000000001</v>
      </c>
      <c r="AG178">
        <v>0.23599999999999999</v>
      </c>
      <c r="AH178">
        <v>1.23</v>
      </c>
      <c r="AI178">
        <v>0.255</v>
      </c>
      <c r="AJ178">
        <v>0.78500000000000003</v>
      </c>
      <c r="AK178">
        <v>79</v>
      </c>
      <c r="AL178">
        <v>108</v>
      </c>
      <c r="AM178">
        <v>110</v>
      </c>
      <c r="AN178">
        <v>3.81</v>
      </c>
      <c r="AO178">
        <v>4.9400000000000004</v>
      </c>
      <c r="AP178">
        <v>-1.1299999999999999</v>
      </c>
      <c r="AQ178">
        <v>5.0599999999999996</v>
      </c>
      <c r="AR178">
        <v>5.13</v>
      </c>
      <c r="AS178" cm="1">
        <f t="array" ref="AS178:BA178">VLOOKUP(A178,plate_discipline_pitchers_2019!A:L,{3,4,5,6,7,8,9,10,11},FALSE)</f>
        <v>0.27</v>
      </c>
      <c r="AT178">
        <v>0.72799999999999998</v>
      </c>
      <c r="AU178">
        <v>0.47299999999999998</v>
      </c>
      <c r="AV178">
        <v>0.66200000000000003</v>
      </c>
      <c r="AW178">
        <v>0.86299999999999999</v>
      </c>
      <c r="AX178">
        <v>0.79900000000000004</v>
      </c>
      <c r="AY178">
        <v>0.443</v>
      </c>
      <c r="AZ178">
        <v>0.61099999999999999</v>
      </c>
      <c r="BA178">
        <v>9.5000000000000001E-2</v>
      </c>
      <c r="BB178" cm="1">
        <f t="array" ref="BB178:BP178">VLOOKUP(A178,pitchvalue_pitchers_2019!A:Q,{3,4,5,6,7,8,9,10,11,12,13,14,15,16,17},FALSE)</f>
        <v>-0.4</v>
      </c>
      <c r="BC178">
        <v>3.2</v>
      </c>
      <c r="BD178">
        <v>0</v>
      </c>
      <c r="BE178">
        <v>-2.5</v>
      </c>
      <c r="BF178">
        <v>2.2000000000000002</v>
      </c>
      <c r="BG178">
        <v>0</v>
      </c>
      <c r="BH178">
        <v>0</v>
      </c>
      <c r="BI178">
        <v>-0.04</v>
      </c>
      <c r="BJ178">
        <v>0.9</v>
      </c>
      <c r="BK178">
        <v>0</v>
      </c>
      <c r="BL178">
        <v>-1.32</v>
      </c>
      <c r="BM178">
        <v>0.55000000000000004</v>
      </c>
      <c r="BN178">
        <v>0</v>
      </c>
      <c r="BO178">
        <v>0</v>
      </c>
      <c r="BP178">
        <v>19979</v>
      </c>
      <c r="BQ178" cm="1">
        <f t="array" ref="BQ178:CH178">VLOOKUP(A178,battedball_pitchers_2019!A:U,{3,4,5,6,7,8,9,10,11,12,13,14,15,16,17,18,19,20},FALSE)</f>
        <v>0.255</v>
      </c>
      <c r="BR178">
        <v>1.02</v>
      </c>
      <c r="BS178">
        <v>0.224</v>
      </c>
      <c r="BT178">
        <v>0.39100000000000001</v>
      </c>
      <c r="BU178">
        <v>0.38500000000000001</v>
      </c>
      <c r="BV178">
        <v>9.9000000000000005E-2</v>
      </c>
      <c r="BW178">
        <v>0.14499999999999999</v>
      </c>
      <c r="BX178">
        <v>77</v>
      </c>
      <c r="BY178">
        <v>5.99</v>
      </c>
      <c r="BZ178">
        <v>668</v>
      </c>
      <c r="CA178">
        <v>1224</v>
      </c>
      <c r="CB178">
        <v>1892</v>
      </c>
      <c r="CC178">
        <v>0.38100000000000001</v>
      </c>
      <c r="CD178">
        <v>0.314</v>
      </c>
      <c r="CE178">
        <v>0.30499999999999999</v>
      </c>
      <c r="CF178">
        <v>0.16300000000000001</v>
      </c>
      <c r="CG178">
        <v>0.45600000000000002</v>
      </c>
      <c r="CH178">
        <v>0.38100000000000001</v>
      </c>
      <c r="CI178" cm="1">
        <f t="array" ref="CI178:CS178">VLOOKUP(A178,verticalmove_pitchers_2019!A:N,{3,4,5,6,7,8,9,10,11,12,13},FALSE)</f>
        <v>115.2</v>
      </c>
      <c r="CJ178">
        <v>8.9</v>
      </c>
      <c r="CK178">
        <v>0</v>
      </c>
      <c r="CL178">
        <v>0</v>
      </c>
      <c r="CM178">
        <v>1.3</v>
      </c>
      <c r="CN178">
        <v>4.8</v>
      </c>
      <c r="CO178">
        <v>1.4</v>
      </c>
      <c r="CP178">
        <v>-6.5</v>
      </c>
      <c r="CQ178">
        <v>0</v>
      </c>
      <c r="CR178">
        <v>0</v>
      </c>
      <c r="CS178">
        <v>0</v>
      </c>
      <c r="CT178" cm="1">
        <f t="array" ref="CT178:DD178">VLOOKUP(A178,velocity_pitchers_2019!A:N,{3,4,5,6,7,8,9,10,11,12,13},FALSE)</f>
        <v>115.2</v>
      </c>
      <c r="CU178">
        <v>94</v>
      </c>
      <c r="CV178">
        <v>0</v>
      </c>
      <c r="CW178">
        <v>0</v>
      </c>
      <c r="CX178">
        <v>86.2</v>
      </c>
      <c r="CY178">
        <v>86</v>
      </c>
      <c r="CZ178">
        <v>85</v>
      </c>
      <c r="DA178">
        <v>79.5</v>
      </c>
      <c r="DB178">
        <v>0</v>
      </c>
      <c r="DC178">
        <v>0</v>
      </c>
      <c r="DD178">
        <v>0</v>
      </c>
    </row>
    <row r="179" spans="1:108" x14ac:dyDescent="0.3">
      <c r="A179" t="s">
        <v>358</v>
      </c>
      <c r="B179" t="str" cm="1">
        <f t="array" ref="B179:Y179">VLOOKUP(A179,standard_pitchers_2019!A:Y,{2,3,4,5,6,7,8,9,10,11,12,13,14,15,16,17,18,19,20,21,22,23,24,25},FALSE)</f>
        <v>- - -</v>
      </c>
      <c r="C179">
        <v>1</v>
      </c>
      <c r="D179">
        <v>1</v>
      </c>
      <c r="E179">
        <v>5.74</v>
      </c>
      <c r="F179">
        <v>55</v>
      </c>
      <c r="G179">
        <v>0</v>
      </c>
      <c r="H179">
        <v>0</v>
      </c>
      <c r="I179">
        <v>0</v>
      </c>
      <c r="J179">
        <v>4</v>
      </c>
      <c r="K179">
        <v>9</v>
      </c>
      <c r="L179">
        <v>5</v>
      </c>
      <c r="M179">
        <v>58</v>
      </c>
      <c r="N179">
        <v>271</v>
      </c>
      <c r="O179">
        <v>66</v>
      </c>
      <c r="P179">
        <v>38</v>
      </c>
      <c r="Q179">
        <v>37</v>
      </c>
      <c r="R179">
        <v>8</v>
      </c>
      <c r="S179">
        <v>29</v>
      </c>
      <c r="T179">
        <v>1</v>
      </c>
      <c r="U179">
        <v>4</v>
      </c>
      <c r="V179">
        <v>4</v>
      </c>
      <c r="W179">
        <v>1</v>
      </c>
      <c r="X179">
        <v>63</v>
      </c>
      <c r="Y179">
        <v>12857</v>
      </c>
      <c r="Z179" cm="1">
        <f t="array" ref="Z179:AR179">VLOOKUP(A179,advanced_pitchers_2019!A:Y,{3,4,5,6,7,8,9,10,11,12,13,14,15,16,17,18,19,20,21},FALSE)</f>
        <v>9.7799999999999994</v>
      </c>
      <c r="AA179">
        <v>4.5</v>
      </c>
      <c r="AB179">
        <v>2.17</v>
      </c>
      <c r="AC179">
        <v>1.24</v>
      </c>
      <c r="AD179">
        <v>0.23200000000000001</v>
      </c>
      <c r="AE179">
        <v>0.107</v>
      </c>
      <c r="AF179">
        <v>0.125</v>
      </c>
      <c r="AG179">
        <v>0.27700000000000002</v>
      </c>
      <c r="AH179">
        <v>1.64</v>
      </c>
      <c r="AI179">
        <v>0.34699999999999998</v>
      </c>
      <c r="AJ179">
        <v>0.69499999999999995</v>
      </c>
      <c r="AK179">
        <v>123</v>
      </c>
      <c r="AL179">
        <v>96</v>
      </c>
      <c r="AM179">
        <v>118</v>
      </c>
      <c r="AN179">
        <v>5.74</v>
      </c>
      <c r="AO179">
        <v>4.54</v>
      </c>
      <c r="AP179">
        <v>1.2</v>
      </c>
      <c r="AQ179">
        <v>5.42</v>
      </c>
      <c r="AR179">
        <v>4.5999999999999996</v>
      </c>
      <c r="AS179" cm="1">
        <f t="array" ref="AS179:BA179">VLOOKUP(A179,plate_discipline_pitchers_2019!A:L,{3,4,5,6,7,8,9,10,11},FALSE)</f>
        <v>0.28299999999999997</v>
      </c>
      <c r="AT179">
        <v>0.74299999999999999</v>
      </c>
      <c r="AU179">
        <v>0.48899999999999999</v>
      </c>
      <c r="AV179">
        <v>0.66100000000000003</v>
      </c>
      <c r="AW179">
        <v>0.80100000000000005</v>
      </c>
      <c r="AX179">
        <v>0.75600000000000001</v>
      </c>
      <c r="AY179">
        <v>0.44700000000000001</v>
      </c>
      <c r="AZ179">
        <v>0.56499999999999995</v>
      </c>
      <c r="BA179">
        <v>0.11899999999999999</v>
      </c>
      <c r="BB179" cm="1">
        <f t="array" ref="BB179:BP179">VLOOKUP(A179,pitchvalue_pitchers_2019!A:Q,{3,4,5,6,7,8,9,10,11,12,13,14,15,16,17},FALSE)</f>
        <v>-0.5</v>
      </c>
      <c r="BC179">
        <v>0</v>
      </c>
      <c r="BD179">
        <v>-2.1</v>
      </c>
      <c r="BE179">
        <v>-2.5</v>
      </c>
      <c r="BF179">
        <v>0</v>
      </c>
      <c r="BG179">
        <v>0</v>
      </c>
      <c r="BH179">
        <v>0</v>
      </c>
      <c r="BI179">
        <v>-7.0000000000000007E-2</v>
      </c>
      <c r="BJ179">
        <v>0</v>
      </c>
      <c r="BK179">
        <v>-0.64</v>
      </c>
      <c r="BL179">
        <v>-1.79</v>
      </c>
      <c r="BM179">
        <v>0</v>
      </c>
      <c r="BN179">
        <v>0</v>
      </c>
      <c r="BO179">
        <v>0</v>
      </c>
      <c r="BP179">
        <v>12857</v>
      </c>
      <c r="BQ179" cm="1">
        <f t="array" ref="BQ179:CH179">VLOOKUP(A179,battedball_pitchers_2019!A:U,{3,4,5,6,7,8,9,10,11,12,13,14,15,16,17,18,19,20},FALSE)</f>
        <v>0.34699999999999998</v>
      </c>
      <c r="BR179">
        <v>0.65</v>
      </c>
      <c r="BS179">
        <v>0.254</v>
      </c>
      <c r="BT179">
        <v>0.29499999999999998</v>
      </c>
      <c r="BU179">
        <v>0.45100000000000001</v>
      </c>
      <c r="BV179">
        <v>0.128</v>
      </c>
      <c r="BW179">
        <v>0.10299999999999999</v>
      </c>
      <c r="BX179">
        <v>17</v>
      </c>
      <c r="BY179">
        <v>2.64</v>
      </c>
      <c r="BZ179">
        <v>428</v>
      </c>
      <c r="CA179">
        <v>704</v>
      </c>
      <c r="CB179">
        <v>1132</v>
      </c>
      <c r="CC179">
        <v>0.33700000000000002</v>
      </c>
      <c r="CD179">
        <v>0.34300000000000003</v>
      </c>
      <c r="CE179">
        <v>0.32</v>
      </c>
      <c r="CF179">
        <v>0.17699999999999999</v>
      </c>
      <c r="CG179">
        <v>0.45100000000000001</v>
      </c>
      <c r="CH179">
        <v>0.371</v>
      </c>
      <c r="CI179" cm="1">
        <f t="array" ref="CI179:CS179">VLOOKUP(A179,verticalmove_pitchers_2019!A:N,{3,4,5,6,7,8,9,10,11,12,13},FALSE)</f>
        <v>58</v>
      </c>
      <c r="CJ179">
        <v>9.1999999999999993</v>
      </c>
      <c r="CK179">
        <v>0</v>
      </c>
      <c r="CL179">
        <v>0</v>
      </c>
      <c r="CM179">
        <v>0</v>
      </c>
      <c r="CN179">
        <v>0</v>
      </c>
      <c r="CO179">
        <v>4.7</v>
      </c>
      <c r="CP179">
        <v>-2.1</v>
      </c>
      <c r="CQ179">
        <v>0</v>
      </c>
      <c r="CR179">
        <v>0</v>
      </c>
      <c r="CS179">
        <v>0</v>
      </c>
      <c r="CT179" cm="1">
        <f t="array" ref="CT179:DD179">VLOOKUP(A179,velocity_pitchers_2019!A:N,{3,4,5,6,7,8,9,10,11,12,13},FALSE)</f>
        <v>58</v>
      </c>
      <c r="CU179">
        <v>93.8</v>
      </c>
      <c r="CV179">
        <v>0</v>
      </c>
      <c r="CW179">
        <v>0</v>
      </c>
      <c r="CX179">
        <v>0</v>
      </c>
      <c r="CY179">
        <v>0</v>
      </c>
      <c r="CZ179">
        <v>90.2</v>
      </c>
      <c r="DA179">
        <v>83.2</v>
      </c>
      <c r="DB179">
        <v>0</v>
      </c>
      <c r="DC179">
        <v>0</v>
      </c>
      <c r="DD179">
        <v>0</v>
      </c>
    </row>
    <row r="180" spans="1:108" x14ac:dyDescent="0.3">
      <c r="A180" t="s">
        <v>84</v>
      </c>
      <c r="B180" t="str" cm="1">
        <f t="array" ref="B180:Y180">VLOOKUP(A180,standard_pitchers_2019!A:Y,{2,3,4,5,6,7,8,9,10,11,12,13,14,15,16,17,18,19,20,21,22,23,24,25},FALSE)</f>
        <v>White Sox</v>
      </c>
      <c r="C180">
        <v>4</v>
      </c>
      <c r="D180">
        <v>5</v>
      </c>
      <c r="E180">
        <v>2.8</v>
      </c>
      <c r="F180">
        <v>62</v>
      </c>
      <c r="G180">
        <v>0</v>
      </c>
      <c r="H180">
        <v>0</v>
      </c>
      <c r="I180">
        <v>0</v>
      </c>
      <c r="J180">
        <v>30</v>
      </c>
      <c r="K180">
        <v>0</v>
      </c>
      <c r="L180">
        <v>3</v>
      </c>
      <c r="M180">
        <v>61</v>
      </c>
      <c r="N180">
        <v>249</v>
      </c>
      <c r="O180">
        <v>42</v>
      </c>
      <c r="P180">
        <v>28</v>
      </c>
      <c r="Q180">
        <v>19</v>
      </c>
      <c r="R180">
        <v>7</v>
      </c>
      <c r="S180">
        <v>23</v>
      </c>
      <c r="T180">
        <v>2</v>
      </c>
      <c r="U180">
        <v>1</v>
      </c>
      <c r="V180">
        <v>4</v>
      </c>
      <c r="W180">
        <v>0</v>
      </c>
      <c r="X180">
        <v>55</v>
      </c>
      <c r="Y180">
        <v>6661</v>
      </c>
      <c r="Z180" cm="1">
        <f t="array" ref="Z180:AR180">VLOOKUP(A180,advanced_pitchers_2019!A:Y,{3,4,5,6,7,8,9,10,11,12,13,14,15,16,17,18,19,20,21},FALSE)</f>
        <v>8.11</v>
      </c>
      <c r="AA180">
        <v>3.39</v>
      </c>
      <c r="AB180">
        <v>2.39</v>
      </c>
      <c r="AC180">
        <v>1.03</v>
      </c>
      <c r="AD180">
        <v>0.221</v>
      </c>
      <c r="AE180">
        <v>9.1999999999999998E-2</v>
      </c>
      <c r="AF180">
        <v>0.129</v>
      </c>
      <c r="AG180">
        <v>0.187</v>
      </c>
      <c r="AH180">
        <v>1.07</v>
      </c>
      <c r="AI180">
        <v>0.215</v>
      </c>
      <c r="AJ180">
        <v>0.67600000000000005</v>
      </c>
      <c r="AK180">
        <v>62</v>
      </c>
      <c r="AL180">
        <v>88</v>
      </c>
      <c r="AM180">
        <v>101</v>
      </c>
      <c r="AN180">
        <v>2.8</v>
      </c>
      <c r="AO180">
        <v>4.08</v>
      </c>
      <c r="AP180">
        <v>-1.28</v>
      </c>
      <c r="AQ180">
        <v>4.6100000000000003</v>
      </c>
      <c r="AR180">
        <v>4.38</v>
      </c>
      <c r="AS180" cm="1">
        <f t="array" ref="AS180:BA180">VLOOKUP(A180,plate_discipline_pitchers_2019!A:L,{3,4,5,6,7,8,9,10,11},FALSE)</f>
        <v>0.32500000000000001</v>
      </c>
      <c r="AT180">
        <v>0.74099999999999999</v>
      </c>
      <c r="AU180">
        <v>0.496</v>
      </c>
      <c r="AV180">
        <v>0.52200000000000002</v>
      </c>
      <c r="AW180">
        <v>0.86899999999999999</v>
      </c>
      <c r="AX180">
        <v>0.73599999999999999</v>
      </c>
      <c r="AY180">
        <v>0.41199999999999998</v>
      </c>
      <c r="AZ180">
        <v>0.56999999999999995</v>
      </c>
      <c r="BA180">
        <v>0.13100000000000001</v>
      </c>
      <c r="BB180" cm="1">
        <f t="array" ref="BB180:BP180">VLOOKUP(A180,pitchvalue_pitchers_2019!A:Q,{3,4,5,6,7,8,9,10,11,12,13,14,15,16,17},FALSE)</f>
        <v>-0.5</v>
      </c>
      <c r="BC180">
        <v>0</v>
      </c>
      <c r="BD180">
        <v>10.7</v>
      </c>
      <c r="BE180">
        <v>0</v>
      </c>
      <c r="BF180">
        <v>0</v>
      </c>
      <c r="BG180">
        <v>0</v>
      </c>
      <c r="BH180">
        <v>0</v>
      </c>
      <c r="BI180">
        <v>-0.19</v>
      </c>
      <c r="BJ180">
        <v>0</v>
      </c>
      <c r="BK180">
        <v>1.55</v>
      </c>
      <c r="BL180">
        <v>0</v>
      </c>
      <c r="BM180">
        <v>0</v>
      </c>
      <c r="BN180">
        <v>0</v>
      </c>
      <c r="BO180">
        <v>0</v>
      </c>
      <c r="BP180">
        <v>6661</v>
      </c>
      <c r="BQ180" cm="1">
        <f t="array" ref="BQ180:CH180">VLOOKUP(A180,battedball_pitchers_2019!A:U,{3,4,5,6,7,8,9,10,11,12,13,14,15,16,17,18,19,20},FALSE)</f>
        <v>0.215</v>
      </c>
      <c r="BR180">
        <v>1.23</v>
      </c>
      <c r="BS180">
        <v>0.17899999999999999</v>
      </c>
      <c r="BT180">
        <v>0.45200000000000001</v>
      </c>
      <c r="BU180">
        <v>0.36899999999999999</v>
      </c>
      <c r="BV180">
        <v>1.6E-2</v>
      </c>
      <c r="BW180">
        <v>0.113</v>
      </c>
      <c r="BX180">
        <v>18</v>
      </c>
      <c r="BY180">
        <v>2.66</v>
      </c>
      <c r="BZ180">
        <v>364</v>
      </c>
      <c r="CA180">
        <v>611</v>
      </c>
      <c r="CB180">
        <v>975</v>
      </c>
      <c r="CC180">
        <v>0.44700000000000001</v>
      </c>
      <c r="CD180">
        <v>0.35299999999999998</v>
      </c>
      <c r="CE180">
        <v>0.2</v>
      </c>
      <c r="CF180">
        <v>8.7999999999999995E-2</v>
      </c>
      <c r="CG180">
        <v>0.53500000000000003</v>
      </c>
      <c r="CH180">
        <v>0.376</v>
      </c>
      <c r="CI180" cm="1">
        <f t="array" ref="CI180:CS180">VLOOKUP(A180,verticalmove_pitchers_2019!A:N,{3,4,5,6,7,8,9,10,11,12,13},FALSE)</f>
        <v>61</v>
      </c>
      <c r="CJ180">
        <v>9.8000000000000007</v>
      </c>
      <c r="CK180">
        <v>3.9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 cm="1">
        <f t="array" ref="CT180:DD180">VLOOKUP(A180,velocity_pitchers_2019!A:N,{3,4,5,6,7,8,9,10,11,12,13},FALSE)</f>
        <v>61</v>
      </c>
      <c r="CU180">
        <v>94.7</v>
      </c>
      <c r="CV180">
        <v>90.7</v>
      </c>
      <c r="CW180">
        <v>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</row>
    <row r="181" spans="1:108" x14ac:dyDescent="0.3">
      <c r="A181" t="s">
        <v>260</v>
      </c>
      <c r="B181" t="str" cm="1">
        <f t="array" ref="B181:Y181">VLOOKUP(A181,standard_pitchers_2019!A:Y,{2,3,4,5,6,7,8,9,10,11,12,13,14,15,16,17,18,19,20,21,22,23,24,25},FALSE)</f>
        <v>- - -</v>
      </c>
      <c r="C181">
        <v>3</v>
      </c>
      <c r="D181">
        <v>3</v>
      </c>
      <c r="E181">
        <v>4.55</v>
      </c>
      <c r="F181">
        <v>60</v>
      </c>
      <c r="G181">
        <v>2</v>
      </c>
      <c r="H181">
        <v>0</v>
      </c>
      <c r="I181">
        <v>0</v>
      </c>
      <c r="J181">
        <v>10</v>
      </c>
      <c r="K181">
        <v>13</v>
      </c>
      <c r="L181">
        <v>1</v>
      </c>
      <c r="M181">
        <v>61.1</v>
      </c>
      <c r="N181">
        <v>255</v>
      </c>
      <c r="O181">
        <v>53</v>
      </c>
      <c r="P181">
        <v>32</v>
      </c>
      <c r="Q181">
        <v>31</v>
      </c>
      <c r="R181">
        <v>13</v>
      </c>
      <c r="S181">
        <v>22</v>
      </c>
      <c r="T181">
        <v>0</v>
      </c>
      <c r="U181">
        <v>3</v>
      </c>
      <c r="V181">
        <v>4</v>
      </c>
      <c r="W181">
        <v>0</v>
      </c>
      <c r="X181">
        <v>65</v>
      </c>
      <c r="Y181">
        <v>5224</v>
      </c>
      <c r="Z181" cm="1">
        <f t="array" ref="Z181:AR181">VLOOKUP(A181,advanced_pitchers_2019!A:Y,{3,4,5,6,7,8,9,10,11,12,13,14,15,16,17,18,19,20,21},FALSE)</f>
        <v>9.5399999999999991</v>
      </c>
      <c r="AA181">
        <v>3.23</v>
      </c>
      <c r="AB181">
        <v>2.95</v>
      </c>
      <c r="AC181">
        <v>1.91</v>
      </c>
      <c r="AD181">
        <v>0.255</v>
      </c>
      <c r="AE181">
        <v>8.5999999999999993E-2</v>
      </c>
      <c r="AF181">
        <v>0.16900000000000001</v>
      </c>
      <c r="AG181">
        <v>0.23</v>
      </c>
      <c r="AH181">
        <v>1.22</v>
      </c>
      <c r="AI181">
        <v>0.26300000000000001</v>
      </c>
      <c r="AJ181">
        <v>0.76900000000000002</v>
      </c>
      <c r="AK181">
        <v>100</v>
      </c>
      <c r="AL181">
        <v>111</v>
      </c>
      <c r="AM181">
        <v>94</v>
      </c>
      <c r="AN181">
        <v>4.55</v>
      </c>
      <c r="AO181">
        <v>5.07</v>
      </c>
      <c r="AP181">
        <v>-0.52</v>
      </c>
      <c r="AQ181">
        <v>4.26</v>
      </c>
      <c r="AR181">
        <v>3.98</v>
      </c>
      <c r="AS181" cm="1">
        <f t="array" ref="AS181:BA181">VLOOKUP(A181,plate_discipline_pitchers_2019!A:L,{3,4,5,6,7,8,9,10,11},FALSE)</f>
        <v>0.28199999999999997</v>
      </c>
      <c r="AT181">
        <v>0.66400000000000003</v>
      </c>
      <c r="AU181">
        <v>0.437</v>
      </c>
      <c r="AV181">
        <v>0.61399999999999999</v>
      </c>
      <c r="AW181">
        <v>0.81799999999999995</v>
      </c>
      <c r="AX181">
        <v>0.74</v>
      </c>
      <c r="AY181">
        <v>0.40600000000000003</v>
      </c>
      <c r="AZ181">
        <v>0.59199999999999997</v>
      </c>
      <c r="BA181">
        <v>0.114</v>
      </c>
      <c r="BB181" cm="1">
        <f t="array" ref="BB181:BP181">VLOOKUP(A181,pitchvalue_pitchers_2019!A:Q,{3,4,5,6,7,8,9,10,11,12,13,14,15,16,17},FALSE)</f>
        <v>-0.6</v>
      </c>
      <c r="BC181">
        <v>0</v>
      </c>
      <c r="BD181">
        <v>-0.9</v>
      </c>
      <c r="BE181">
        <v>0.9</v>
      </c>
      <c r="BF181">
        <v>0</v>
      </c>
      <c r="BG181">
        <v>1</v>
      </c>
      <c r="BH181">
        <v>0</v>
      </c>
      <c r="BI181">
        <v>-0.12</v>
      </c>
      <c r="BJ181">
        <v>0</v>
      </c>
      <c r="BK181">
        <v>-1.96</v>
      </c>
      <c r="BL181">
        <v>0.56000000000000005</v>
      </c>
      <c r="BM181">
        <v>0</v>
      </c>
      <c r="BN181">
        <v>0.31</v>
      </c>
      <c r="BO181">
        <v>0</v>
      </c>
      <c r="BP181">
        <v>5224</v>
      </c>
      <c r="BQ181" cm="1">
        <f t="array" ref="BQ181:CH181">VLOOKUP(A181,battedball_pitchers_2019!A:U,{3,4,5,6,7,8,9,10,11,12,13,14,15,16,17,18,19,20},FALSE)</f>
        <v>0.26300000000000001</v>
      </c>
      <c r="BR181">
        <v>1.03</v>
      </c>
      <c r="BS181">
        <v>0.247</v>
      </c>
      <c r="BT181">
        <v>0.38300000000000001</v>
      </c>
      <c r="BU181">
        <v>0.37</v>
      </c>
      <c r="BV181">
        <v>0.13300000000000001</v>
      </c>
      <c r="BW181">
        <v>0.217</v>
      </c>
      <c r="BX181">
        <v>24</v>
      </c>
      <c r="BY181">
        <v>3.52</v>
      </c>
      <c r="BZ181">
        <v>389</v>
      </c>
      <c r="CA181">
        <v>631</v>
      </c>
      <c r="CB181">
        <v>1020</v>
      </c>
      <c r="CC181">
        <v>0.40600000000000003</v>
      </c>
      <c r="CD181">
        <v>0.35199999999999998</v>
      </c>
      <c r="CE181">
        <v>0.24199999999999999</v>
      </c>
      <c r="CF181">
        <v>0.16400000000000001</v>
      </c>
      <c r="CG181">
        <v>0.38800000000000001</v>
      </c>
      <c r="CH181">
        <v>0.44800000000000001</v>
      </c>
      <c r="CI181" cm="1">
        <f t="array" ref="CI181:CS181">VLOOKUP(A181,verticalmove_pitchers_2019!A:N,{3,4,5,6,7,8,9,10,11,12,13},FALSE)</f>
        <v>61.1</v>
      </c>
      <c r="CJ181">
        <v>8.8000000000000007</v>
      </c>
      <c r="CK181">
        <v>3.9</v>
      </c>
      <c r="CL181">
        <v>0.3</v>
      </c>
      <c r="CM181">
        <v>0</v>
      </c>
      <c r="CN181">
        <v>0</v>
      </c>
      <c r="CO181">
        <v>0</v>
      </c>
      <c r="CP181">
        <v>-7.8</v>
      </c>
      <c r="CQ181">
        <v>0</v>
      </c>
      <c r="CR181">
        <v>0</v>
      </c>
      <c r="CS181">
        <v>0</v>
      </c>
      <c r="CT181" cm="1">
        <f t="array" ref="CT181:DD181">VLOOKUP(A181,velocity_pitchers_2019!A:N,{3,4,5,6,7,8,9,10,11,12,13},FALSE)</f>
        <v>61.1</v>
      </c>
      <c r="CU181">
        <v>91.6</v>
      </c>
      <c r="CV181">
        <v>88.4</v>
      </c>
      <c r="CW181">
        <v>80.2</v>
      </c>
      <c r="CX181">
        <v>0</v>
      </c>
      <c r="CY181">
        <v>0</v>
      </c>
      <c r="CZ181">
        <v>0</v>
      </c>
      <c r="DA181">
        <v>76.3</v>
      </c>
      <c r="DB181">
        <v>0</v>
      </c>
      <c r="DC181">
        <v>0</v>
      </c>
      <c r="DD181">
        <v>0</v>
      </c>
    </row>
    <row r="182" spans="1:108" x14ac:dyDescent="0.3">
      <c r="A182" t="s">
        <v>326</v>
      </c>
      <c r="B182" t="str" cm="1">
        <f t="array" ref="B182:Y182">VLOOKUP(A182,standard_pitchers_2019!A:Y,{2,3,4,5,6,7,8,9,10,11,12,13,14,15,16,17,18,19,20,21,22,23,24,25},FALSE)</f>
        <v>Rockies</v>
      </c>
      <c r="C182">
        <v>2</v>
      </c>
      <c r="D182">
        <v>6</v>
      </c>
      <c r="E182">
        <v>5.29</v>
      </c>
      <c r="F182">
        <v>14</v>
      </c>
      <c r="G182">
        <v>12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63</v>
      </c>
      <c r="N182">
        <v>278</v>
      </c>
      <c r="O182">
        <v>59</v>
      </c>
      <c r="P182">
        <v>39</v>
      </c>
      <c r="Q182">
        <v>37</v>
      </c>
      <c r="R182">
        <v>11</v>
      </c>
      <c r="S182">
        <v>33</v>
      </c>
      <c r="T182">
        <v>0</v>
      </c>
      <c r="U182">
        <v>1</v>
      </c>
      <c r="V182">
        <v>1</v>
      </c>
      <c r="W182">
        <v>0</v>
      </c>
      <c r="X182">
        <v>46</v>
      </c>
      <c r="Y182">
        <v>14663</v>
      </c>
      <c r="Z182" cm="1">
        <f t="array" ref="Z182:AR182">VLOOKUP(A182,advanced_pitchers_2019!A:Y,{3,4,5,6,7,8,9,10,11,12,13,14,15,16,17,18,19,20,21},FALSE)</f>
        <v>6.57</v>
      </c>
      <c r="AA182">
        <v>4.71</v>
      </c>
      <c r="AB182">
        <v>1.39</v>
      </c>
      <c r="AC182">
        <v>1.57</v>
      </c>
      <c r="AD182">
        <v>0.16500000000000001</v>
      </c>
      <c r="AE182">
        <v>0.11899999999999999</v>
      </c>
      <c r="AF182">
        <v>4.7E-2</v>
      </c>
      <c r="AG182">
        <v>0.24199999999999999</v>
      </c>
      <c r="AH182">
        <v>1.46</v>
      </c>
      <c r="AI182">
        <v>0.25700000000000001</v>
      </c>
      <c r="AJ182">
        <v>0.69599999999999995</v>
      </c>
      <c r="AK182">
        <v>105</v>
      </c>
      <c r="AL182">
        <v>120</v>
      </c>
      <c r="AM182">
        <v>120</v>
      </c>
      <c r="AN182">
        <v>5.29</v>
      </c>
      <c r="AO182">
        <v>5.64</v>
      </c>
      <c r="AP182">
        <v>-0.36</v>
      </c>
      <c r="AQ182">
        <v>5.33</v>
      </c>
      <c r="AR182">
        <v>5.71</v>
      </c>
      <c r="AS182" cm="1">
        <f t="array" ref="AS182:BA182">VLOOKUP(A182,plate_discipline_pitchers_2019!A:L,{3,4,5,6,7,8,9,10,11},FALSE)</f>
        <v>0.27100000000000002</v>
      </c>
      <c r="AT182">
        <v>0.65900000000000003</v>
      </c>
      <c r="AU182">
        <v>0.434</v>
      </c>
      <c r="AV182">
        <v>0.67800000000000005</v>
      </c>
      <c r="AW182">
        <v>0.88</v>
      </c>
      <c r="AX182">
        <v>0.80700000000000005</v>
      </c>
      <c r="AY182">
        <v>0.42</v>
      </c>
      <c r="AZ182">
        <v>0.57899999999999996</v>
      </c>
      <c r="BA182">
        <v>8.4000000000000005E-2</v>
      </c>
      <c r="BB182" cm="1">
        <f t="array" ref="BB182:BP182">VLOOKUP(A182,pitchvalue_pitchers_2019!A:Q,{3,4,5,6,7,8,9,10,11,12,13,14,15,16,17},FALSE)</f>
        <v>-0.6</v>
      </c>
      <c r="BC182">
        <v>0.1</v>
      </c>
      <c r="BD182">
        <v>0</v>
      </c>
      <c r="BE182">
        <v>-3.7</v>
      </c>
      <c r="BF182">
        <v>0.5</v>
      </c>
      <c r="BG182">
        <v>0</v>
      </c>
      <c r="BH182">
        <v>0</v>
      </c>
      <c r="BI182">
        <v>-0.09</v>
      </c>
      <c r="BJ182">
        <v>0.02</v>
      </c>
      <c r="BK182">
        <v>0</v>
      </c>
      <c r="BL182">
        <v>-3.86</v>
      </c>
      <c r="BM182">
        <v>0.37</v>
      </c>
      <c r="BN182">
        <v>0</v>
      </c>
      <c r="BO182">
        <v>0</v>
      </c>
      <c r="BP182">
        <v>14663</v>
      </c>
      <c r="BQ182" cm="1">
        <f t="array" ref="BQ182:CH182">VLOOKUP(A182,battedball_pitchers_2019!A:U,{3,4,5,6,7,8,9,10,11,12,13,14,15,16,17,18,19,20},FALSE)</f>
        <v>0.25700000000000001</v>
      </c>
      <c r="BR182">
        <v>1.35</v>
      </c>
      <c r="BS182">
        <v>0.247</v>
      </c>
      <c r="BT182">
        <v>0.433</v>
      </c>
      <c r="BU182">
        <v>0.32</v>
      </c>
      <c r="BV182">
        <v>0.129</v>
      </c>
      <c r="BW182">
        <v>0.17699999999999999</v>
      </c>
      <c r="BX182">
        <v>17</v>
      </c>
      <c r="BY182">
        <v>2.4300000000000002</v>
      </c>
      <c r="BZ182">
        <v>457</v>
      </c>
      <c r="CA182">
        <v>688</v>
      </c>
      <c r="CB182">
        <v>1145</v>
      </c>
      <c r="CC182">
        <v>0.42899999999999999</v>
      </c>
      <c r="CD182">
        <v>0.33300000000000002</v>
      </c>
      <c r="CE182">
        <v>0.23699999999999999</v>
      </c>
      <c r="CF182">
        <v>0.17199999999999999</v>
      </c>
      <c r="CG182">
        <v>0.46</v>
      </c>
      <c r="CH182">
        <v>0.36899999999999999</v>
      </c>
      <c r="CI182" cm="1">
        <f t="array" ref="CI182:CS182">VLOOKUP(A182,verticalmove_pitchers_2019!A:N,{3,4,5,6,7,8,9,10,11,12,13},FALSE)</f>
        <v>63</v>
      </c>
      <c r="CJ182">
        <v>6.3</v>
      </c>
      <c r="CK182">
        <v>0</v>
      </c>
      <c r="CL182">
        <v>0</v>
      </c>
      <c r="CM182">
        <v>3.8</v>
      </c>
      <c r="CN182">
        <v>1</v>
      </c>
      <c r="CO182">
        <v>2</v>
      </c>
      <c r="CP182">
        <v>-0.8</v>
      </c>
      <c r="CQ182">
        <v>0</v>
      </c>
      <c r="CR182">
        <v>0</v>
      </c>
      <c r="CS182">
        <v>0</v>
      </c>
      <c r="CT182" cm="1">
        <f t="array" ref="CT182:DD182">VLOOKUP(A182,velocity_pitchers_2019!A:N,{3,4,5,6,7,8,9,10,11,12,13},FALSE)</f>
        <v>63</v>
      </c>
      <c r="CU182">
        <v>92.3</v>
      </c>
      <c r="CV182">
        <v>0</v>
      </c>
      <c r="CW182">
        <v>0</v>
      </c>
      <c r="CX182">
        <v>91.4</v>
      </c>
      <c r="CY182">
        <v>86.4</v>
      </c>
      <c r="CZ182">
        <v>87</v>
      </c>
      <c r="DA182">
        <v>82.5</v>
      </c>
      <c r="DB182">
        <v>0</v>
      </c>
      <c r="DC182">
        <v>0</v>
      </c>
      <c r="DD182">
        <v>0</v>
      </c>
    </row>
    <row r="183" spans="1:108" x14ac:dyDescent="0.3">
      <c r="A183" t="s">
        <v>286</v>
      </c>
      <c r="B183" t="str" cm="1">
        <f t="array" ref="B183:Y183">VLOOKUP(A183,standard_pitchers_2019!A:Y,{2,3,4,5,6,7,8,9,10,11,12,13,14,15,16,17,18,19,20,21,22,23,24,25},FALSE)</f>
        <v>White Sox</v>
      </c>
      <c r="C183">
        <v>3</v>
      </c>
      <c r="D183">
        <v>4</v>
      </c>
      <c r="E183">
        <v>4.75</v>
      </c>
      <c r="F183">
        <v>68</v>
      </c>
      <c r="G183">
        <v>0</v>
      </c>
      <c r="H183">
        <v>0</v>
      </c>
      <c r="I183">
        <v>0</v>
      </c>
      <c r="J183">
        <v>0</v>
      </c>
      <c r="K183">
        <v>11</v>
      </c>
      <c r="L183">
        <v>2</v>
      </c>
      <c r="M183">
        <v>55</v>
      </c>
      <c r="N183">
        <v>251</v>
      </c>
      <c r="O183">
        <v>44</v>
      </c>
      <c r="P183">
        <v>33</v>
      </c>
      <c r="Q183">
        <v>29</v>
      </c>
      <c r="R183">
        <v>7</v>
      </c>
      <c r="S183">
        <v>43</v>
      </c>
      <c r="T183">
        <v>3</v>
      </c>
      <c r="U183">
        <v>3</v>
      </c>
      <c r="V183">
        <v>4</v>
      </c>
      <c r="W183">
        <v>0</v>
      </c>
      <c r="X183">
        <v>68</v>
      </c>
      <c r="Y183">
        <v>16159</v>
      </c>
      <c r="Z183" cm="1">
        <f t="array" ref="Z183:AR183">VLOOKUP(A183,advanced_pitchers_2019!A:Y,{3,4,5,6,7,8,9,10,11,12,13,14,15,16,17,18,19,20,21},FALSE)</f>
        <v>11.13</v>
      </c>
      <c r="AA183">
        <v>7.04</v>
      </c>
      <c r="AB183">
        <v>1.58</v>
      </c>
      <c r="AC183">
        <v>1.1499999999999999</v>
      </c>
      <c r="AD183">
        <v>0.27100000000000002</v>
      </c>
      <c r="AE183">
        <v>0.17100000000000001</v>
      </c>
      <c r="AF183">
        <v>0.1</v>
      </c>
      <c r="AG183">
        <v>0.215</v>
      </c>
      <c r="AH183">
        <v>1.58</v>
      </c>
      <c r="AI183">
        <v>0.28499999999999998</v>
      </c>
      <c r="AJ183">
        <v>0.71099999999999997</v>
      </c>
      <c r="AK183">
        <v>105</v>
      </c>
      <c r="AL183">
        <v>106</v>
      </c>
      <c r="AM183">
        <v>96</v>
      </c>
      <c r="AN183">
        <v>4.75</v>
      </c>
      <c r="AO183">
        <v>4.9000000000000004</v>
      </c>
      <c r="AP183">
        <v>-0.16</v>
      </c>
      <c r="AQ183">
        <v>4.41</v>
      </c>
      <c r="AR183">
        <v>4.8099999999999996</v>
      </c>
      <c r="AS183" cm="1">
        <f t="array" ref="AS183:BA183">VLOOKUP(A183,plate_discipline_pitchers_2019!A:L,{3,4,5,6,7,8,9,10,11},FALSE)</f>
        <v>0.28399999999999997</v>
      </c>
      <c r="AT183">
        <v>0.61399999999999999</v>
      </c>
      <c r="AU183">
        <v>0.40200000000000002</v>
      </c>
      <c r="AV183">
        <v>0.40100000000000002</v>
      </c>
      <c r="AW183">
        <v>0.85799999999999998</v>
      </c>
      <c r="AX183">
        <v>0.65100000000000002</v>
      </c>
      <c r="AY183">
        <v>0.35899999999999999</v>
      </c>
      <c r="AZ183">
        <v>0.45800000000000002</v>
      </c>
      <c r="BA183">
        <v>0.14000000000000001</v>
      </c>
      <c r="BB183" cm="1">
        <f t="array" ref="BB183:BP183">VLOOKUP(A183,pitchvalue_pitchers_2019!A:Q,{3,4,5,6,7,8,9,10,11,12,13,14,15,16,17},FALSE)</f>
        <v>-0.7</v>
      </c>
      <c r="BC183">
        <v>1.6</v>
      </c>
      <c r="BD183">
        <v>0</v>
      </c>
      <c r="BE183">
        <v>-4.0999999999999996</v>
      </c>
      <c r="BF183">
        <v>2.6</v>
      </c>
      <c r="BG183">
        <v>0</v>
      </c>
      <c r="BH183">
        <v>0</v>
      </c>
      <c r="BI183">
        <v>-0.25</v>
      </c>
      <c r="BJ183">
        <v>0.32</v>
      </c>
      <c r="BK183">
        <v>0</v>
      </c>
      <c r="BL183">
        <v>-2.1</v>
      </c>
      <c r="BM183">
        <v>3.37</v>
      </c>
      <c r="BN183">
        <v>0</v>
      </c>
      <c r="BO183">
        <v>0</v>
      </c>
      <c r="BP183">
        <v>16159</v>
      </c>
      <c r="BQ183" cm="1">
        <f t="array" ref="BQ183:CH183">VLOOKUP(A183,battedball_pitchers_2019!A:U,{3,4,5,6,7,8,9,10,11,12,13,14,15,16,17,18,19,20},FALSE)</f>
        <v>0.28499999999999998</v>
      </c>
      <c r="BR183">
        <v>2.41</v>
      </c>
      <c r="BS183">
        <v>0.193</v>
      </c>
      <c r="BT183">
        <v>0.56999999999999995</v>
      </c>
      <c r="BU183">
        <v>0.23699999999999999</v>
      </c>
      <c r="BV183">
        <v>6.3E-2</v>
      </c>
      <c r="BW183">
        <v>0.219</v>
      </c>
      <c r="BX183">
        <v>33</v>
      </c>
      <c r="BY183">
        <v>5.4</v>
      </c>
      <c r="BZ183">
        <v>466</v>
      </c>
      <c r="CA183">
        <v>588</v>
      </c>
      <c r="CB183">
        <v>1054</v>
      </c>
      <c r="CC183">
        <v>0.47399999999999998</v>
      </c>
      <c r="CD183">
        <v>0.35799999999999998</v>
      </c>
      <c r="CE183">
        <v>0.16800000000000001</v>
      </c>
      <c r="CF183">
        <v>0.161</v>
      </c>
      <c r="CG183">
        <v>0.48899999999999999</v>
      </c>
      <c r="CH183">
        <v>0.35</v>
      </c>
      <c r="CI183" cm="1">
        <f t="array" ref="CI183:CS183">VLOOKUP(A183,verticalmove_pitchers_2019!A:N,{3,4,5,6,7,8,9,10,11,12,13},FALSE)</f>
        <v>55</v>
      </c>
      <c r="CJ183">
        <v>8.4</v>
      </c>
      <c r="CK183">
        <v>0</v>
      </c>
      <c r="CL183">
        <v>0</v>
      </c>
      <c r="CM183">
        <v>4.0999999999999996</v>
      </c>
      <c r="CN183">
        <v>3.7</v>
      </c>
      <c r="CO183">
        <v>0.7</v>
      </c>
      <c r="CP183">
        <v>-8.3000000000000007</v>
      </c>
      <c r="CQ183">
        <v>0</v>
      </c>
      <c r="CR183">
        <v>0</v>
      </c>
      <c r="CS183">
        <v>0</v>
      </c>
      <c r="CT183" cm="1">
        <f t="array" ref="CT183:DD183">VLOOKUP(A183,velocity_pitchers_2019!A:N,{3,4,5,6,7,8,9,10,11,12,13},FALSE)</f>
        <v>55</v>
      </c>
      <c r="CU183">
        <v>93</v>
      </c>
      <c r="CV183">
        <v>0</v>
      </c>
      <c r="CW183">
        <v>0</v>
      </c>
      <c r="CX183">
        <v>92.5</v>
      </c>
      <c r="CY183">
        <v>86.2</v>
      </c>
      <c r="CZ183">
        <v>88.4</v>
      </c>
      <c r="DA183">
        <v>78.599999999999994</v>
      </c>
      <c r="DB183">
        <v>0</v>
      </c>
      <c r="DC183">
        <v>0</v>
      </c>
      <c r="DD183">
        <v>0</v>
      </c>
    </row>
    <row r="184" spans="1:108" x14ac:dyDescent="0.3">
      <c r="A184" t="s">
        <v>121</v>
      </c>
      <c r="B184" t="str" cm="1">
        <f t="array" ref="B184:Y184">VLOOKUP(A184,standard_pitchers_2019!A:Y,{2,3,4,5,6,7,8,9,10,11,12,13,14,15,16,17,18,19,20,21,22,23,24,25},FALSE)</f>
        <v>Cardinals</v>
      </c>
      <c r="C184">
        <v>16</v>
      </c>
      <c r="D184">
        <v>7</v>
      </c>
      <c r="E184">
        <v>3.35</v>
      </c>
      <c r="F184">
        <v>33</v>
      </c>
      <c r="G184">
        <v>32</v>
      </c>
      <c r="H184">
        <v>0</v>
      </c>
      <c r="I184">
        <v>0</v>
      </c>
      <c r="J184">
        <v>1</v>
      </c>
      <c r="K184">
        <v>0</v>
      </c>
      <c r="L184">
        <v>0</v>
      </c>
      <c r="M184">
        <v>174.2</v>
      </c>
      <c r="N184">
        <v>757</v>
      </c>
      <c r="O184">
        <v>160</v>
      </c>
      <c r="P184">
        <v>80</v>
      </c>
      <c r="Q184">
        <v>65</v>
      </c>
      <c r="R184">
        <v>22</v>
      </c>
      <c r="S184">
        <v>86</v>
      </c>
      <c r="T184">
        <v>8</v>
      </c>
      <c r="U184">
        <v>9</v>
      </c>
      <c r="V184">
        <v>5</v>
      </c>
      <c r="W184">
        <v>0</v>
      </c>
      <c r="X184">
        <v>136</v>
      </c>
      <c r="Y184">
        <v>19206</v>
      </c>
      <c r="Z184" cm="1">
        <f t="array" ref="Z184:AR184">VLOOKUP(A184,advanced_pitchers_2019!A:Y,{3,4,5,6,7,8,9,10,11,12,13,14,15,16,17,18,19,20,21},FALSE)</f>
        <v>7.01</v>
      </c>
      <c r="AA184">
        <v>4.43</v>
      </c>
      <c r="AB184">
        <v>1.58</v>
      </c>
      <c r="AC184">
        <v>1.1299999999999999</v>
      </c>
      <c r="AD184">
        <v>0.18</v>
      </c>
      <c r="AE184">
        <v>0.114</v>
      </c>
      <c r="AF184">
        <v>6.6000000000000003E-2</v>
      </c>
      <c r="AG184">
        <v>0.24199999999999999</v>
      </c>
      <c r="AH184">
        <v>1.41</v>
      </c>
      <c r="AI184">
        <v>0.27400000000000002</v>
      </c>
      <c r="AJ184">
        <v>0.78100000000000003</v>
      </c>
      <c r="AK184">
        <v>79</v>
      </c>
      <c r="AL184">
        <v>114</v>
      </c>
      <c r="AM184">
        <v>103</v>
      </c>
      <c r="AN184">
        <v>3.35</v>
      </c>
      <c r="AO184">
        <v>4.93</v>
      </c>
      <c r="AP184">
        <v>-1.58</v>
      </c>
      <c r="AQ184">
        <v>4.55</v>
      </c>
      <c r="AR184">
        <v>5.08</v>
      </c>
      <c r="AS184" cm="1">
        <f t="array" ref="AS184:BA184">VLOOKUP(A184,plate_discipline_pitchers_2019!A:L,{3,4,5,6,7,8,9,10,11},FALSE)</f>
        <v>0.27500000000000002</v>
      </c>
      <c r="AT184">
        <v>0.66400000000000003</v>
      </c>
      <c r="AU184">
        <v>0.438</v>
      </c>
      <c r="AV184">
        <v>0.58199999999999996</v>
      </c>
      <c r="AW184">
        <v>0.88500000000000001</v>
      </c>
      <c r="AX184">
        <v>0.77500000000000002</v>
      </c>
      <c r="AY184">
        <v>0.41899999999999998</v>
      </c>
      <c r="AZ184">
        <v>0.56100000000000005</v>
      </c>
      <c r="BA184">
        <v>9.9000000000000005E-2</v>
      </c>
      <c r="BB184" cm="1">
        <f t="array" ref="BB184:BP184">VLOOKUP(A184,pitchvalue_pitchers_2019!A:Q,{3,4,5,6,7,8,9,10,11,12,13,14,15,16,17},FALSE)</f>
        <v>-0.7</v>
      </c>
      <c r="BC184">
        <v>5.6</v>
      </c>
      <c r="BD184">
        <v>0</v>
      </c>
      <c r="BE184">
        <v>-1.8</v>
      </c>
      <c r="BF184">
        <v>-0.8</v>
      </c>
      <c r="BG184">
        <v>0</v>
      </c>
      <c r="BH184">
        <v>0</v>
      </c>
      <c r="BI184">
        <v>-0.04</v>
      </c>
      <c r="BJ184">
        <v>0.77</v>
      </c>
      <c r="BK184">
        <v>0</v>
      </c>
      <c r="BL184">
        <v>-0.64</v>
      </c>
      <c r="BM184">
        <v>-1.1399999999999999</v>
      </c>
      <c r="BN184">
        <v>0</v>
      </c>
      <c r="BO184">
        <v>0</v>
      </c>
      <c r="BP184">
        <v>19206</v>
      </c>
      <c r="BQ184" cm="1">
        <f t="array" ref="BQ184:CH184">VLOOKUP(A184,battedball_pitchers_2019!A:U,{3,4,5,6,7,8,9,10,11,12,13,14,15,16,17,18,19,20},FALSE)</f>
        <v>0.27400000000000002</v>
      </c>
      <c r="BR184">
        <v>2.67</v>
      </c>
      <c r="BS184">
        <v>0.217</v>
      </c>
      <c r="BT184">
        <v>0.56899999999999995</v>
      </c>
      <c r="BU184">
        <v>0.21299999999999999</v>
      </c>
      <c r="BV184">
        <v>0.09</v>
      </c>
      <c r="BW184">
        <v>0.19800000000000001</v>
      </c>
      <c r="BX184">
        <v>118</v>
      </c>
      <c r="BY184">
        <v>6.08</v>
      </c>
      <c r="BZ184">
        <v>1130</v>
      </c>
      <c r="CA184">
        <v>1718</v>
      </c>
      <c r="CB184">
        <v>2848</v>
      </c>
      <c r="CC184">
        <v>0.42</v>
      </c>
      <c r="CD184">
        <v>0.34799999999999998</v>
      </c>
      <c r="CE184">
        <v>0.23200000000000001</v>
      </c>
      <c r="CF184">
        <v>0.17499999999999999</v>
      </c>
      <c r="CG184">
        <v>0.42</v>
      </c>
      <c r="CH184">
        <v>0.40500000000000003</v>
      </c>
      <c r="CI184" cm="1">
        <f t="array" ref="CI184:CS184">VLOOKUP(A184,verticalmove_pitchers_2019!A:N,{3,4,5,6,7,8,9,10,11,12,13},FALSE)</f>
        <v>174.2</v>
      </c>
      <c r="CJ184">
        <v>6.1</v>
      </c>
      <c r="CK184">
        <v>0.1</v>
      </c>
      <c r="CL184">
        <v>0</v>
      </c>
      <c r="CM184">
        <v>3.7</v>
      </c>
      <c r="CN184">
        <v>4</v>
      </c>
      <c r="CO184">
        <v>-2.5</v>
      </c>
      <c r="CP184">
        <v>0</v>
      </c>
      <c r="CQ184">
        <v>0</v>
      </c>
      <c r="CR184">
        <v>0</v>
      </c>
      <c r="CS184">
        <v>0</v>
      </c>
      <c r="CT184" cm="1">
        <f t="array" ref="CT184:DD184">VLOOKUP(A184,velocity_pitchers_2019!A:N,{3,4,5,6,7,8,9,10,11,12,13},FALSE)</f>
        <v>174.2</v>
      </c>
      <c r="CU184">
        <v>94.2</v>
      </c>
      <c r="CV184">
        <v>87.7</v>
      </c>
      <c r="CW184">
        <v>0</v>
      </c>
      <c r="CX184">
        <v>93.8</v>
      </c>
      <c r="CY184">
        <v>88.4</v>
      </c>
      <c r="CZ184">
        <v>82.3</v>
      </c>
      <c r="DA184">
        <v>0</v>
      </c>
      <c r="DB184">
        <v>0</v>
      </c>
      <c r="DC184">
        <v>0</v>
      </c>
      <c r="DD184">
        <v>0</v>
      </c>
    </row>
    <row r="185" spans="1:108" x14ac:dyDescent="0.3">
      <c r="A185" t="s">
        <v>346</v>
      </c>
      <c r="B185" t="str" cm="1">
        <f t="array" ref="B185:Y185">VLOOKUP(A185,standard_pitchers_2019!A:Y,{2,3,4,5,6,7,8,9,10,11,12,13,14,15,16,17,18,19,20,21,22,23,24,25},FALSE)</f>
        <v>Mets</v>
      </c>
      <c r="C185">
        <v>2</v>
      </c>
      <c r="D185">
        <v>7</v>
      </c>
      <c r="E185">
        <v>5.59</v>
      </c>
      <c r="F185">
        <v>66</v>
      </c>
      <c r="G185">
        <v>0</v>
      </c>
      <c r="H185">
        <v>0</v>
      </c>
      <c r="I185">
        <v>0</v>
      </c>
      <c r="J185">
        <v>26</v>
      </c>
      <c r="K185">
        <v>1</v>
      </c>
      <c r="L185">
        <v>7</v>
      </c>
      <c r="M185">
        <v>58</v>
      </c>
      <c r="N185">
        <v>254</v>
      </c>
      <c r="O185">
        <v>58</v>
      </c>
      <c r="P185">
        <v>36</v>
      </c>
      <c r="Q185">
        <v>36</v>
      </c>
      <c r="R185">
        <v>15</v>
      </c>
      <c r="S185">
        <v>22</v>
      </c>
      <c r="T185">
        <v>3</v>
      </c>
      <c r="U185">
        <v>4</v>
      </c>
      <c r="V185">
        <v>3</v>
      </c>
      <c r="W185">
        <v>0</v>
      </c>
      <c r="X185">
        <v>99</v>
      </c>
      <c r="Y185">
        <v>14710</v>
      </c>
      <c r="Z185" cm="1">
        <f t="array" ref="Z185:AR185">VLOOKUP(A185,advanced_pitchers_2019!A:Y,{3,4,5,6,7,8,9,10,11,12,13,14,15,16,17,18,19,20,21},FALSE)</f>
        <v>15.36</v>
      </c>
      <c r="AA185">
        <v>3.41</v>
      </c>
      <c r="AB185">
        <v>4.5</v>
      </c>
      <c r="AC185">
        <v>2.33</v>
      </c>
      <c r="AD185">
        <v>0.39</v>
      </c>
      <c r="AE185">
        <v>8.6999999999999994E-2</v>
      </c>
      <c r="AF185">
        <v>0.30299999999999999</v>
      </c>
      <c r="AG185">
        <v>0.254</v>
      </c>
      <c r="AH185">
        <v>1.38</v>
      </c>
      <c r="AI185">
        <v>0.377</v>
      </c>
      <c r="AJ185">
        <v>0.76200000000000001</v>
      </c>
      <c r="AK185">
        <v>135</v>
      </c>
      <c r="AL185">
        <v>104</v>
      </c>
      <c r="AM185">
        <v>69</v>
      </c>
      <c r="AN185">
        <v>5.59</v>
      </c>
      <c r="AO185">
        <v>4.51</v>
      </c>
      <c r="AP185">
        <v>1.08</v>
      </c>
      <c r="AQ185">
        <v>3.07</v>
      </c>
      <c r="AR185">
        <v>2.63</v>
      </c>
      <c r="AS185" cm="1">
        <f t="array" ref="AS185:BA185">VLOOKUP(A185,plate_discipline_pitchers_2019!A:L,{3,4,5,6,7,8,9,10,11},FALSE)</f>
        <v>0.35</v>
      </c>
      <c r="AT185">
        <v>0.72899999999999998</v>
      </c>
      <c r="AU185">
        <v>0.51400000000000001</v>
      </c>
      <c r="AV185">
        <v>0.53500000000000003</v>
      </c>
      <c r="AW185">
        <v>0.72299999999999998</v>
      </c>
      <c r="AX185">
        <v>0.65</v>
      </c>
      <c r="AY185">
        <v>0.433</v>
      </c>
      <c r="AZ185">
        <v>0.63400000000000001</v>
      </c>
      <c r="BA185">
        <v>0.18</v>
      </c>
      <c r="BB185" cm="1">
        <f t="array" ref="BB185:BP185">VLOOKUP(A185,pitchvalue_pitchers_2019!A:Q,{3,4,5,6,7,8,9,10,11,12,13,14,15,16,17},FALSE)</f>
        <v>-0.7</v>
      </c>
      <c r="BC185">
        <v>-2.8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-0.11</v>
      </c>
      <c r="BJ185">
        <v>-0.78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14710</v>
      </c>
      <c r="BQ185" cm="1">
        <f t="array" ref="BQ185:CH185">VLOOKUP(A185,battedball_pitchers_2019!A:U,{3,4,5,6,7,8,9,10,11,12,13,14,15,16,17,18,19,20},FALSE)</f>
        <v>0.377</v>
      </c>
      <c r="BR185">
        <v>0.84</v>
      </c>
      <c r="BS185">
        <v>0.19500000000000001</v>
      </c>
      <c r="BT185">
        <v>0.36699999999999999</v>
      </c>
      <c r="BU185">
        <v>0.438</v>
      </c>
      <c r="BV185">
        <v>5.3999999999999999E-2</v>
      </c>
      <c r="BW185">
        <v>0.26800000000000002</v>
      </c>
      <c r="BX185">
        <v>11</v>
      </c>
      <c r="BY185">
        <v>1.71</v>
      </c>
      <c r="BZ185">
        <v>370</v>
      </c>
      <c r="CA185">
        <v>703</v>
      </c>
      <c r="CB185">
        <v>1073</v>
      </c>
      <c r="CC185">
        <v>0.434</v>
      </c>
      <c r="CD185">
        <v>0.29499999999999998</v>
      </c>
      <c r="CE185">
        <v>0.27100000000000002</v>
      </c>
      <c r="CF185">
        <v>0.16300000000000001</v>
      </c>
      <c r="CG185">
        <v>0.35699999999999998</v>
      </c>
      <c r="CH185">
        <v>0.48099999999999998</v>
      </c>
      <c r="CI185" cm="1">
        <f t="array" ref="CI185:CS185">VLOOKUP(A185,verticalmove_pitchers_2019!A:N,{3,4,5,6,7,8,9,10,11,12,13},FALSE)</f>
        <v>58</v>
      </c>
      <c r="CJ185">
        <v>7.8</v>
      </c>
      <c r="CK185">
        <v>0</v>
      </c>
      <c r="CL185">
        <v>0</v>
      </c>
      <c r="CM185">
        <v>5.4</v>
      </c>
      <c r="CN185">
        <v>0</v>
      </c>
      <c r="CO185">
        <v>2.7</v>
      </c>
      <c r="CP185">
        <v>0</v>
      </c>
      <c r="CQ185">
        <v>0</v>
      </c>
      <c r="CR185">
        <v>0</v>
      </c>
      <c r="CS185">
        <v>0</v>
      </c>
      <c r="CT185" cm="1">
        <f t="array" ref="CT185:DD185">VLOOKUP(A185,velocity_pitchers_2019!A:N,{3,4,5,6,7,8,9,10,11,12,13},FALSE)</f>
        <v>58</v>
      </c>
      <c r="CU185">
        <v>97.8</v>
      </c>
      <c r="CV185">
        <v>0</v>
      </c>
      <c r="CW185">
        <v>0</v>
      </c>
      <c r="CX185">
        <v>96.4</v>
      </c>
      <c r="CY185">
        <v>0</v>
      </c>
      <c r="CZ185">
        <v>89.9</v>
      </c>
      <c r="DA185">
        <v>0</v>
      </c>
      <c r="DB185">
        <v>0</v>
      </c>
      <c r="DC185">
        <v>0</v>
      </c>
      <c r="DD185">
        <v>0</v>
      </c>
    </row>
    <row r="186" spans="1:108" x14ac:dyDescent="0.3">
      <c r="A186" t="s">
        <v>330</v>
      </c>
      <c r="B186" t="str" cm="1">
        <f t="array" ref="B186:Y186">VLOOKUP(A186,standard_pitchers_2019!A:Y,{2,3,4,5,6,7,8,9,10,11,12,13,14,15,16,17,18,19,20,21,22,23,24,25},FALSE)</f>
        <v>Orioles</v>
      </c>
      <c r="C186">
        <v>1</v>
      </c>
      <c r="D186">
        <v>9</v>
      </c>
      <c r="E186">
        <v>5.34</v>
      </c>
      <c r="F186">
        <v>66</v>
      </c>
      <c r="G186">
        <v>0</v>
      </c>
      <c r="H186">
        <v>0</v>
      </c>
      <c r="I186">
        <v>0</v>
      </c>
      <c r="J186">
        <v>3</v>
      </c>
      <c r="K186">
        <v>11</v>
      </c>
      <c r="L186">
        <v>5</v>
      </c>
      <c r="M186">
        <v>57.1</v>
      </c>
      <c r="N186">
        <v>255</v>
      </c>
      <c r="O186">
        <v>54</v>
      </c>
      <c r="P186">
        <v>39</v>
      </c>
      <c r="Q186">
        <v>34</v>
      </c>
      <c r="R186">
        <v>7</v>
      </c>
      <c r="S186">
        <v>29</v>
      </c>
      <c r="T186">
        <v>1</v>
      </c>
      <c r="U186">
        <v>6</v>
      </c>
      <c r="V186">
        <v>2</v>
      </c>
      <c r="W186">
        <v>0</v>
      </c>
      <c r="X186">
        <v>55</v>
      </c>
      <c r="Y186">
        <v>15832</v>
      </c>
      <c r="Z186" cm="1">
        <f t="array" ref="Z186:AR186">VLOOKUP(A186,advanced_pitchers_2019!A:Y,{3,4,5,6,7,8,9,10,11,12,13,14,15,16,17,18,19,20,21},FALSE)</f>
        <v>8.6300000000000008</v>
      </c>
      <c r="AA186">
        <v>4.55</v>
      </c>
      <c r="AB186">
        <v>1.9</v>
      </c>
      <c r="AC186">
        <v>1.1000000000000001</v>
      </c>
      <c r="AD186">
        <v>0.216</v>
      </c>
      <c r="AE186">
        <v>0.114</v>
      </c>
      <c r="AF186">
        <v>0.10199999999999999</v>
      </c>
      <c r="AG186">
        <v>0.245</v>
      </c>
      <c r="AH186">
        <v>1.45</v>
      </c>
      <c r="AI186">
        <v>0.29699999999999999</v>
      </c>
      <c r="AJ186">
        <v>0.63100000000000001</v>
      </c>
      <c r="AK186">
        <v>114</v>
      </c>
      <c r="AL186">
        <v>99</v>
      </c>
      <c r="AM186">
        <v>96</v>
      </c>
      <c r="AN186">
        <v>5.34</v>
      </c>
      <c r="AO186">
        <v>4.71</v>
      </c>
      <c r="AP186">
        <v>0.62</v>
      </c>
      <c r="AQ186">
        <v>4.41</v>
      </c>
      <c r="AR186">
        <v>4.38</v>
      </c>
      <c r="AS186" cm="1">
        <f t="array" ref="AS186:BA186">VLOOKUP(A186,plate_discipline_pitchers_2019!A:L,{3,4,5,6,7,8,9,10,11},FALSE)</f>
        <v>0.26300000000000001</v>
      </c>
      <c r="AT186">
        <v>0.64800000000000002</v>
      </c>
      <c r="AU186">
        <v>0.42</v>
      </c>
      <c r="AV186">
        <v>0.55700000000000005</v>
      </c>
      <c r="AW186">
        <v>0.877</v>
      </c>
      <c r="AX186">
        <v>0.75900000000000001</v>
      </c>
      <c r="AY186">
        <v>0.40899999999999997</v>
      </c>
      <c r="AZ186">
        <v>0.51800000000000002</v>
      </c>
      <c r="BA186">
        <v>0.10100000000000001</v>
      </c>
      <c r="BB186" cm="1">
        <f t="array" ref="BB186:BP186">VLOOKUP(A186,pitchvalue_pitchers_2019!A:Q,{3,4,5,6,7,8,9,10,11,12,13,14,15,16,17},FALSE)</f>
        <v>-0.8</v>
      </c>
      <c r="BC186">
        <v>-1.8</v>
      </c>
      <c r="BD186">
        <v>0</v>
      </c>
      <c r="BE186">
        <v>0</v>
      </c>
      <c r="BF186">
        <v>0.6</v>
      </c>
      <c r="BG186">
        <v>0</v>
      </c>
      <c r="BH186">
        <v>0</v>
      </c>
      <c r="BI186">
        <v>-0.14000000000000001</v>
      </c>
      <c r="BJ186">
        <v>-0.35</v>
      </c>
      <c r="BK186">
        <v>0</v>
      </c>
      <c r="BL186">
        <v>0</v>
      </c>
      <c r="BM186">
        <v>4</v>
      </c>
      <c r="BN186">
        <v>0</v>
      </c>
      <c r="BO186">
        <v>0</v>
      </c>
      <c r="BP186">
        <v>15832</v>
      </c>
      <c r="BQ186" cm="1">
        <f t="array" ref="BQ186:CH186">VLOOKUP(A186,battedball_pitchers_2019!A:U,{3,4,5,6,7,8,9,10,11,12,13,14,15,16,17,18,19,20},FALSE)</f>
        <v>0.29699999999999999</v>
      </c>
      <c r="BR186">
        <v>2.54</v>
      </c>
      <c r="BS186">
        <v>0.191</v>
      </c>
      <c r="BT186">
        <v>0.57999999999999996</v>
      </c>
      <c r="BU186">
        <v>0.22800000000000001</v>
      </c>
      <c r="BV186">
        <v>2.7E-2</v>
      </c>
      <c r="BW186">
        <v>0.189</v>
      </c>
      <c r="BX186">
        <v>28</v>
      </c>
      <c r="BY186">
        <v>4.4000000000000004</v>
      </c>
      <c r="BZ186">
        <v>429</v>
      </c>
      <c r="CA186">
        <v>647</v>
      </c>
      <c r="CB186">
        <v>1076</v>
      </c>
      <c r="CC186">
        <v>0.34499999999999997</v>
      </c>
      <c r="CD186">
        <v>0.35799999999999998</v>
      </c>
      <c r="CE186">
        <v>0.29699999999999999</v>
      </c>
      <c r="CF186">
        <v>0.2</v>
      </c>
      <c r="CG186">
        <v>0.53900000000000003</v>
      </c>
      <c r="CH186">
        <v>0.26100000000000001</v>
      </c>
      <c r="CI186" cm="1">
        <f t="array" ref="CI186:CS186">VLOOKUP(A186,verticalmove_pitchers_2019!A:N,{3,4,5,6,7,8,9,10,11,12,13},FALSE)</f>
        <v>57.1</v>
      </c>
      <c r="CJ186">
        <v>5.9</v>
      </c>
      <c r="CK186">
        <v>-3.2</v>
      </c>
      <c r="CL186">
        <v>0</v>
      </c>
      <c r="CM186">
        <v>0</v>
      </c>
      <c r="CN186">
        <v>3.8</v>
      </c>
      <c r="CO186">
        <v>-3.2</v>
      </c>
      <c r="CP186">
        <v>0</v>
      </c>
      <c r="CQ186">
        <v>0</v>
      </c>
      <c r="CR186">
        <v>0</v>
      </c>
      <c r="CS186">
        <v>0</v>
      </c>
      <c r="CT186" cm="1">
        <f t="array" ref="CT186:DD186">VLOOKUP(A186,velocity_pitchers_2019!A:N,{3,4,5,6,7,8,9,10,11,12,13},FALSE)</f>
        <v>57.1</v>
      </c>
      <c r="CU186">
        <v>91.1</v>
      </c>
      <c r="CV186">
        <v>85.1</v>
      </c>
      <c r="CW186">
        <v>0</v>
      </c>
      <c r="CX186">
        <v>0</v>
      </c>
      <c r="CY186">
        <v>87.9</v>
      </c>
      <c r="CZ186">
        <v>84.2</v>
      </c>
      <c r="DA186">
        <v>0</v>
      </c>
      <c r="DB186">
        <v>0</v>
      </c>
      <c r="DC186">
        <v>0</v>
      </c>
      <c r="DD186">
        <v>0</v>
      </c>
    </row>
    <row r="187" spans="1:108" x14ac:dyDescent="0.3">
      <c r="A187" t="s">
        <v>224</v>
      </c>
      <c r="B187" t="str" cm="1">
        <f t="array" ref="B187:Y187">VLOOKUP(A187,standard_pitchers_2019!A:Y,{2,3,4,5,6,7,8,9,10,11,12,13,14,15,16,17,18,19,20,21,22,23,24,25},FALSE)</f>
        <v>Mets</v>
      </c>
      <c r="C187">
        <v>11</v>
      </c>
      <c r="D187">
        <v>10</v>
      </c>
      <c r="E187">
        <v>4.21</v>
      </c>
      <c r="F187">
        <v>32</v>
      </c>
      <c r="G187">
        <v>30</v>
      </c>
      <c r="H187">
        <v>1</v>
      </c>
      <c r="I187">
        <v>1</v>
      </c>
      <c r="J187">
        <v>0</v>
      </c>
      <c r="K187">
        <v>1</v>
      </c>
      <c r="L187">
        <v>0</v>
      </c>
      <c r="M187">
        <v>160.1</v>
      </c>
      <c r="N187">
        <v>691</v>
      </c>
      <c r="O187">
        <v>163</v>
      </c>
      <c r="P187">
        <v>83</v>
      </c>
      <c r="Q187">
        <v>75</v>
      </c>
      <c r="R187">
        <v>27</v>
      </c>
      <c r="S187">
        <v>52</v>
      </c>
      <c r="T187">
        <v>7</v>
      </c>
      <c r="U187">
        <v>7</v>
      </c>
      <c r="V187">
        <v>3</v>
      </c>
      <c r="W187">
        <v>0</v>
      </c>
      <c r="X187">
        <v>153</v>
      </c>
      <c r="Y187">
        <v>13361</v>
      </c>
      <c r="Z187" cm="1">
        <f t="array" ref="Z187:AR187">VLOOKUP(A187,advanced_pitchers_2019!A:Y,{3,4,5,6,7,8,9,10,11,12,13,14,15,16,17,18,19,20,21},FALSE)</f>
        <v>8.59</v>
      </c>
      <c r="AA187">
        <v>2.92</v>
      </c>
      <c r="AB187">
        <v>2.94</v>
      </c>
      <c r="AC187">
        <v>1.52</v>
      </c>
      <c r="AD187">
        <v>0.221</v>
      </c>
      <c r="AE187">
        <v>7.4999999999999997E-2</v>
      </c>
      <c r="AF187">
        <v>0.14599999999999999</v>
      </c>
      <c r="AG187">
        <v>0.25800000000000001</v>
      </c>
      <c r="AH187">
        <v>1.34</v>
      </c>
      <c r="AI187">
        <v>0.30099999999999999</v>
      </c>
      <c r="AJ187">
        <v>0.755</v>
      </c>
      <c r="AK187">
        <v>102</v>
      </c>
      <c r="AL187">
        <v>106</v>
      </c>
      <c r="AM187">
        <v>98</v>
      </c>
      <c r="AN187">
        <v>4.21</v>
      </c>
      <c r="AO187">
        <v>4.5999999999999996</v>
      </c>
      <c r="AP187">
        <v>-0.39</v>
      </c>
      <c r="AQ187">
        <v>4.33</v>
      </c>
      <c r="AR187">
        <v>4.47</v>
      </c>
      <c r="AS187" cm="1">
        <f t="array" ref="AS187:BA187">VLOOKUP(A187,plate_discipline_pitchers_2019!A:L,{3,4,5,6,7,8,9,10,11},FALSE)</f>
        <v>0.28199999999999997</v>
      </c>
      <c r="AT187">
        <v>0.68</v>
      </c>
      <c r="AU187">
        <v>0.46100000000000002</v>
      </c>
      <c r="AV187">
        <v>0.67500000000000004</v>
      </c>
      <c r="AW187">
        <v>0.84799999999999998</v>
      </c>
      <c r="AX187">
        <v>0.79</v>
      </c>
      <c r="AY187">
        <v>0.45</v>
      </c>
      <c r="AZ187">
        <v>0.56399999999999995</v>
      </c>
      <c r="BA187">
        <v>9.7000000000000003E-2</v>
      </c>
      <c r="BB187" cm="1">
        <f t="array" ref="BB187:BP187">VLOOKUP(A187,pitchvalue_pitchers_2019!A:Q,{3,4,5,6,7,8,9,10,11,12,13,14,15,16,17},FALSE)</f>
        <v>-0.9</v>
      </c>
      <c r="BC187">
        <v>-0.6</v>
      </c>
      <c r="BD187">
        <v>0</v>
      </c>
      <c r="BE187">
        <v>-2.6</v>
      </c>
      <c r="BF187">
        <v>2.1</v>
      </c>
      <c r="BG187">
        <v>0</v>
      </c>
      <c r="BH187">
        <v>0</v>
      </c>
      <c r="BI187">
        <v>-0.06</v>
      </c>
      <c r="BJ187">
        <v>-0.16</v>
      </c>
      <c r="BK187">
        <v>0</v>
      </c>
      <c r="BL187">
        <v>-0.66</v>
      </c>
      <c r="BM187">
        <v>0.4</v>
      </c>
      <c r="BN187">
        <v>0</v>
      </c>
      <c r="BO187">
        <v>0</v>
      </c>
      <c r="BP187">
        <v>13361</v>
      </c>
      <c r="BQ187" cm="1">
        <f t="array" ref="BQ187:CH187">VLOOKUP(A187,battedball_pitchers_2019!A:U,{3,4,5,6,7,8,9,10,11,12,13,14,15,16,17,18,19,20},FALSE)</f>
        <v>0.30099999999999999</v>
      </c>
      <c r="BR187">
        <v>1.43</v>
      </c>
      <c r="BS187">
        <v>0.19800000000000001</v>
      </c>
      <c r="BT187">
        <v>0.47099999999999997</v>
      </c>
      <c r="BU187">
        <v>0.33</v>
      </c>
      <c r="BV187">
        <v>6.5000000000000002E-2</v>
      </c>
      <c r="BW187">
        <v>0.17399999999999999</v>
      </c>
      <c r="BX187">
        <v>84</v>
      </c>
      <c r="BY187">
        <v>4.72</v>
      </c>
      <c r="BZ187">
        <v>963</v>
      </c>
      <c r="CA187">
        <v>1739</v>
      </c>
      <c r="CB187">
        <v>2702</v>
      </c>
      <c r="CC187">
        <v>0.38</v>
      </c>
      <c r="CD187">
        <v>0.35099999999999998</v>
      </c>
      <c r="CE187">
        <v>0.26900000000000002</v>
      </c>
      <c r="CF187">
        <v>0.17100000000000001</v>
      </c>
      <c r="CG187">
        <v>0.46300000000000002</v>
      </c>
      <c r="CH187">
        <v>0.36499999999999999</v>
      </c>
      <c r="CI187" cm="1">
        <f t="array" ref="CI187:CS187">VLOOKUP(A187,verticalmove_pitchers_2019!A:N,{3,4,5,6,7,8,9,10,11,12,13},FALSE)</f>
        <v>160.1</v>
      </c>
      <c r="CJ187">
        <v>-2.4</v>
      </c>
      <c r="CK187">
        <v>0</v>
      </c>
      <c r="CL187">
        <v>0</v>
      </c>
      <c r="CM187">
        <v>5.7</v>
      </c>
      <c r="CN187">
        <v>0.8</v>
      </c>
      <c r="CO187">
        <v>2.4</v>
      </c>
      <c r="CP187">
        <v>-5.6</v>
      </c>
      <c r="CQ187">
        <v>0</v>
      </c>
      <c r="CR187">
        <v>0</v>
      </c>
      <c r="CS187">
        <v>0</v>
      </c>
      <c r="CT187" cm="1">
        <f t="array" ref="CT187:DD187">VLOOKUP(A187,velocity_pitchers_2019!A:N,{3,4,5,6,7,8,9,10,11,12,13},FALSE)</f>
        <v>160.1</v>
      </c>
      <c r="CU187">
        <v>81.2</v>
      </c>
      <c r="CV187">
        <v>0</v>
      </c>
      <c r="CW187">
        <v>0</v>
      </c>
      <c r="CX187">
        <v>93.6</v>
      </c>
      <c r="CY187">
        <v>84.5</v>
      </c>
      <c r="CZ187">
        <v>89.7</v>
      </c>
      <c r="DA187">
        <v>78.7</v>
      </c>
      <c r="DB187">
        <v>0</v>
      </c>
      <c r="DC187">
        <v>0</v>
      </c>
      <c r="DD187">
        <v>0</v>
      </c>
    </row>
    <row r="188" spans="1:108" x14ac:dyDescent="0.3">
      <c r="A188" t="s">
        <v>239</v>
      </c>
      <c r="B188" t="str" cm="1">
        <f t="array" ref="B188:Y188">VLOOKUP(A188,standard_pitchers_2019!A:Y,{2,3,4,5,6,7,8,9,10,11,12,13,14,15,16,17,18,19,20,21,22,23,24,25},FALSE)</f>
        <v>Blue Jays</v>
      </c>
      <c r="C188">
        <v>5</v>
      </c>
      <c r="D188">
        <v>5</v>
      </c>
      <c r="E188">
        <v>4.38</v>
      </c>
      <c r="F188">
        <v>16</v>
      </c>
      <c r="G188">
        <v>13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78</v>
      </c>
      <c r="N188">
        <v>335</v>
      </c>
      <c r="O188">
        <v>75</v>
      </c>
      <c r="P188">
        <v>43</v>
      </c>
      <c r="Q188">
        <v>38</v>
      </c>
      <c r="R188">
        <v>12</v>
      </c>
      <c r="S188">
        <v>29</v>
      </c>
      <c r="T188">
        <v>0</v>
      </c>
      <c r="U188">
        <v>5</v>
      </c>
      <c r="V188">
        <v>2</v>
      </c>
      <c r="W188">
        <v>0</v>
      </c>
      <c r="X188">
        <v>63</v>
      </c>
      <c r="Y188">
        <v>18318</v>
      </c>
      <c r="Z188" cm="1">
        <f t="array" ref="Z188:AR188">VLOOKUP(A188,advanced_pitchers_2019!A:Y,{3,4,5,6,7,8,9,10,11,12,13,14,15,16,17,18,19,20,21},FALSE)</f>
        <v>7.27</v>
      </c>
      <c r="AA188">
        <v>3.35</v>
      </c>
      <c r="AB188">
        <v>2.17</v>
      </c>
      <c r="AC188">
        <v>1.38</v>
      </c>
      <c r="AD188">
        <v>0.188</v>
      </c>
      <c r="AE188">
        <v>8.6999999999999994E-2</v>
      </c>
      <c r="AF188">
        <v>0.10100000000000001</v>
      </c>
      <c r="AG188">
        <v>0.249</v>
      </c>
      <c r="AH188">
        <v>1.33</v>
      </c>
      <c r="AI188">
        <v>0.27900000000000003</v>
      </c>
      <c r="AJ188">
        <v>0.71599999999999997</v>
      </c>
      <c r="AK188">
        <v>95</v>
      </c>
      <c r="AL188">
        <v>106</v>
      </c>
      <c r="AM188">
        <v>114</v>
      </c>
      <c r="AN188">
        <v>4.38</v>
      </c>
      <c r="AO188">
        <v>4.91</v>
      </c>
      <c r="AP188">
        <v>-0.52</v>
      </c>
      <c r="AQ188">
        <v>5.2</v>
      </c>
      <c r="AR188">
        <v>5.05</v>
      </c>
      <c r="AS188" cm="1">
        <f t="array" ref="AS188:BA188">VLOOKUP(A188,plate_discipline_pitchers_2019!A:L,{3,4,5,6,7,8,9,10,11},FALSE)</f>
        <v>0.32100000000000001</v>
      </c>
      <c r="AT188">
        <v>0.72499999999999998</v>
      </c>
      <c r="AU188">
        <v>0.48799999999999999</v>
      </c>
      <c r="AV188">
        <v>0.68</v>
      </c>
      <c r="AW188">
        <v>0.88500000000000001</v>
      </c>
      <c r="AX188">
        <v>0.80600000000000005</v>
      </c>
      <c r="AY188">
        <v>0.41499999999999998</v>
      </c>
      <c r="AZ188">
        <v>0.59099999999999997</v>
      </c>
      <c r="BA188">
        <v>9.5000000000000001E-2</v>
      </c>
      <c r="BB188" cm="1">
        <f t="array" ref="BB188:BP188">VLOOKUP(A188,pitchvalue_pitchers_2019!A:Q,{3,4,5,6,7,8,9,10,11,12,13,14,15,16,17},FALSE)</f>
        <v>-0.9</v>
      </c>
      <c r="BC188">
        <v>-2.7</v>
      </c>
      <c r="BD188">
        <v>1.2</v>
      </c>
      <c r="BE188">
        <v>0.9</v>
      </c>
      <c r="BF188">
        <v>0.7</v>
      </c>
      <c r="BG188">
        <v>0</v>
      </c>
      <c r="BH188">
        <v>0</v>
      </c>
      <c r="BI188">
        <v>-0.14000000000000001</v>
      </c>
      <c r="BJ188">
        <v>-3.81</v>
      </c>
      <c r="BK188">
        <v>0.37</v>
      </c>
      <c r="BL188">
        <v>0.47</v>
      </c>
      <c r="BM188">
        <v>0.6</v>
      </c>
      <c r="BN188">
        <v>0</v>
      </c>
      <c r="BO188">
        <v>0</v>
      </c>
      <c r="BP188">
        <v>18318</v>
      </c>
      <c r="BQ188" cm="1">
        <f t="array" ref="BQ188:CH188">VLOOKUP(A188,battedball_pitchers_2019!A:U,{3,4,5,6,7,8,9,10,11,12,13,14,15,16,17,18,19,20},FALSE)</f>
        <v>0.27900000000000003</v>
      </c>
      <c r="BR188">
        <v>1.07</v>
      </c>
      <c r="BS188">
        <v>0.218</v>
      </c>
      <c r="BT188">
        <v>0.40300000000000002</v>
      </c>
      <c r="BU188">
        <v>0.378</v>
      </c>
      <c r="BV188">
        <v>0.111</v>
      </c>
      <c r="BW188">
        <v>0.13300000000000001</v>
      </c>
      <c r="BX188">
        <v>38</v>
      </c>
      <c r="BY188">
        <v>4.38</v>
      </c>
      <c r="BZ188">
        <v>491</v>
      </c>
      <c r="CA188">
        <v>842</v>
      </c>
      <c r="CB188">
        <v>1333</v>
      </c>
      <c r="CC188">
        <v>0.433</v>
      </c>
      <c r="CD188">
        <v>0.32400000000000001</v>
      </c>
      <c r="CE188">
        <v>0.24399999999999999</v>
      </c>
      <c r="CF188">
        <v>0.17199999999999999</v>
      </c>
      <c r="CG188">
        <v>0.441</v>
      </c>
      <c r="CH188">
        <v>0.38700000000000001</v>
      </c>
      <c r="CI188" cm="1">
        <f t="array" ref="CI188:CS188">VLOOKUP(A188,verticalmove_pitchers_2019!A:N,{3,4,5,6,7,8,9,10,11,12,13},FALSE)</f>
        <v>78</v>
      </c>
      <c r="CJ188">
        <v>9.1999999999999993</v>
      </c>
      <c r="CK188">
        <v>4.7</v>
      </c>
      <c r="CL188">
        <v>0</v>
      </c>
      <c r="CM188">
        <v>8.5</v>
      </c>
      <c r="CN188">
        <v>7</v>
      </c>
      <c r="CO188">
        <v>0.9</v>
      </c>
      <c r="CP188">
        <v>-3.9</v>
      </c>
      <c r="CQ188">
        <v>0</v>
      </c>
      <c r="CR188">
        <v>0</v>
      </c>
      <c r="CS188">
        <v>0</v>
      </c>
      <c r="CT188" cm="1">
        <f t="array" ref="CT188:DD188">VLOOKUP(A188,velocity_pitchers_2019!A:N,{3,4,5,6,7,8,9,10,11,12,13},FALSE)</f>
        <v>78</v>
      </c>
      <c r="CU188">
        <v>92.6</v>
      </c>
      <c r="CV188">
        <v>89.3</v>
      </c>
      <c r="CW188">
        <v>0</v>
      </c>
      <c r="CX188">
        <v>90.4</v>
      </c>
      <c r="CY188">
        <v>83.2</v>
      </c>
      <c r="CZ188">
        <v>85.8</v>
      </c>
      <c r="DA188">
        <v>78.8</v>
      </c>
      <c r="DB188">
        <v>0</v>
      </c>
      <c r="DC188">
        <v>0</v>
      </c>
      <c r="DD188">
        <v>0</v>
      </c>
    </row>
    <row r="189" spans="1:108" x14ac:dyDescent="0.3">
      <c r="A189" t="s">
        <v>236</v>
      </c>
      <c r="B189" t="str" cm="1">
        <f t="array" ref="B189:Y189">VLOOKUP(A189,standard_pitchers_2019!A:Y,{2,3,4,5,6,7,8,9,10,11,12,13,14,15,16,17,18,19,20,21,22,23,24,25},FALSE)</f>
        <v>- - -</v>
      </c>
      <c r="C189">
        <v>10</v>
      </c>
      <c r="D189">
        <v>10</v>
      </c>
      <c r="E189">
        <v>4.3499999999999996</v>
      </c>
      <c r="F189">
        <v>31</v>
      </c>
      <c r="G189">
        <v>31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165.1</v>
      </c>
      <c r="N189">
        <v>722</v>
      </c>
      <c r="O189">
        <v>180</v>
      </c>
      <c r="P189">
        <v>84</v>
      </c>
      <c r="Q189">
        <v>80</v>
      </c>
      <c r="R189">
        <v>28</v>
      </c>
      <c r="S189">
        <v>51</v>
      </c>
      <c r="T189">
        <v>1</v>
      </c>
      <c r="U189">
        <v>13</v>
      </c>
      <c r="V189">
        <v>3</v>
      </c>
      <c r="W189">
        <v>0</v>
      </c>
      <c r="X189">
        <v>158</v>
      </c>
      <c r="Y189">
        <v>8753</v>
      </c>
      <c r="Z189" cm="1">
        <f t="array" ref="Z189:AR189">VLOOKUP(A189,advanced_pitchers_2019!A:Y,{3,4,5,6,7,8,9,10,11,12,13,14,15,16,17,18,19,20,21},FALSE)</f>
        <v>8.6</v>
      </c>
      <c r="AA189">
        <v>2.78</v>
      </c>
      <c r="AB189">
        <v>3.1</v>
      </c>
      <c r="AC189">
        <v>1.52</v>
      </c>
      <c r="AD189">
        <v>0.219</v>
      </c>
      <c r="AE189">
        <v>7.0999999999999994E-2</v>
      </c>
      <c r="AF189">
        <v>0.14799999999999999</v>
      </c>
      <c r="AG189">
        <v>0.27400000000000002</v>
      </c>
      <c r="AH189">
        <v>1.4</v>
      </c>
      <c r="AI189">
        <v>0.32200000000000001</v>
      </c>
      <c r="AJ189">
        <v>0.78100000000000003</v>
      </c>
      <c r="AK189">
        <v>97</v>
      </c>
      <c r="AL189">
        <v>103</v>
      </c>
      <c r="AM189">
        <v>104</v>
      </c>
      <c r="AN189">
        <v>4.3499999999999996</v>
      </c>
      <c r="AO189">
        <v>4.67</v>
      </c>
      <c r="AP189">
        <v>-0.31</v>
      </c>
      <c r="AQ189">
        <v>4.6399999999999997</v>
      </c>
      <c r="AR189">
        <v>4.57</v>
      </c>
      <c r="AS189" cm="1">
        <f t="array" ref="AS189:BA189">VLOOKUP(A189,plate_discipline_pitchers_2019!A:L,{3,4,5,6,7,8,9,10,11},FALSE)</f>
        <v>0.28100000000000003</v>
      </c>
      <c r="AT189">
        <v>0.70799999999999996</v>
      </c>
      <c r="AU189">
        <v>0.45500000000000002</v>
      </c>
      <c r="AV189">
        <v>0.70399999999999996</v>
      </c>
      <c r="AW189">
        <v>0.877</v>
      </c>
      <c r="AX189">
        <v>0.81299999999999994</v>
      </c>
      <c r="AY189">
        <v>0.40600000000000003</v>
      </c>
      <c r="AZ189">
        <v>0.57199999999999995</v>
      </c>
      <c r="BA189">
        <v>8.5000000000000006E-2</v>
      </c>
      <c r="BB189" cm="1">
        <f t="array" ref="BB189:BP189">VLOOKUP(A189,pitchvalue_pitchers_2019!A:Q,{3,4,5,6,7,8,9,10,11,12,13,14,15,16,17},FALSE)</f>
        <v>-0.9</v>
      </c>
      <c r="BC189">
        <v>-0.2</v>
      </c>
      <c r="BD189">
        <v>-2.6</v>
      </c>
      <c r="BE189">
        <v>-4.8</v>
      </c>
      <c r="BF189">
        <v>-0.1</v>
      </c>
      <c r="BG189">
        <v>0</v>
      </c>
      <c r="BH189">
        <v>0</v>
      </c>
      <c r="BI189">
        <v>-0.06</v>
      </c>
      <c r="BJ189">
        <v>-0.03</v>
      </c>
      <c r="BK189">
        <v>-2.0299999999999998</v>
      </c>
      <c r="BL189">
        <v>-1.27</v>
      </c>
      <c r="BM189">
        <v>-0.04</v>
      </c>
      <c r="BN189">
        <v>0</v>
      </c>
      <c r="BO189">
        <v>0</v>
      </c>
      <c r="BP189">
        <v>8753</v>
      </c>
      <c r="BQ189" cm="1">
        <f t="array" ref="BQ189:CH189">VLOOKUP(A189,battedball_pitchers_2019!A:U,{3,4,5,6,7,8,9,10,11,12,13,14,15,16,17,18,19,20},FALSE)</f>
        <v>0.32200000000000001</v>
      </c>
      <c r="BR189">
        <v>0.99</v>
      </c>
      <c r="BS189">
        <v>0.27100000000000002</v>
      </c>
      <c r="BT189">
        <v>0.36199999999999999</v>
      </c>
      <c r="BU189">
        <v>0.36599999999999999</v>
      </c>
      <c r="BV189">
        <v>9.4E-2</v>
      </c>
      <c r="BW189">
        <v>0.155</v>
      </c>
      <c r="BX189">
        <v>108</v>
      </c>
      <c r="BY189">
        <v>5.88</v>
      </c>
      <c r="BZ189">
        <v>1147</v>
      </c>
      <c r="CA189">
        <v>1845</v>
      </c>
      <c r="CB189">
        <v>2992</v>
      </c>
      <c r="CC189">
        <v>0.39300000000000002</v>
      </c>
      <c r="CD189">
        <v>0.34100000000000003</v>
      </c>
      <c r="CE189">
        <v>0.26700000000000002</v>
      </c>
      <c r="CF189">
        <v>0.152</v>
      </c>
      <c r="CG189">
        <v>0.47899999999999998</v>
      </c>
      <c r="CH189">
        <v>0.36899999999999999</v>
      </c>
      <c r="CI189" cm="1">
        <f t="array" ref="CI189:CS189">VLOOKUP(A189,verticalmove_pitchers_2019!A:N,{3,4,5,6,7,8,9,10,11,12,13},FALSE)</f>
        <v>165.1</v>
      </c>
      <c r="CJ189">
        <v>9.4</v>
      </c>
      <c r="CK189">
        <v>4.5999999999999996</v>
      </c>
      <c r="CL189">
        <v>0</v>
      </c>
      <c r="CM189">
        <v>7.6</v>
      </c>
      <c r="CN189">
        <v>5.2</v>
      </c>
      <c r="CO189">
        <v>2.6</v>
      </c>
      <c r="CP189">
        <v>-9.4</v>
      </c>
      <c r="CQ189">
        <v>0</v>
      </c>
      <c r="CR189">
        <v>0</v>
      </c>
      <c r="CS189">
        <v>0</v>
      </c>
      <c r="CT189" cm="1">
        <f t="array" ref="CT189:DD189">VLOOKUP(A189,velocity_pitchers_2019!A:N,{3,4,5,6,7,8,9,10,11,12,13},FALSE)</f>
        <v>165.1</v>
      </c>
      <c r="CU189">
        <v>92.3</v>
      </c>
      <c r="CV189">
        <v>88.1</v>
      </c>
      <c r="CW189">
        <v>0</v>
      </c>
      <c r="CX189">
        <v>92.1</v>
      </c>
      <c r="CY189">
        <v>84.3</v>
      </c>
      <c r="CZ189">
        <v>86.1</v>
      </c>
      <c r="DA189">
        <v>75.900000000000006</v>
      </c>
      <c r="DB189">
        <v>0</v>
      </c>
      <c r="DC189">
        <v>0</v>
      </c>
      <c r="DD189">
        <v>0</v>
      </c>
    </row>
    <row r="190" spans="1:108" x14ac:dyDescent="0.3">
      <c r="A190" t="s">
        <v>261</v>
      </c>
      <c r="B190" t="str" cm="1">
        <f t="array" ref="B190:Y190">VLOOKUP(A190,standard_pitchers_2019!A:Y,{2,3,4,5,6,7,8,9,10,11,12,13,14,15,16,17,18,19,20,21,22,23,24,25},FALSE)</f>
        <v>- - -</v>
      </c>
      <c r="C190">
        <v>3</v>
      </c>
      <c r="D190">
        <v>4</v>
      </c>
      <c r="E190">
        <v>4.5599999999999996</v>
      </c>
      <c r="F190">
        <v>59</v>
      </c>
      <c r="G190">
        <v>0</v>
      </c>
      <c r="H190">
        <v>0</v>
      </c>
      <c r="I190">
        <v>0</v>
      </c>
      <c r="J190">
        <v>4</v>
      </c>
      <c r="K190">
        <v>17</v>
      </c>
      <c r="L190">
        <v>3</v>
      </c>
      <c r="M190">
        <v>53.1</v>
      </c>
      <c r="N190">
        <v>234</v>
      </c>
      <c r="O190">
        <v>52</v>
      </c>
      <c r="P190">
        <v>30</v>
      </c>
      <c r="Q190">
        <v>27</v>
      </c>
      <c r="R190">
        <v>12</v>
      </c>
      <c r="S190">
        <v>27</v>
      </c>
      <c r="T190">
        <v>3</v>
      </c>
      <c r="U190">
        <v>0</v>
      </c>
      <c r="V190">
        <v>2</v>
      </c>
      <c r="W190">
        <v>0</v>
      </c>
      <c r="X190">
        <v>52</v>
      </c>
      <c r="Y190">
        <v>7466</v>
      </c>
      <c r="Z190" cm="1">
        <f t="array" ref="Z190:AR190">VLOOKUP(A190,advanced_pitchers_2019!A:Y,{3,4,5,6,7,8,9,10,11,12,13,14,15,16,17,18,19,20,21},FALSE)</f>
        <v>8.7799999999999994</v>
      </c>
      <c r="AA190">
        <v>4.5599999999999996</v>
      </c>
      <c r="AB190">
        <v>1.93</v>
      </c>
      <c r="AC190">
        <v>2.0299999999999998</v>
      </c>
      <c r="AD190">
        <v>0.222</v>
      </c>
      <c r="AE190">
        <v>0.115</v>
      </c>
      <c r="AF190">
        <v>0.107</v>
      </c>
      <c r="AG190">
        <v>0.251</v>
      </c>
      <c r="AH190">
        <v>1.48</v>
      </c>
      <c r="AI190">
        <v>0.28000000000000003</v>
      </c>
      <c r="AJ190">
        <v>0.78800000000000003</v>
      </c>
      <c r="AK190">
        <v>103</v>
      </c>
      <c r="AL190">
        <v>129</v>
      </c>
      <c r="AM190">
        <v>107</v>
      </c>
      <c r="AN190">
        <v>4.5599999999999996</v>
      </c>
      <c r="AO190">
        <v>5.71</v>
      </c>
      <c r="AP190">
        <v>-1.1499999999999999</v>
      </c>
      <c r="AQ190">
        <v>4.76</v>
      </c>
      <c r="AR190">
        <v>4.6500000000000004</v>
      </c>
      <c r="AS190" cm="1">
        <f t="array" ref="AS190:BA190">VLOOKUP(A190,plate_discipline_pitchers_2019!A:L,{3,4,5,6,7,8,9,10,11},FALSE)</f>
        <v>0.29299999999999998</v>
      </c>
      <c r="AT190">
        <v>0.67900000000000005</v>
      </c>
      <c r="AU190">
        <v>0.441</v>
      </c>
      <c r="AV190">
        <v>0.55300000000000005</v>
      </c>
      <c r="AW190">
        <v>0.85299999999999998</v>
      </c>
      <c r="AX190">
        <v>0.73</v>
      </c>
      <c r="AY190">
        <v>0.38400000000000001</v>
      </c>
      <c r="AZ190">
        <v>0.58499999999999996</v>
      </c>
      <c r="BA190">
        <v>0.11899999999999999</v>
      </c>
      <c r="BB190" cm="1">
        <f t="array" ref="BB190:BP190">VLOOKUP(A190,pitchvalue_pitchers_2019!A:Q,{3,4,5,6,7,8,9,10,11,12,13,14,15,16,17},FALSE)</f>
        <v>-1</v>
      </c>
      <c r="BC190">
        <v>0.6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-0.25</v>
      </c>
      <c r="BJ190">
        <v>0.1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7466</v>
      </c>
      <c r="BQ190" cm="1">
        <f t="array" ref="BQ190:CH190">VLOOKUP(A190,battedball_pitchers_2019!A:U,{3,4,5,6,7,8,9,10,11,12,13,14,15,16,17,18,19,20},FALSE)</f>
        <v>0.28000000000000003</v>
      </c>
      <c r="BR190">
        <v>1.32</v>
      </c>
      <c r="BS190">
        <v>0.19600000000000001</v>
      </c>
      <c r="BT190">
        <v>0.45800000000000002</v>
      </c>
      <c r="BU190">
        <v>0.34599999999999997</v>
      </c>
      <c r="BV190">
        <v>0.151</v>
      </c>
      <c r="BW190">
        <v>0.22600000000000001</v>
      </c>
      <c r="BX190">
        <v>27</v>
      </c>
      <c r="BY190">
        <v>4.5599999999999996</v>
      </c>
      <c r="BZ190">
        <v>375</v>
      </c>
      <c r="CA190">
        <v>566</v>
      </c>
      <c r="CB190">
        <v>941</v>
      </c>
      <c r="CC190">
        <v>0.44500000000000001</v>
      </c>
      <c r="CD190">
        <v>0.27700000000000002</v>
      </c>
      <c r="CE190">
        <v>0.27700000000000002</v>
      </c>
      <c r="CF190">
        <v>0.161</v>
      </c>
      <c r="CG190">
        <v>0.432</v>
      </c>
      <c r="CH190">
        <v>0.40600000000000003</v>
      </c>
      <c r="CI190" cm="1">
        <f t="array" ref="CI190:CS190">VLOOKUP(A190,verticalmove_pitchers_2019!A:N,{3,4,5,6,7,8,9,10,11,12,13},FALSE)</f>
        <v>53.1</v>
      </c>
      <c r="CJ190">
        <v>9.1999999999999993</v>
      </c>
      <c r="CK190">
        <v>0</v>
      </c>
      <c r="CL190">
        <v>0</v>
      </c>
      <c r="CM190">
        <v>7</v>
      </c>
      <c r="CN190">
        <v>0</v>
      </c>
      <c r="CO190">
        <v>1.3</v>
      </c>
      <c r="CP190">
        <v>0</v>
      </c>
      <c r="CQ190">
        <v>0</v>
      </c>
      <c r="CR190">
        <v>0</v>
      </c>
      <c r="CS190">
        <v>0</v>
      </c>
      <c r="CT190" cm="1">
        <f t="array" ref="CT190:DD190">VLOOKUP(A190,velocity_pitchers_2019!A:N,{3,4,5,6,7,8,9,10,11,12,13},FALSE)</f>
        <v>53.1</v>
      </c>
      <c r="CU190">
        <v>93.7</v>
      </c>
      <c r="CV190">
        <v>0</v>
      </c>
      <c r="CW190">
        <v>0</v>
      </c>
      <c r="CX190">
        <v>92.2</v>
      </c>
      <c r="CY190">
        <v>0</v>
      </c>
      <c r="CZ190">
        <v>86.3</v>
      </c>
      <c r="DA190">
        <v>0</v>
      </c>
      <c r="DB190">
        <v>0</v>
      </c>
      <c r="DC190">
        <v>0</v>
      </c>
      <c r="DD190">
        <v>0</v>
      </c>
    </row>
    <row r="191" spans="1:108" x14ac:dyDescent="0.3">
      <c r="A191" t="s">
        <v>315</v>
      </c>
      <c r="B191" t="str" cm="1">
        <f t="array" ref="B191:Y191">VLOOKUP(A191,standard_pitchers_2019!A:Y,{2,3,4,5,6,7,8,9,10,11,12,13,14,15,16,17,18,19,20,21,22,23,24,25},FALSE)</f>
        <v>Giants</v>
      </c>
      <c r="C191">
        <v>5</v>
      </c>
      <c r="D191">
        <v>10</v>
      </c>
      <c r="E191">
        <v>5.08</v>
      </c>
      <c r="F191">
        <v>24</v>
      </c>
      <c r="G191">
        <v>22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117</v>
      </c>
      <c r="N191">
        <v>523</v>
      </c>
      <c r="O191">
        <v>127</v>
      </c>
      <c r="P191">
        <v>70</v>
      </c>
      <c r="Q191">
        <v>66</v>
      </c>
      <c r="R191">
        <v>22</v>
      </c>
      <c r="S191">
        <v>46</v>
      </c>
      <c r="T191">
        <v>1</v>
      </c>
      <c r="U191">
        <v>5</v>
      </c>
      <c r="V191">
        <v>9</v>
      </c>
      <c r="W191">
        <v>0</v>
      </c>
      <c r="X191">
        <v>113</v>
      </c>
      <c r="Y191">
        <v>16981</v>
      </c>
      <c r="Z191" cm="1">
        <f t="array" ref="Z191:AR191">VLOOKUP(A191,advanced_pitchers_2019!A:Y,{3,4,5,6,7,8,9,10,11,12,13,14,15,16,17,18,19,20,21},FALSE)</f>
        <v>8.69</v>
      </c>
      <c r="AA191">
        <v>3.54</v>
      </c>
      <c r="AB191">
        <v>2.46</v>
      </c>
      <c r="AC191">
        <v>1.69</v>
      </c>
      <c r="AD191">
        <v>0.216</v>
      </c>
      <c r="AE191">
        <v>8.7999999999999995E-2</v>
      </c>
      <c r="AF191">
        <v>0.128</v>
      </c>
      <c r="AG191">
        <v>0.26900000000000002</v>
      </c>
      <c r="AH191">
        <v>1.48</v>
      </c>
      <c r="AI191">
        <v>0.312</v>
      </c>
      <c r="AJ191">
        <v>0.73399999999999999</v>
      </c>
      <c r="AK191">
        <v>121</v>
      </c>
      <c r="AL191">
        <v>120</v>
      </c>
      <c r="AM191">
        <v>104</v>
      </c>
      <c r="AN191">
        <v>5.08</v>
      </c>
      <c r="AO191">
        <v>5.03</v>
      </c>
      <c r="AP191">
        <v>0.04</v>
      </c>
      <c r="AQ191">
        <v>4.63</v>
      </c>
      <c r="AR191">
        <v>4.71</v>
      </c>
      <c r="AS191" cm="1">
        <f t="array" ref="AS191:BA191">VLOOKUP(A191,plate_discipline_pitchers_2019!A:L,{3,4,5,6,7,8,9,10,11},FALSE)</f>
        <v>0.29099999999999998</v>
      </c>
      <c r="AT191">
        <v>0.70299999999999996</v>
      </c>
      <c r="AU191">
        <v>0.46</v>
      </c>
      <c r="AV191">
        <v>0.54300000000000004</v>
      </c>
      <c r="AW191">
        <v>0.88400000000000001</v>
      </c>
      <c r="AX191">
        <v>0.75600000000000001</v>
      </c>
      <c r="AY191">
        <v>0.41</v>
      </c>
      <c r="AZ191">
        <v>0.65600000000000003</v>
      </c>
      <c r="BA191">
        <v>0.112</v>
      </c>
      <c r="BB191" cm="1">
        <f t="array" ref="BB191:BP191">VLOOKUP(A191,pitchvalue_pitchers_2019!A:Q,{3,4,5,6,7,8,9,10,11,12,13,14,15,16,17},FALSE)</f>
        <v>-1</v>
      </c>
      <c r="BC191">
        <v>-1.6</v>
      </c>
      <c r="BD191">
        <v>0</v>
      </c>
      <c r="BE191">
        <v>0.3</v>
      </c>
      <c r="BF191">
        <v>-6.8</v>
      </c>
      <c r="BG191">
        <v>0</v>
      </c>
      <c r="BH191">
        <v>0</v>
      </c>
      <c r="BI191">
        <v>-0.09</v>
      </c>
      <c r="BJ191">
        <v>-0.69</v>
      </c>
      <c r="BK191">
        <v>0</v>
      </c>
      <c r="BL191">
        <v>0.11</v>
      </c>
      <c r="BM191">
        <v>-1.79</v>
      </c>
      <c r="BN191">
        <v>0</v>
      </c>
      <c r="BO191">
        <v>0</v>
      </c>
      <c r="BP191">
        <v>16981</v>
      </c>
      <c r="BQ191" cm="1">
        <f t="array" ref="BQ191:CH191">VLOOKUP(A191,battedball_pitchers_2019!A:U,{3,4,5,6,7,8,9,10,11,12,13,14,15,16,17,18,19,20},FALSE)</f>
        <v>0.312</v>
      </c>
      <c r="BR191">
        <v>1.3</v>
      </c>
      <c r="BS191">
        <v>0.223</v>
      </c>
      <c r="BT191">
        <v>0.439</v>
      </c>
      <c r="BU191">
        <v>0.33800000000000002</v>
      </c>
      <c r="BV191">
        <v>3.3000000000000002E-2</v>
      </c>
      <c r="BW191">
        <v>0.183</v>
      </c>
      <c r="BX191">
        <v>49</v>
      </c>
      <c r="BY191">
        <v>3.77</v>
      </c>
      <c r="BZ191">
        <v>765</v>
      </c>
      <c r="CA191">
        <v>1263</v>
      </c>
      <c r="CB191">
        <v>2028</v>
      </c>
      <c r="CC191">
        <v>0.40699999999999997</v>
      </c>
      <c r="CD191">
        <v>0.34799999999999998</v>
      </c>
      <c r="CE191">
        <v>0.245</v>
      </c>
      <c r="CF191">
        <v>0.125</v>
      </c>
      <c r="CG191">
        <v>0.40899999999999997</v>
      </c>
      <c r="CH191">
        <v>0.46500000000000002</v>
      </c>
      <c r="CI191" cm="1">
        <f t="array" ref="CI191:CS191">VLOOKUP(A191,verticalmove_pitchers_2019!A:N,{3,4,5,6,7,8,9,10,11,12,13},FALSE)</f>
        <v>117</v>
      </c>
      <c r="CJ191">
        <v>7.6</v>
      </c>
      <c r="CK191">
        <v>1</v>
      </c>
      <c r="CL191">
        <v>0</v>
      </c>
      <c r="CM191">
        <v>0</v>
      </c>
      <c r="CN191">
        <v>1.7</v>
      </c>
      <c r="CO191">
        <v>0.8</v>
      </c>
      <c r="CP191">
        <v>-9.1</v>
      </c>
      <c r="CQ191">
        <v>0</v>
      </c>
      <c r="CR191">
        <v>7.9</v>
      </c>
      <c r="CS191">
        <v>0</v>
      </c>
      <c r="CT191" cm="1">
        <f t="array" ref="CT191:DD191">VLOOKUP(A191,velocity_pitchers_2019!A:N,{3,4,5,6,7,8,9,10,11,12,13},FALSE)</f>
        <v>117</v>
      </c>
      <c r="CU191">
        <v>94.4</v>
      </c>
      <c r="CV191">
        <v>86.3</v>
      </c>
      <c r="CW191">
        <v>0</v>
      </c>
      <c r="CX191">
        <v>0</v>
      </c>
      <c r="CY191">
        <v>84.1</v>
      </c>
      <c r="CZ191">
        <v>86.6</v>
      </c>
      <c r="DA191">
        <v>80.400000000000006</v>
      </c>
      <c r="DB191">
        <v>0</v>
      </c>
      <c r="DC191">
        <v>95.1</v>
      </c>
      <c r="DD191">
        <v>0</v>
      </c>
    </row>
    <row r="192" spans="1:108" x14ac:dyDescent="0.3">
      <c r="A192" t="s">
        <v>300</v>
      </c>
      <c r="B192" t="str" cm="1">
        <f t="array" ref="B192:Y192">VLOOKUP(A192,standard_pitchers_2019!A:Y,{2,3,4,5,6,7,8,9,10,11,12,13,14,15,16,17,18,19,20,21,22,23,24,25},FALSE)</f>
        <v>Red Sox</v>
      </c>
      <c r="C192">
        <v>2</v>
      </c>
      <c r="D192">
        <v>4</v>
      </c>
      <c r="E192">
        <v>4.8499999999999996</v>
      </c>
      <c r="F192">
        <v>62</v>
      </c>
      <c r="G192">
        <v>0</v>
      </c>
      <c r="H192">
        <v>0</v>
      </c>
      <c r="I192">
        <v>0</v>
      </c>
      <c r="J192">
        <v>7</v>
      </c>
      <c r="K192">
        <v>9</v>
      </c>
      <c r="L192">
        <v>4</v>
      </c>
      <c r="M192">
        <v>55.2</v>
      </c>
      <c r="N192">
        <v>241</v>
      </c>
      <c r="O192">
        <v>51</v>
      </c>
      <c r="P192">
        <v>33</v>
      </c>
      <c r="Q192">
        <v>30</v>
      </c>
      <c r="R192">
        <v>9</v>
      </c>
      <c r="S192">
        <v>21</v>
      </c>
      <c r="T192">
        <v>1</v>
      </c>
      <c r="U192">
        <v>3</v>
      </c>
      <c r="V192">
        <v>3</v>
      </c>
      <c r="W192">
        <v>0</v>
      </c>
      <c r="X192">
        <v>61</v>
      </c>
      <c r="Y192">
        <v>5615</v>
      </c>
      <c r="Z192" cm="1">
        <f t="array" ref="Z192:AR192">VLOOKUP(A192,advanced_pitchers_2019!A:Y,{3,4,5,6,7,8,9,10,11,12,13,14,15,16,17,18,19,20,21},FALSE)</f>
        <v>9.86</v>
      </c>
      <c r="AA192">
        <v>3.4</v>
      </c>
      <c r="AB192">
        <v>2.9</v>
      </c>
      <c r="AC192">
        <v>1.46</v>
      </c>
      <c r="AD192">
        <v>0.253</v>
      </c>
      <c r="AE192">
        <v>8.6999999999999994E-2</v>
      </c>
      <c r="AF192">
        <v>0.16600000000000001</v>
      </c>
      <c r="AG192">
        <v>0.23499999999999999</v>
      </c>
      <c r="AH192">
        <v>1.29</v>
      </c>
      <c r="AI192">
        <v>0.28599999999999998</v>
      </c>
      <c r="AJ192">
        <v>0.67300000000000004</v>
      </c>
      <c r="AK192">
        <v>100</v>
      </c>
      <c r="AL192">
        <v>98</v>
      </c>
      <c r="AM192">
        <v>107</v>
      </c>
      <c r="AN192">
        <v>4.8499999999999996</v>
      </c>
      <c r="AO192">
        <v>4.42</v>
      </c>
      <c r="AP192">
        <v>0.43</v>
      </c>
      <c r="AQ192">
        <v>4.8899999999999997</v>
      </c>
      <c r="AR192">
        <v>4.0999999999999996</v>
      </c>
      <c r="AS192" cm="1">
        <f t="array" ref="AS192:BA192">VLOOKUP(A192,plate_discipline_pitchers_2019!A:L,{3,4,5,6,7,8,9,10,11},FALSE)</f>
        <v>0.378</v>
      </c>
      <c r="AT192">
        <v>0.74299999999999999</v>
      </c>
      <c r="AU192">
        <v>0.52900000000000003</v>
      </c>
      <c r="AV192">
        <v>0.53900000000000003</v>
      </c>
      <c r="AW192">
        <v>0.83299999999999996</v>
      </c>
      <c r="AX192">
        <v>0.71</v>
      </c>
      <c r="AY192">
        <v>0.41299999999999998</v>
      </c>
      <c r="AZ192">
        <v>0.64700000000000002</v>
      </c>
      <c r="BA192">
        <v>0.153</v>
      </c>
      <c r="BB192" cm="1">
        <f t="array" ref="BB192:BP192">VLOOKUP(A192,pitchvalue_pitchers_2019!A:Q,{3,4,5,6,7,8,9,10,11,12,13,14,15,16,17},FALSE)</f>
        <v>-1.1000000000000001</v>
      </c>
      <c r="BC192">
        <v>5.2</v>
      </c>
      <c r="BD192">
        <v>0</v>
      </c>
      <c r="BE192">
        <v>0</v>
      </c>
      <c r="BF192">
        <v>-1.7</v>
      </c>
      <c r="BG192">
        <v>0</v>
      </c>
      <c r="BH192">
        <v>0</v>
      </c>
      <c r="BI192">
        <v>-0.19</v>
      </c>
      <c r="BJ192">
        <v>1.68</v>
      </c>
      <c r="BK192">
        <v>0</v>
      </c>
      <c r="BL192">
        <v>0</v>
      </c>
      <c r="BM192">
        <v>-2.0099999999999998</v>
      </c>
      <c r="BN192">
        <v>0</v>
      </c>
      <c r="BO192">
        <v>0</v>
      </c>
      <c r="BP192">
        <v>5615</v>
      </c>
      <c r="BQ192" cm="1">
        <f t="array" ref="BQ192:CH192">VLOOKUP(A192,battedball_pitchers_2019!A:U,{3,4,5,6,7,8,9,10,11,12,13,14,15,16,17,18,19,20},FALSE)</f>
        <v>0.28599999999999998</v>
      </c>
      <c r="BR192">
        <v>0.68</v>
      </c>
      <c r="BS192">
        <v>0.214</v>
      </c>
      <c r="BT192">
        <v>0.318</v>
      </c>
      <c r="BU192">
        <v>0.46800000000000003</v>
      </c>
      <c r="BV192">
        <v>0.125</v>
      </c>
      <c r="BW192">
        <v>0.125</v>
      </c>
      <c r="BX192">
        <v>34</v>
      </c>
      <c r="BY192">
        <v>5.5</v>
      </c>
      <c r="BZ192">
        <v>334</v>
      </c>
      <c r="CA192">
        <v>644</v>
      </c>
      <c r="CB192">
        <v>978</v>
      </c>
      <c r="CC192">
        <v>0.436</v>
      </c>
      <c r="CD192">
        <v>0.38500000000000001</v>
      </c>
      <c r="CE192">
        <v>0.17899999999999999</v>
      </c>
      <c r="CF192">
        <v>0.186</v>
      </c>
      <c r="CG192">
        <v>0.42299999999999999</v>
      </c>
      <c r="CH192">
        <v>0.39100000000000001</v>
      </c>
      <c r="CI192" cm="1">
        <f t="array" ref="CI192:CS192">VLOOKUP(A192,verticalmove_pitchers_2019!A:N,{3,4,5,6,7,8,9,10,11,12,13},FALSE)</f>
        <v>55.2</v>
      </c>
      <c r="CJ192">
        <v>9</v>
      </c>
      <c r="CK192">
        <v>0</v>
      </c>
      <c r="CL192">
        <v>0</v>
      </c>
      <c r="CM192">
        <v>6.8</v>
      </c>
      <c r="CN192">
        <v>3.1</v>
      </c>
      <c r="CO192">
        <v>-0.7</v>
      </c>
      <c r="CP192">
        <v>0</v>
      </c>
      <c r="CQ192">
        <v>0</v>
      </c>
      <c r="CR192">
        <v>0</v>
      </c>
      <c r="CS192">
        <v>0</v>
      </c>
      <c r="CT192" cm="1">
        <f t="array" ref="CT192:DD192">VLOOKUP(A192,velocity_pitchers_2019!A:N,{3,4,5,6,7,8,9,10,11,12,13},FALSE)</f>
        <v>55.2</v>
      </c>
      <c r="CU192">
        <v>96.4</v>
      </c>
      <c r="CV192">
        <v>0</v>
      </c>
      <c r="CW192">
        <v>0</v>
      </c>
      <c r="CX192">
        <v>96.4</v>
      </c>
      <c r="CY192">
        <v>87.8</v>
      </c>
      <c r="CZ192">
        <v>85.5</v>
      </c>
      <c r="DA192">
        <v>0</v>
      </c>
      <c r="DB192">
        <v>0</v>
      </c>
      <c r="DC192">
        <v>0</v>
      </c>
      <c r="DD192">
        <v>0</v>
      </c>
    </row>
    <row r="193" spans="1:108" x14ac:dyDescent="0.3">
      <c r="A193" t="s">
        <v>335</v>
      </c>
      <c r="B193" t="str" cm="1">
        <f t="array" ref="B193:Y193">VLOOKUP(A193,standard_pitchers_2019!A:Y,{2,3,4,5,6,7,8,9,10,11,12,13,14,15,16,17,18,19,20,21,22,23,24,25},FALSE)</f>
        <v>Pirates</v>
      </c>
      <c r="C193">
        <v>7</v>
      </c>
      <c r="D193">
        <v>9</v>
      </c>
      <c r="E193">
        <v>5.38</v>
      </c>
      <c r="F193">
        <v>26</v>
      </c>
      <c r="G193">
        <v>26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145.19999999999999</v>
      </c>
      <c r="N193">
        <v>636</v>
      </c>
      <c r="O193">
        <v>162</v>
      </c>
      <c r="P193">
        <v>93</v>
      </c>
      <c r="Q193">
        <v>87</v>
      </c>
      <c r="R193">
        <v>27</v>
      </c>
      <c r="S193">
        <v>44</v>
      </c>
      <c r="T193">
        <v>3</v>
      </c>
      <c r="U193">
        <v>7</v>
      </c>
      <c r="V193">
        <v>2</v>
      </c>
      <c r="W193">
        <v>0</v>
      </c>
      <c r="X193">
        <v>113</v>
      </c>
      <c r="Y193">
        <v>16977</v>
      </c>
      <c r="Z193" cm="1">
        <f t="array" ref="Z193:AR193">VLOOKUP(A193,advanced_pitchers_2019!A:Y,{3,4,5,6,7,8,9,10,11,12,13,14,15,16,17,18,19,20,21},FALSE)</f>
        <v>6.98</v>
      </c>
      <c r="AA193">
        <v>2.72</v>
      </c>
      <c r="AB193">
        <v>2.57</v>
      </c>
      <c r="AC193">
        <v>1.67</v>
      </c>
      <c r="AD193">
        <v>0.17799999999999999</v>
      </c>
      <c r="AE193">
        <v>6.9000000000000006E-2</v>
      </c>
      <c r="AF193">
        <v>0.108</v>
      </c>
      <c r="AG193">
        <v>0.27700000000000002</v>
      </c>
      <c r="AH193">
        <v>1.41</v>
      </c>
      <c r="AI193">
        <v>0.30299999999999999</v>
      </c>
      <c r="AJ193">
        <v>0.68500000000000005</v>
      </c>
      <c r="AK193">
        <v>125</v>
      </c>
      <c r="AL193">
        <v>116</v>
      </c>
      <c r="AM193">
        <v>119</v>
      </c>
      <c r="AN193">
        <v>5.38</v>
      </c>
      <c r="AO193">
        <v>5.12</v>
      </c>
      <c r="AP193">
        <v>0.25</v>
      </c>
      <c r="AQ193">
        <v>5.25</v>
      </c>
      <c r="AR193">
        <v>5.08</v>
      </c>
      <c r="AS193" cm="1">
        <f t="array" ref="AS193:BA193">VLOOKUP(A193,plate_discipline_pitchers_2019!A:L,{3,4,5,6,7,8,9,10,11},FALSE)</f>
        <v>0.33500000000000002</v>
      </c>
      <c r="AT193">
        <v>0.72299999999999998</v>
      </c>
      <c r="AU193">
        <v>0.498</v>
      </c>
      <c r="AV193">
        <v>0.68799999999999994</v>
      </c>
      <c r="AW193">
        <v>0.85599999999999998</v>
      </c>
      <c r="AX193">
        <v>0.79</v>
      </c>
      <c r="AY193">
        <v>0.42</v>
      </c>
      <c r="AZ193">
        <v>0.626</v>
      </c>
      <c r="BA193">
        <v>0.104</v>
      </c>
      <c r="BB193" cm="1">
        <f t="array" ref="BB193:BP193">VLOOKUP(A193,pitchvalue_pitchers_2019!A:Q,{3,4,5,6,7,8,9,10,11,12,13,14,15,16,17},FALSE)</f>
        <v>-1.1000000000000001</v>
      </c>
      <c r="BC193">
        <v>-6.5</v>
      </c>
      <c r="BD193">
        <v>0</v>
      </c>
      <c r="BE193">
        <v>-0.9</v>
      </c>
      <c r="BF193">
        <v>-5.5</v>
      </c>
      <c r="BG193">
        <v>0</v>
      </c>
      <c r="BH193">
        <v>0</v>
      </c>
      <c r="BI193">
        <v>-7.0000000000000007E-2</v>
      </c>
      <c r="BJ193">
        <v>-1.39</v>
      </c>
      <c r="BK193">
        <v>0</v>
      </c>
      <c r="BL193">
        <v>-3.72</v>
      </c>
      <c r="BM193">
        <v>-1.92</v>
      </c>
      <c r="BN193">
        <v>0</v>
      </c>
      <c r="BO193">
        <v>0</v>
      </c>
      <c r="BP193">
        <v>16977</v>
      </c>
      <c r="BQ193" cm="1">
        <f t="array" ref="BQ193:CH193">VLOOKUP(A193,battedball_pitchers_2019!A:U,{3,4,5,6,7,8,9,10,11,12,13,14,15,16,17,18,19,20},FALSE)</f>
        <v>0.30299999999999999</v>
      </c>
      <c r="BR193">
        <v>0.92</v>
      </c>
      <c r="BS193">
        <v>0.22800000000000001</v>
      </c>
      <c r="BT193">
        <v>0.371</v>
      </c>
      <c r="BU193">
        <v>0.40100000000000002</v>
      </c>
      <c r="BV193">
        <v>0.108</v>
      </c>
      <c r="BW193">
        <v>0.14499999999999999</v>
      </c>
      <c r="BX193">
        <v>87</v>
      </c>
      <c r="BY193">
        <v>5.38</v>
      </c>
      <c r="BZ193">
        <v>811</v>
      </c>
      <c r="CA193">
        <v>1516</v>
      </c>
      <c r="CB193">
        <v>2327</v>
      </c>
      <c r="CC193">
        <v>0.40899999999999997</v>
      </c>
      <c r="CD193">
        <v>0.35799999999999998</v>
      </c>
      <c r="CE193">
        <v>0.23300000000000001</v>
      </c>
      <c r="CF193">
        <v>0.184</v>
      </c>
      <c r="CG193">
        <v>0.48699999999999999</v>
      </c>
      <c r="CH193">
        <v>0.32800000000000001</v>
      </c>
      <c r="CI193" cm="1">
        <f t="array" ref="CI193:CS193">VLOOKUP(A193,verticalmove_pitchers_2019!A:N,{3,4,5,6,7,8,9,10,11,12,13},FALSE)</f>
        <v>145.19999999999999</v>
      </c>
      <c r="CJ193">
        <v>7.6</v>
      </c>
      <c r="CK193">
        <v>0</v>
      </c>
      <c r="CL193">
        <v>0</v>
      </c>
      <c r="CM193">
        <v>3.5</v>
      </c>
      <c r="CN193">
        <v>4.5</v>
      </c>
      <c r="CO193">
        <v>0.4</v>
      </c>
      <c r="CP193">
        <v>-3.2</v>
      </c>
      <c r="CQ193">
        <v>0</v>
      </c>
      <c r="CR193">
        <v>0</v>
      </c>
      <c r="CS193">
        <v>0</v>
      </c>
      <c r="CT193" cm="1">
        <f t="array" ref="CT193:DD193">VLOOKUP(A193,velocity_pitchers_2019!A:N,{3,4,5,6,7,8,9,10,11,12,13},FALSE)</f>
        <v>145.19999999999999</v>
      </c>
      <c r="CU193">
        <v>92.1</v>
      </c>
      <c r="CV193">
        <v>0</v>
      </c>
      <c r="CW193">
        <v>0</v>
      </c>
      <c r="CX193">
        <v>90</v>
      </c>
      <c r="CY193">
        <v>84</v>
      </c>
      <c r="CZ193">
        <v>83.2</v>
      </c>
      <c r="DA193">
        <v>77.2</v>
      </c>
      <c r="DB193">
        <v>0</v>
      </c>
      <c r="DC193">
        <v>0</v>
      </c>
      <c r="DD193">
        <v>0</v>
      </c>
    </row>
    <row r="194" spans="1:108" x14ac:dyDescent="0.3">
      <c r="A194" t="s">
        <v>188</v>
      </c>
      <c r="B194" t="str" cm="1">
        <f t="array" ref="B194:Y194">VLOOKUP(A194,standard_pitchers_2019!A:Y,{2,3,4,5,6,7,8,9,10,11,12,13,14,15,16,17,18,19,20,21,22,23,24,25},FALSE)</f>
        <v>- - -</v>
      </c>
      <c r="C194">
        <v>0</v>
      </c>
      <c r="D194">
        <v>4</v>
      </c>
      <c r="E194">
        <v>3.97</v>
      </c>
      <c r="F194">
        <v>63</v>
      </c>
      <c r="G194">
        <v>27</v>
      </c>
      <c r="H194">
        <v>0</v>
      </c>
      <c r="I194">
        <v>0</v>
      </c>
      <c r="J194">
        <v>1</v>
      </c>
      <c r="K194">
        <v>7</v>
      </c>
      <c r="L194">
        <v>4</v>
      </c>
      <c r="M194">
        <v>77</v>
      </c>
      <c r="N194">
        <v>327</v>
      </c>
      <c r="O194">
        <v>61</v>
      </c>
      <c r="P194">
        <v>39</v>
      </c>
      <c r="Q194">
        <v>34</v>
      </c>
      <c r="R194">
        <v>11</v>
      </c>
      <c r="S194">
        <v>39</v>
      </c>
      <c r="T194">
        <v>3</v>
      </c>
      <c r="U194">
        <v>0</v>
      </c>
      <c r="V194">
        <v>5</v>
      </c>
      <c r="W194">
        <v>0</v>
      </c>
      <c r="X194">
        <v>89</v>
      </c>
      <c r="Y194">
        <v>15947</v>
      </c>
      <c r="Z194" cm="1">
        <f t="array" ref="Z194:AR194">VLOOKUP(A194,advanced_pitchers_2019!A:Y,{3,4,5,6,7,8,9,10,11,12,13,14,15,16,17,18,19,20,21},FALSE)</f>
        <v>10.4</v>
      </c>
      <c r="AA194">
        <v>4.5599999999999996</v>
      </c>
      <c r="AB194">
        <v>2.2799999999999998</v>
      </c>
      <c r="AC194">
        <v>1.29</v>
      </c>
      <c r="AD194">
        <v>0.27200000000000002</v>
      </c>
      <c r="AE194">
        <v>0.11899999999999999</v>
      </c>
      <c r="AF194">
        <v>0.153</v>
      </c>
      <c r="AG194">
        <v>0.21199999999999999</v>
      </c>
      <c r="AH194">
        <v>1.3</v>
      </c>
      <c r="AI194">
        <v>0.26600000000000001</v>
      </c>
      <c r="AJ194">
        <v>0.72099999999999997</v>
      </c>
      <c r="AK194">
        <v>91</v>
      </c>
      <c r="AL194">
        <v>98</v>
      </c>
      <c r="AM194">
        <v>104</v>
      </c>
      <c r="AN194">
        <v>3.97</v>
      </c>
      <c r="AO194">
        <v>4.28</v>
      </c>
      <c r="AP194">
        <v>-0.3</v>
      </c>
      <c r="AQ194">
        <v>4.72</v>
      </c>
      <c r="AR194">
        <v>4.47</v>
      </c>
      <c r="AS194" cm="1">
        <f t="array" ref="AS194:BA194">VLOOKUP(A194,plate_discipline_pitchers_2019!A:L,{3,4,5,6,7,8,9,10,11},FALSE)</f>
        <v>0.317</v>
      </c>
      <c r="AT194">
        <v>0.73399999999999999</v>
      </c>
      <c r="AU194">
        <v>0.47799999999999998</v>
      </c>
      <c r="AV194">
        <v>0.49199999999999999</v>
      </c>
      <c r="AW194">
        <v>0.80500000000000005</v>
      </c>
      <c r="AX194">
        <v>0.67800000000000005</v>
      </c>
      <c r="AY194">
        <v>0.38800000000000001</v>
      </c>
      <c r="AZ194">
        <v>0.58399999999999996</v>
      </c>
      <c r="BA194">
        <v>0.154</v>
      </c>
      <c r="BB194" cm="1">
        <f t="array" ref="BB194:BP194">VLOOKUP(A194,pitchvalue_pitchers_2019!A:Q,{3,4,5,6,7,8,9,10,11,12,13,14,15,16,17},FALSE)</f>
        <v>-1.1000000000000001</v>
      </c>
      <c r="BC194">
        <v>0.9</v>
      </c>
      <c r="BD194">
        <v>0</v>
      </c>
      <c r="BE194">
        <v>0</v>
      </c>
      <c r="BF194">
        <v>0</v>
      </c>
      <c r="BG194">
        <v>5.3</v>
      </c>
      <c r="BH194">
        <v>0</v>
      </c>
      <c r="BI194">
        <v>-0.15</v>
      </c>
      <c r="BJ194">
        <v>0.32</v>
      </c>
      <c r="BK194">
        <v>0</v>
      </c>
      <c r="BL194">
        <v>0</v>
      </c>
      <c r="BM194">
        <v>0</v>
      </c>
      <c r="BN194">
        <v>1.8</v>
      </c>
      <c r="BO194">
        <v>0</v>
      </c>
      <c r="BP194">
        <v>15947</v>
      </c>
      <c r="BQ194" cm="1">
        <f t="array" ref="BQ194:CH194">VLOOKUP(A194,battedball_pitchers_2019!A:U,{3,4,5,6,7,8,9,10,11,12,13,14,15,16,17,18,19,20},FALSE)</f>
        <v>0.26600000000000001</v>
      </c>
      <c r="BR194">
        <v>0.7</v>
      </c>
      <c r="BS194">
        <v>0.22600000000000001</v>
      </c>
      <c r="BT194">
        <v>0.318</v>
      </c>
      <c r="BU194">
        <v>0.45600000000000002</v>
      </c>
      <c r="BV194">
        <v>0.10100000000000001</v>
      </c>
      <c r="BW194">
        <v>0.124</v>
      </c>
      <c r="BX194">
        <v>44</v>
      </c>
      <c r="BY194">
        <v>5.14</v>
      </c>
      <c r="BZ194">
        <v>506</v>
      </c>
      <c r="CA194">
        <v>794</v>
      </c>
      <c r="CB194">
        <v>1300</v>
      </c>
      <c r="CC194">
        <v>0.437</v>
      </c>
      <c r="CD194">
        <v>0.312</v>
      </c>
      <c r="CE194">
        <v>0.251</v>
      </c>
      <c r="CF194">
        <v>0.16600000000000001</v>
      </c>
      <c r="CG194">
        <v>0.377</v>
      </c>
      <c r="CH194">
        <v>0.45700000000000002</v>
      </c>
      <c r="CI194" cm="1">
        <f t="array" ref="CI194:CS194">VLOOKUP(A194,verticalmove_pitchers_2019!A:N,{3,4,5,6,7,8,9,10,11,12,13},FALSE)</f>
        <v>77</v>
      </c>
      <c r="CJ194">
        <v>9.4</v>
      </c>
      <c r="CK194">
        <v>0</v>
      </c>
      <c r="CL194">
        <v>1.9</v>
      </c>
      <c r="CM194">
        <v>9.1</v>
      </c>
      <c r="CN194">
        <v>0</v>
      </c>
      <c r="CO194">
        <v>1.4</v>
      </c>
      <c r="CP194">
        <v>0</v>
      </c>
      <c r="CQ194">
        <v>0</v>
      </c>
      <c r="CR194">
        <v>0</v>
      </c>
      <c r="CS194">
        <v>0</v>
      </c>
      <c r="CT194" cm="1">
        <f t="array" ref="CT194:DD194">VLOOKUP(A194,velocity_pitchers_2019!A:N,{3,4,5,6,7,8,9,10,11,12,13},FALSE)</f>
        <v>77</v>
      </c>
      <c r="CU194">
        <v>97.8</v>
      </c>
      <c r="CV194">
        <v>0</v>
      </c>
      <c r="CW194">
        <v>88.3</v>
      </c>
      <c r="CX194">
        <v>98.8</v>
      </c>
      <c r="CY194">
        <v>0</v>
      </c>
      <c r="CZ194">
        <v>90</v>
      </c>
      <c r="DA194">
        <v>0</v>
      </c>
      <c r="DB194">
        <v>0</v>
      </c>
      <c r="DC194">
        <v>0</v>
      </c>
      <c r="DD194">
        <v>0</v>
      </c>
    </row>
    <row r="195" spans="1:108" x14ac:dyDescent="0.3">
      <c r="A195" t="s">
        <v>372</v>
      </c>
      <c r="B195" t="str" cm="1">
        <f t="array" ref="B195:Y195">VLOOKUP(A195,standard_pitchers_2019!A:Y,{2,3,4,5,6,7,8,9,10,11,12,13,14,15,16,17,18,19,20,21,22,23,24,25},FALSE)</f>
        <v>Rockies</v>
      </c>
      <c r="C195">
        <v>1</v>
      </c>
      <c r="D195">
        <v>6</v>
      </c>
      <c r="E195">
        <v>6.08</v>
      </c>
      <c r="F195">
        <v>39</v>
      </c>
      <c r="G195">
        <v>3</v>
      </c>
      <c r="H195">
        <v>0</v>
      </c>
      <c r="I195">
        <v>0</v>
      </c>
      <c r="J195">
        <v>1</v>
      </c>
      <c r="K195">
        <v>4</v>
      </c>
      <c r="L195">
        <v>2</v>
      </c>
      <c r="M195">
        <v>63.2</v>
      </c>
      <c r="N195">
        <v>287</v>
      </c>
      <c r="O195">
        <v>78</v>
      </c>
      <c r="P195">
        <v>47</v>
      </c>
      <c r="Q195">
        <v>43</v>
      </c>
      <c r="R195">
        <v>10</v>
      </c>
      <c r="S195">
        <v>21</v>
      </c>
      <c r="T195">
        <v>3</v>
      </c>
      <c r="U195">
        <v>5</v>
      </c>
      <c r="V195">
        <v>2</v>
      </c>
      <c r="W195">
        <v>0</v>
      </c>
      <c r="X195">
        <v>42</v>
      </c>
      <c r="Y195">
        <v>10587</v>
      </c>
      <c r="Z195" cm="1">
        <f t="array" ref="Z195:AR195">VLOOKUP(A195,advanced_pitchers_2019!A:Y,{3,4,5,6,7,8,9,10,11,12,13,14,15,16,17,18,19,20,21},FALSE)</f>
        <v>5.94</v>
      </c>
      <c r="AA195">
        <v>2.97</v>
      </c>
      <c r="AB195">
        <v>2</v>
      </c>
      <c r="AC195">
        <v>1.41</v>
      </c>
      <c r="AD195">
        <v>0.14599999999999999</v>
      </c>
      <c r="AE195">
        <v>7.2999999999999995E-2</v>
      </c>
      <c r="AF195">
        <v>7.2999999999999995E-2</v>
      </c>
      <c r="AG195">
        <v>0.29899999999999999</v>
      </c>
      <c r="AH195">
        <v>1.55</v>
      </c>
      <c r="AI195">
        <v>0.32500000000000001</v>
      </c>
      <c r="AJ195">
        <v>0.63300000000000001</v>
      </c>
      <c r="AK195">
        <v>120</v>
      </c>
      <c r="AL195">
        <v>110</v>
      </c>
      <c r="AM195">
        <v>101</v>
      </c>
      <c r="AN195">
        <v>6.08</v>
      </c>
      <c r="AO195">
        <v>5.16</v>
      </c>
      <c r="AP195">
        <v>0.92</v>
      </c>
      <c r="AQ195">
        <v>4.49</v>
      </c>
      <c r="AR195">
        <v>4.38</v>
      </c>
      <c r="AS195" cm="1">
        <f t="array" ref="AS195:BA195">VLOOKUP(A195,plate_discipline_pitchers_2019!A:L,{3,4,5,6,7,8,9,10,11},FALSE)</f>
        <v>0.28999999999999998</v>
      </c>
      <c r="AT195">
        <v>0.68100000000000005</v>
      </c>
      <c r="AU195">
        <v>0.46300000000000002</v>
      </c>
      <c r="AV195">
        <v>0.629</v>
      </c>
      <c r="AW195">
        <v>0.88700000000000001</v>
      </c>
      <c r="AX195">
        <v>0.79700000000000004</v>
      </c>
      <c r="AY195">
        <v>0.442</v>
      </c>
      <c r="AZ195">
        <v>0.70399999999999996</v>
      </c>
      <c r="BA195">
        <v>9.4E-2</v>
      </c>
      <c r="BB195" cm="1">
        <f t="array" ref="BB195:BP195">VLOOKUP(A195,pitchvalue_pitchers_2019!A:Q,{3,4,5,6,7,8,9,10,11,12,13,14,15,16,17},FALSE)</f>
        <v>-1.2</v>
      </c>
      <c r="BC195">
        <v>0</v>
      </c>
      <c r="BD195">
        <v>-3.5</v>
      </c>
      <c r="BE195">
        <v>-2.2999999999999998</v>
      </c>
      <c r="BF195">
        <v>-3.5</v>
      </c>
      <c r="BG195">
        <v>0</v>
      </c>
      <c r="BH195">
        <v>0</v>
      </c>
      <c r="BI195">
        <v>-0.3</v>
      </c>
      <c r="BJ195">
        <v>0</v>
      </c>
      <c r="BK195">
        <v>-1.93</v>
      </c>
      <c r="BL195">
        <v>-1.82</v>
      </c>
      <c r="BM195">
        <v>-1.07</v>
      </c>
      <c r="BN195">
        <v>0</v>
      </c>
      <c r="BO195">
        <v>0</v>
      </c>
      <c r="BP195">
        <v>10587</v>
      </c>
      <c r="BQ195" cm="1">
        <f t="array" ref="BQ195:CH195">VLOOKUP(A195,battedball_pitchers_2019!A:U,{3,4,5,6,7,8,9,10,11,12,13,14,15,16,17,18,19,20},FALSE)</f>
        <v>0.32500000000000001</v>
      </c>
      <c r="BR195">
        <v>3</v>
      </c>
      <c r="BS195">
        <v>0.189</v>
      </c>
      <c r="BT195">
        <v>0.60799999999999998</v>
      </c>
      <c r="BU195">
        <v>0.20300000000000001</v>
      </c>
      <c r="BV195">
        <v>0.13600000000000001</v>
      </c>
      <c r="BW195">
        <v>0.22700000000000001</v>
      </c>
      <c r="BX195">
        <v>49</v>
      </c>
      <c r="BY195">
        <v>6.93</v>
      </c>
      <c r="BZ195">
        <v>372</v>
      </c>
      <c r="CA195">
        <v>658</v>
      </c>
      <c r="CB195">
        <v>1030</v>
      </c>
      <c r="CC195">
        <v>0.40600000000000003</v>
      </c>
      <c r="CD195">
        <v>0.40600000000000003</v>
      </c>
      <c r="CE195">
        <v>0.187</v>
      </c>
      <c r="CF195">
        <v>0.17799999999999999</v>
      </c>
      <c r="CG195">
        <v>0.434</v>
      </c>
      <c r="CH195">
        <v>0.38800000000000001</v>
      </c>
      <c r="CI195" cm="1">
        <f t="array" ref="CI195:CS195">VLOOKUP(A195,verticalmove_pitchers_2019!A:N,{3,4,5,6,7,8,9,10,11,12,13},FALSE)</f>
        <v>63.2</v>
      </c>
      <c r="CJ195">
        <v>6.9</v>
      </c>
      <c r="CK195">
        <v>0</v>
      </c>
      <c r="CL195">
        <v>0</v>
      </c>
      <c r="CM195">
        <v>4.5</v>
      </c>
      <c r="CN195">
        <v>2</v>
      </c>
      <c r="CO195">
        <v>2.9</v>
      </c>
      <c r="CP195">
        <v>-5.4</v>
      </c>
      <c r="CQ195">
        <v>0</v>
      </c>
      <c r="CR195">
        <v>0</v>
      </c>
      <c r="CS195">
        <v>0</v>
      </c>
      <c r="CT195" cm="1">
        <f t="array" ref="CT195:DD195">VLOOKUP(A195,velocity_pitchers_2019!A:N,{3,4,5,6,7,8,9,10,11,12,13},FALSE)</f>
        <v>63.2</v>
      </c>
      <c r="CU195">
        <v>93.1</v>
      </c>
      <c r="CV195">
        <v>0</v>
      </c>
      <c r="CW195">
        <v>0</v>
      </c>
      <c r="CX195">
        <v>91.5</v>
      </c>
      <c r="CY195">
        <v>87.2</v>
      </c>
      <c r="CZ195">
        <v>88.9</v>
      </c>
      <c r="DA195">
        <v>77.400000000000006</v>
      </c>
      <c r="DB195">
        <v>0</v>
      </c>
      <c r="DC195">
        <v>0</v>
      </c>
      <c r="DD195">
        <v>0</v>
      </c>
    </row>
    <row r="196" spans="1:108" x14ac:dyDescent="0.3">
      <c r="A196" t="s">
        <v>182</v>
      </c>
      <c r="B196" t="str" cm="1">
        <f t="array" ref="B196:Y196">VLOOKUP(A196,standard_pitchers_2019!A:Y,{2,3,4,5,6,7,8,9,10,11,12,13,14,15,16,17,18,19,20,21,22,23,24,25},FALSE)</f>
        <v>Athletics</v>
      </c>
      <c r="C196">
        <v>13</v>
      </c>
      <c r="D196">
        <v>9</v>
      </c>
      <c r="E196">
        <v>3.89</v>
      </c>
      <c r="F196">
        <v>31</v>
      </c>
      <c r="G196">
        <v>31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176</v>
      </c>
      <c r="N196">
        <v>743</v>
      </c>
      <c r="O196">
        <v>181</v>
      </c>
      <c r="P196">
        <v>80</v>
      </c>
      <c r="Q196">
        <v>76</v>
      </c>
      <c r="R196">
        <v>20</v>
      </c>
      <c r="S196">
        <v>49</v>
      </c>
      <c r="T196">
        <v>2</v>
      </c>
      <c r="U196">
        <v>4</v>
      </c>
      <c r="V196">
        <v>4</v>
      </c>
      <c r="W196">
        <v>0</v>
      </c>
      <c r="X196">
        <v>90</v>
      </c>
      <c r="Y196">
        <v>8223</v>
      </c>
      <c r="Z196" cm="1">
        <f t="array" ref="Z196:AR196">VLOOKUP(A196,advanced_pitchers_2019!A:Y,{3,4,5,6,7,8,9,10,11,12,13,14,15,16,17,18,19,20,21},FALSE)</f>
        <v>4.5999999999999996</v>
      </c>
      <c r="AA196">
        <v>2.5099999999999998</v>
      </c>
      <c r="AB196">
        <v>1.84</v>
      </c>
      <c r="AC196">
        <v>1.02</v>
      </c>
      <c r="AD196">
        <v>0.121</v>
      </c>
      <c r="AE196">
        <v>6.6000000000000003E-2</v>
      </c>
      <c r="AF196">
        <v>5.5E-2</v>
      </c>
      <c r="AG196">
        <v>0.26200000000000001</v>
      </c>
      <c r="AH196">
        <v>1.31</v>
      </c>
      <c r="AI196">
        <v>0.27800000000000002</v>
      </c>
      <c r="AJ196">
        <v>0.748</v>
      </c>
      <c r="AK196">
        <v>87</v>
      </c>
      <c r="AL196">
        <v>102</v>
      </c>
      <c r="AM196">
        <v>105</v>
      </c>
      <c r="AN196">
        <v>3.89</v>
      </c>
      <c r="AO196">
        <v>4.57</v>
      </c>
      <c r="AP196">
        <v>-0.69</v>
      </c>
      <c r="AQ196">
        <v>4.79</v>
      </c>
      <c r="AR196">
        <v>5.17</v>
      </c>
      <c r="AS196" cm="1">
        <f t="array" ref="AS196:BA196">VLOOKUP(A196,plate_discipline_pitchers_2019!A:L,{3,4,5,6,7,8,9,10,11},FALSE)</f>
        <v>0.30199999999999999</v>
      </c>
      <c r="AT196">
        <v>0.67500000000000004</v>
      </c>
      <c r="AU196">
        <v>0.47</v>
      </c>
      <c r="AV196">
        <v>0.70199999999999996</v>
      </c>
      <c r="AW196">
        <v>0.91</v>
      </c>
      <c r="AX196">
        <v>0.83699999999999997</v>
      </c>
      <c r="AY196">
        <v>0.45100000000000001</v>
      </c>
      <c r="AZ196">
        <v>0.59199999999999997</v>
      </c>
      <c r="BA196">
        <v>7.6999999999999999E-2</v>
      </c>
      <c r="BB196" cm="1">
        <f t="array" ref="BB196:BP196">VLOOKUP(A196,pitchvalue_pitchers_2019!A:Q,{3,4,5,6,7,8,9,10,11,12,13,14,15,16,17},FALSE)</f>
        <v>-1.2</v>
      </c>
      <c r="BC196">
        <v>-0.3</v>
      </c>
      <c r="BD196">
        <v>1.4</v>
      </c>
      <c r="BE196">
        <v>-0.1</v>
      </c>
      <c r="BF196">
        <v>3.9</v>
      </c>
      <c r="BG196">
        <v>0</v>
      </c>
      <c r="BH196">
        <v>0</v>
      </c>
      <c r="BI196">
        <v>-0.09</v>
      </c>
      <c r="BJ196">
        <v>-0.06</v>
      </c>
      <c r="BK196">
        <v>0.37</v>
      </c>
      <c r="BL196">
        <v>-0.1</v>
      </c>
      <c r="BM196">
        <v>1.1100000000000001</v>
      </c>
      <c r="BN196">
        <v>0</v>
      </c>
      <c r="BO196">
        <v>0</v>
      </c>
      <c r="BP196">
        <v>8223</v>
      </c>
      <c r="BQ196" cm="1">
        <f t="array" ref="BQ196:CH196">VLOOKUP(A196,battedball_pitchers_2019!A:U,{3,4,5,6,7,8,9,10,11,12,13,14,15,16,17,18,19,20},FALSE)</f>
        <v>0.27800000000000002</v>
      </c>
      <c r="BR196">
        <v>2.15</v>
      </c>
      <c r="BS196">
        <v>0.20100000000000001</v>
      </c>
      <c r="BT196">
        <v>0.54500000000000004</v>
      </c>
      <c r="BU196">
        <v>0.254</v>
      </c>
      <c r="BV196">
        <v>6.7000000000000004E-2</v>
      </c>
      <c r="BW196">
        <v>0.13300000000000001</v>
      </c>
      <c r="BX196">
        <v>119</v>
      </c>
      <c r="BY196">
        <v>6.09</v>
      </c>
      <c r="BZ196">
        <v>956</v>
      </c>
      <c r="CA196">
        <v>1703</v>
      </c>
      <c r="CB196">
        <v>2659</v>
      </c>
      <c r="CC196">
        <v>0.41499999999999998</v>
      </c>
      <c r="CD196">
        <v>0.378</v>
      </c>
      <c r="CE196">
        <v>0.20699999999999999</v>
      </c>
      <c r="CF196">
        <v>0.14499999999999999</v>
      </c>
      <c r="CG196">
        <v>0.45300000000000001</v>
      </c>
      <c r="CH196">
        <v>0.40200000000000002</v>
      </c>
      <c r="CI196" cm="1">
        <f t="array" ref="CI196:CS196">VLOOKUP(A196,verticalmove_pitchers_2019!A:N,{3,4,5,6,7,8,9,10,11,12,13},FALSE)</f>
        <v>176</v>
      </c>
      <c r="CJ196">
        <v>7.3</v>
      </c>
      <c r="CK196">
        <v>5.4</v>
      </c>
      <c r="CL196">
        <v>0</v>
      </c>
      <c r="CM196">
        <v>4</v>
      </c>
      <c r="CN196">
        <v>3.2</v>
      </c>
      <c r="CO196">
        <v>-5.3</v>
      </c>
      <c r="CP196">
        <v>-9.6999999999999993</v>
      </c>
      <c r="CQ196">
        <v>0</v>
      </c>
      <c r="CR196">
        <v>0</v>
      </c>
      <c r="CS196">
        <v>0</v>
      </c>
      <c r="CT196" cm="1">
        <f t="array" ref="CT196:DD196">VLOOKUP(A196,velocity_pitchers_2019!A:N,{3,4,5,6,7,8,9,10,11,12,13},FALSE)</f>
        <v>176</v>
      </c>
      <c r="CU196">
        <v>91.4</v>
      </c>
      <c r="CV196">
        <v>88.8</v>
      </c>
      <c r="CW196">
        <v>0</v>
      </c>
      <c r="CX196">
        <v>90.9</v>
      </c>
      <c r="CY196">
        <v>82.8</v>
      </c>
      <c r="CZ196">
        <v>82.1</v>
      </c>
      <c r="DA196">
        <v>75.900000000000006</v>
      </c>
      <c r="DB196">
        <v>0</v>
      </c>
      <c r="DC196">
        <v>0</v>
      </c>
      <c r="DD196">
        <v>0</v>
      </c>
    </row>
    <row r="197" spans="1:108" x14ac:dyDescent="0.3">
      <c r="A197" t="s">
        <v>287</v>
      </c>
      <c r="B197" t="str" cm="1">
        <f t="array" ref="B197:Y197">VLOOKUP(A197,standard_pitchers_2019!A:Y,{2,3,4,5,6,7,8,9,10,11,12,13,14,15,16,17,18,19,20,21,22,23,24,25},FALSE)</f>
        <v>Diamondbacks</v>
      </c>
      <c r="C197">
        <v>5</v>
      </c>
      <c r="D197">
        <v>5</v>
      </c>
      <c r="E197">
        <v>4.75</v>
      </c>
      <c r="F197">
        <v>62</v>
      </c>
      <c r="G197">
        <v>0</v>
      </c>
      <c r="H197">
        <v>0</v>
      </c>
      <c r="I197">
        <v>0</v>
      </c>
      <c r="J197">
        <v>1</v>
      </c>
      <c r="K197">
        <v>15</v>
      </c>
      <c r="L197">
        <v>5</v>
      </c>
      <c r="M197">
        <v>53</v>
      </c>
      <c r="N197">
        <v>233</v>
      </c>
      <c r="O197">
        <v>51</v>
      </c>
      <c r="P197">
        <v>31</v>
      </c>
      <c r="Q197">
        <v>28</v>
      </c>
      <c r="R197">
        <v>7</v>
      </c>
      <c r="S197">
        <v>22</v>
      </c>
      <c r="T197">
        <v>2</v>
      </c>
      <c r="U197">
        <v>3</v>
      </c>
      <c r="V197">
        <v>2</v>
      </c>
      <c r="W197">
        <v>0</v>
      </c>
      <c r="X197">
        <v>61</v>
      </c>
      <c r="Y197">
        <v>19756</v>
      </c>
      <c r="Z197" cm="1">
        <f t="array" ref="Z197:AR197">VLOOKUP(A197,advanced_pitchers_2019!A:Y,{3,4,5,6,7,8,9,10,11,12,13,14,15,16,17,18,19,20,21},FALSE)</f>
        <v>10.36</v>
      </c>
      <c r="AA197">
        <v>3.74</v>
      </c>
      <c r="AB197">
        <v>2.77</v>
      </c>
      <c r="AC197">
        <v>1.19</v>
      </c>
      <c r="AD197">
        <v>0.26200000000000001</v>
      </c>
      <c r="AE197">
        <v>9.4E-2</v>
      </c>
      <c r="AF197">
        <v>0.16700000000000001</v>
      </c>
      <c r="AG197">
        <v>0.245</v>
      </c>
      <c r="AH197">
        <v>1.38</v>
      </c>
      <c r="AI197">
        <v>0.314</v>
      </c>
      <c r="AJ197">
        <v>0.68</v>
      </c>
      <c r="AK197">
        <v>108</v>
      </c>
      <c r="AL197">
        <v>92</v>
      </c>
      <c r="AM197">
        <v>96</v>
      </c>
      <c r="AN197">
        <v>4.75</v>
      </c>
      <c r="AO197">
        <v>4.04</v>
      </c>
      <c r="AP197">
        <v>0.71</v>
      </c>
      <c r="AQ197">
        <v>4.24</v>
      </c>
      <c r="AR197">
        <v>3.95</v>
      </c>
      <c r="AS197" cm="1">
        <f t="array" ref="AS197:BA197">VLOOKUP(A197,plate_discipline_pitchers_2019!A:L,{3,4,5,6,7,8,9,10,11},FALSE)</f>
        <v>0.36799999999999999</v>
      </c>
      <c r="AT197">
        <v>0.68600000000000005</v>
      </c>
      <c r="AU197">
        <v>0.48199999999999998</v>
      </c>
      <c r="AV197">
        <v>0.55700000000000005</v>
      </c>
      <c r="AW197">
        <v>0.84299999999999997</v>
      </c>
      <c r="AX197">
        <v>0.70199999999999996</v>
      </c>
      <c r="AY197">
        <v>0.35799999999999998</v>
      </c>
      <c r="AZ197">
        <v>0.61799999999999999</v>
      </c>
      <c r="BA197">
        <v>0.14299999999999999</v>
      </c>
      <c r="BB197" cm="1">
        <f t="array" ref="BB197:BP197">VLOOKUP(A197,pitchvalue_pitchers_2019!A:Q,{3,4,5,6,7,8,9,10,11,12,13,14,15,16,17},FALSE)</f>
        <v>-1.2</v>
      </c>
      <c r="BC197">
        <v>0</v>
      </c>
      <c r="BD197">
        <v>0</v>
      </c>
      <c r="BE197">
        <v>0.1</v>
      </c>
      <c r="BF197">
        <v>0</v>
      </c>
      <c r="BG197">
        <v>3</v>
      </c>
      <c r="BH197">
        <v>0</v>
      </c>
      <c r="BI197">
        <v>-0.28000000000000003</v>
      </c>
      <c r="BJ197">
        <v>0</v>
      </c>
      <c r="BK197">
        <v>0</v>
      </c>
      <c r="BL197">
        <v>2.2000000000000002</v>
      </c>
      <c r="BM197">
        <v>0</v>
      </c>
      <c r="BN197">
        <v>0.63</v>
      </c>
      <c r="BO197">
        <v>0</v>
      </c>
      <c r="BP197">
        <v>19756</v>
      </c>
      <c r="BQ197" cm="1">
        <f t="array" ref="BQ197:CH197">VLOOKUP(A197,battedball_pitchers_2019!A:U,{3,4,5,6,7,8,9,10,11,12,13,14,15,16,17,18,19,20},FALSE)</f>
        <v>0.314</v>
      </c>
      <c r="BR197">
        <v>1.25</v>
      </c>
      <c r="BS197">
        <v>0.20100000000000001</v>
      </c>
      <c r="BT197">
        <v>0.44400000000000001</v>
      </c>
      <c r="BU197">
        <v>0.35399999999999998</v>
      </c>
      <c r="BV197">
        <v>0.13700000000000001</v>
      </c>
      <c r="BW197">
        <v>0.13700000000000001</v>
      </c>
      <c r="BX197">
        <v>34</v>
      </c>
      <c r="BY197">
        <v>5.77</v>
      </c>
      <c r="BZ197">
        <v>337</v>
      </c>
      <c r="CA197">
        <v>597</v>
      </c>
      <c r="CB197">
        <v>934</v>
      </c>
      <c r="CC197">
        <v>0.442</v>
      </c>
      <c r="CD197">
        <v>0.28599999999999998</v>
      </c>
      <c r="CE197">
        <v>0.27200000000000002</v>
      </c>
      <c r="CF197">
        <v>0.19700000000000001</v>
      </c>
      <c r="CG197">
        <v>0.41499999999999998</v>
      </c>
      <c r="CH197">
        <v>0.38800000000000001</v>
      </c>
      <c r="CI197" cm="1">
        <f t="array" ref="CI197:CS197">VLOOKUP(A197,verticalmove_pitchers_2019!A:N,{3,4,5,6,7,8,9,10,11,12,13},FALSE)</f>
        <v>53</v>
      </c>
      <c r="CJ197">
        <v>9.5</v>
      </c>
      <c r="CK197">
        <v>0</v>
      </c>
      <c r="CL197">
        <v>1</v>
      </c>
      <c r="CM197">
        <v>9.4</v>
      </c>
      <c r="CN197">
        <v>9.5</v>
      </c>
      <c r="CO197">
        <v>0</v>
      </c>
      <c r="CP197">
        <v>-5.0999999999999996</v>
      </c>
      <c r="CQ197">
        <v>0</v>
      </c>
      <c r="CR197">
        <v>0</v>
      </c>
      <c r="CS197">
        <v>0</v>
      </c>
      <c r="CT197" cm="1">
        <f t="array" ref="CT197:DD197">VLOOKUP(A197,velocity_pitchers_2019!A:N,{3,4,5,6,7,8,9,10,11,12,13},FALSE)</f>
        <v>53</v>
      </c>
      <c r="CU197">
        <v>91.2</v>
      </c>
      <c r="CV197">
        <v>0</v>
      </c>
      <c r="CW197">
        <v>83.9</v>
      </c>
      <c r="CX197">
        <v>89.9</v>
      </c>
      <c r="CY197">
        <v>92.6</v>
      </c>
      <c r="CZ197">
        <v>0</v>
      </c>
      <c r="DA197">
        <v>75.599999999999994</v>
      </c>
      <c r="DB197">
        <v>0</v>
      </c>
      <c r="DC197">
        <v>0</v>
      </c>
      <c r="DD197">
        <v>0</v>
      </c>
    </row>
    <row r="198" spans="1:108" x14ac:dyDescent="0.3">
      <c r="A198" t="s">
        <v>128</v>
      </c>
      <c r="B198" t="str" cm="1">
        <f t="array" ref="B198:Y198">VLOOKUP(A198,standard_pitchers_2019!A:Y,{2,3,4,5,6,7,8,9,10,11,12,13,14,15,16,17,18,19,20,21,22,23,24,25},FALSE)</f>
        <v>Diamondbacks</v>
      </c>
      <c r="C198">
        <v>2</v>
      </c>
      <c r="D198">
        <v>7</v>
      </c>
      <c r="E198">
        <v>3.41</v>
      </c>
      <c r="F198">
        <v>70</v>
      </c>
      <c r="G198">
        <v>0</v>
      </c>
      <c r="H198">
        <v>0</v>
      </c>
      <c r="I198">
        <v>0</v>
      </c>
      <c r="J198">
        <v>1</v>
      </c>
      <c r="K198">
        <v>21</v>
      </c>
      <c r="L198">
        <v>3</v>
      </c>
      <c r="M198">
        <v>60.2</v>
      </c>
      <c r="N198">
        <v>246</v>
      </c>
      <c r="O198">
        <v>52</v>
      </c>
      <c r="P198">
        <v>27</v>
      </c>
      <c r="Q198">
        <v>23</v>
      </c>
      <c r="R198">
        <v>11</v>
      </c>
      <c r="S198">
        <v>17</v>
      </c>
      <c r="T198">
        <v>2</v>
      </c>
      <c r="U198">
        <v>0</v>
      </c>
      <c r="V198">
        <v>1</v>
      </c>
      <c r="W198">
        <v>0</v>
      </c>
      <c r="X198">
        <v>42</v>
      </c>
      <c r="Y198">
        <v>17181</v>
      </c>
      <c r="Z198" cm="1">
        <f t="array" ref="Z198:AR198">VLOOKUP(A198,advanced_pitchers_2019!A:Y,{3,4,5,6,7,8,9,10,11,12,13,14,15,16,17,18,19,20,21},FALSE)</f>
        <v>6.23</v>
      </c>
      <c r="AA198">
        <v>2.52</v>
      </c>
      <c r="AB198">
        <v>2.4700000000000002</v>
      </c>
      <c r="AC198">
        <v>1.63</v>
      </c>
      <c r="AD198">
        <v>0.17100000000000001</v>
      </c>
      <c r="AE198">
        <v>6.9000000000000006E-2</v>
      </c>
      <c r="AF198">
        <v>0.10199999999999999</v>
      </c>
      <c r="AG198">
        <v>0.22700000000000001</v>
      </c>
      <c r="AH198">
        <v>1.1399999999999999</v>
      </c>
      <c r="AI198">
        <v>0.23300000000000001</v>
      </c>
      <c r="AJ198">
        <v>0.78400000000000003</v>
      </c>
      <c r="AK198">
        <v>77</v>
      </c>
      <c r="AL198">
        <v>115</v>
      </c>
      <c r="AM198">
        <v>101</v>
      </c>
      <c r="AN198">
        <v>3.41</v>
      </c>
      <c r="AO198">
        <v>5.03</v>
      </c>
      <c r="AP198">
        <v>-1.62</v>
      </c>
      <c r="AQ198">
        <v>4.47</v>
      </c>
      <c r="AR198">
        <v>4.5999999999999996</v>
      </c>
      <c r="AS198" cm="1">
        <f t="array" ref="AS198:BA198">VLOOKUP(A198,plate_discipline_pitchers_2019!A:L,{3,4,5,6,7,8,9,10,11},FALSE)</f>
        <v>0.30599999999999999</v>
      </c>
      <c r="AT198">
        <v>0.70699999999999996</v>
      </c>
      <c r="AU198">
        <v>0.48</v>
      </c>
      <c r="AV198">
        <v>0.68700000000000006</v>
      </c>
      <c r="AW198">
        <v>0.86</v>
      </c>
      <c r="AX198">
        <v>0.79800000000000004</v>
      </c>
      <c r="AY198">
        <v>0.434</v>
      </c>
      <c r="AZ198">
        <v>0.57699999999999996</v>
      </c>
      <c r="BA198">
        <v>9.7000000000000003E-2</v>
      </c>
      <c r="BB198" cm="1">
        <f t="array" ref="BB198:BP198">VLOOKUP(A198,pitchvalue_pitchers_2019!A:Q,{3,4,5,6,7,8,9,10,11,12,13,14,15,16,17},FALSE)</f>
        <v>-1.3</v>
      </c>
      <c r="BC198">
        <v>2.8</v>
      </c>
      <c r="BD198">
        <v>0</v>
      </c>
      <c r="BE198">
        <v>0</v>
      </c>
      <c r="BF198">
        <v>0</v>
      </c>
      <c r="BG198">
        <v>0.7</v>
      </c>
      <c r="BH198">
        <v>0</v>
      </c>
      <c r="BI198">
        <v>-0.25</v>
      </c>
      <c r="BJ198">
        <v>0.83</v>
      </c>
      <c r="BK198">
        <v>0</v>
      </c>
      <c r="BL198">
        <v>0</v>
      </c>
      <c r="BM198">
        <v>0</v>
      </c>
      <c r="BN198">
        <v>2.2599999999999998</v>
      </c>
      <c r="BO198">
        <v>0</v>
      </c>
      <c r="BP198">
        <v>17181</v>
      </c>
      <c r="BQ198" cm="1">
        <f t="array" ref="BQ198:CH198">VLOOKUP(A198,battedball_pitchers_2019!A:U,{3,4,5,6,7,8,9,10,11,12,13,14,15,16,17,18,19,20},FALSE)</f>
        <v>0.23300000000000001</v>
      </c>
      <c r="BR198">
        <v>1.47</v>
      </c>
      <c r="BS198">
        <v>0.26500000000000001</v>
      </c>
      <c r="BT198">
        <v>0.438</v>
      </c>
      <c r="BU198">
        <v>0.29699999999999999</v>
      </c>
      <c r="BV198">
        <v>0.109</v>
      </c>
      <c r="BW198">
        <v>0.2</v>
      </c>
      <c r="BX198">
        <v>30</v>
      </c>
      <c r="BY198">
        <v>4.45</v>
      </c>
      <c r="BZ198">
        <v>317</v>
      </c>
      <c r="CA198">
        <v>548</v>
      </c>
      <c r="CB198">
        <v>865</v>
      </c>
      <c r="CC198">
        <v>0.38500000000000001</v>
      </c>
      <c r="CD198">
        <v>0.40600000000000003</v>
      </c>
      <c r="CE198">
        <v>0.20899999999999999</v>
      </c>
      <c r="CF198">
        <v>0.107</v>
      </c>
      <c r="CG198">
        <v>0.39</v>
      </c>
      <c r="CH198">
        <v>0.503</v>
      </c>
      <c r="CI198" cm="1">
        <f t="array" ref="CI198:CS198">VLOOKUP(A198,verticalmove_pitchers_2019!A:N,{3,4,5,6,7,8,9,10,11,12,13},FALSE)</f>
        <v>60.2</v>
      </c>
      <c r="CJ198">
        <v>8</v>
      </c>
      <c r="CK198">
        <v>0</v>
      </c>
      <c r="CL198">
        <v>0</v>
      </c>
      <c r="CM198">
        <v>0</v>
      </c>
      <c r="CN198">
        <v>5.2</v>
      </c>
      <c r="CO198">
        <v>-1.1000000000000001</v>
      </c>
      <c r="CP198">
        <v>0</v>
      </c>
      <c r="CQ198">
        <v>0</v>
      </c>
      <c r="CR198">
        <v>0</v>
      </c>
      <c r="CS198">
        <v>0</v>
      </c>
      <c r="CT198" cm="1">
        <f t="array" ref="CT198:DD198">VLOOKUP(A198,velocity_pitchers_2019!A:N,{3,4,5,6,7,8,9,10,11,12,13},FALSE)</f>
        <v>60.2</v>
      </c>
      <c r="CU198">
        <v>96.5</v>
      </c>
      <c r="CV198">
        <v>0</v>
      </c>
      <c r="CW198">
        <v>0</v>
      </c>
      <c r="CX198">
        <v>0</v>
      </c>
      <c r="CY198">
        <v>91.5</v>
      </c>
      <c r="CZ198">
        <v>84.5</v>
      </c>
      <c r="DA198">
        <v>0</v>
      </c>
      <c r="DB198">
        <v>0</v>
      </c>
      <c r="DC198">
        <v>0</v>
      </c>
      <c r="DD198">
        <v>0</v>
      </c>
    </row>
    <row r="199" spans="1:108" x14ac:dyDescent="0.3">
      <c r="A199" t="s">
        <v>136</v>
      </c>
      <c r="B199" t="str" cm="1">
        <f t="array" ref="B199:Y199">VLOOKUP(A199,standard_pitchers_2019!A:Y,{2,3,4,5,6,7,8,9,10,11,12,13,14,15,16,17,18,19,20,21,22,23,24,25},FALSE)</f>
        <v>Diamondbacks</v>
      </c>
      <c r="C199">
        <v>4</v>
      </c>
      <c r="D199">
        <v>5</v>
      </c>
      <c r="E199">
        <v>3.52</v>
      </c>
      <c r="F199">
        <v>66</v>
      </c>
      <c r="G199">
        <v>1</v>
      </c>
      <c r="H199">
        <v>0</v>
      </c>
      <c r="I199">
        <v>0</v>
      </c>
      <c r="J199">
        <v>18</v>
      </c>
      <c r="K199">
        <v>7</v>
      </c>
      <c r="L199">
        <v>3</v>
      </c>
      <c r="M199">
        <v>71.2</v>
      </c>
      <c r="N199">
        <v>317</v>
      </c>
      <c r="O199">
        <v>67</v>
      </c>
      <c r="P199">
        <v>30</v>
      </c>
      <c r="Q199">
        <v>28</v>
      </c>
      <c r="R199">
        <v>5</v>
      </c>
      <c r="S199">
        <v>36</v>
      </c>
      <c r="T199">
        <v>2</v>
      </c>
      <c r="U199">
        <v>5</v>
      </c>
      <c r="V199">
        <v>0</v>
      </c>
      <c r="W199">
        <v>0</v>
      </c>
      <c r="X199">
        <v>87</v>
      </c>
      <c r="Y199">
        <v>12918</v>
      </c>
      <c r="Z199" cm="1">
        <f t="array" ref="Z199:AR199">VLOOKUP(A199,advanced_pitchers_2019!A:Y,{3,4,5,6,7,8,9,10,11,12,13,14,15,16,17,18,19,20,21},FALSE)</f>
        <v>10.93</v>
      </c>
      <c r="AA199">
        <v>4.5199999999999996</v>
      </c>
      <c r="AB199">
        <v>2.42</v>
      </c>
      <c r="AC199">
        <v>0.63</v>
      </c>
      <c r="AD199">
        <v>0.27400000000000002</v>
      </c>
      <c r="AE199">
        <v>0.114</v>
      </c>
      <c r="AF199">
        <v>0.161</v>
      </c>
      <c r="AG199">
        <v>0.24299999999999999</v>
      </c>
      <c r="AH199">
        <v>1.44</v>
      </c>
      <c r="AI199">
        <v>0.33700000000000002</v>
      </c>
      <c r="AJ199">
        <v>0.77200000000000002</v>
      </c>
      <c r="AK199">
        <v>80</v>
      </c>
      <c r="AL199">
        <v>77</v>
      </c>
      <c r="AM199">
        <v>91</v>
      </c>
      <c r="AN199">
        <v>3.52</v>
      </c>
      <c r="AO199">
        <v>3.41</v>
      </c>
      <c r="AP199">
        <v>0.11</v>
      </c>
      <c r="AQ199">
        <v>4.0599999999999996</v>
      </c>
      <c r="AR199">
        <v>4.03</v>
      </c>
      <c r="AS199" cm="1">
        <f t="array" ref="AS199:BA199">VLOOKUP(A199,plate_discipline_pitchers_2019!A:L,{3,4,5,6,7,8,9,10,11},FALSE)</f>
        <v>0.317</v>
      </c>
      <c r="AT199">
        <v>0.65900000000000003</v>
      </c>
      <c r="AU199">
        <v>0.45400000000000001</v>
      </c>
      <c r="AV199">
        <v>0.66500000000000004</v>
      </c>
      <c r="AW199">
        <v>0.875</v>
      </c>
      <c r="AX199">
        <v>0.78700000000000003</v>
      </c>
      <c r="AY199">
        <v>0.39800000000000002</v>
      </c>
      <c r="AZ199">
        <v>0.60299999999999998</v>
      </c>
      <c r="BA199">
        <v>9.7000000000000003E-2</v>
      </c>
      <c r="BB199" cm="1">
        <f t="array" ref="BB199:BP199">VLOOKUP(A199,pitchvalue_pitchers_2019!A:Q,{3,4,5,6,7,8,9,10,11,12,13,14,15,16,17},FALSE)</f>
        <v>-1.4</v>
      </c>
      <c r="BC199">
        <v>0</v>
      </c>
      <c r="BD199">
        <v>0</v>
      </c>
      <c r="BE199">
        <v>5.0999999999999996</v>
      </c>
      <c r="BF199">
        <v>0</v>
      </c>
      <c r="BG199">
        <v>0</v>
      </c>
      <c r="BH199">
        <v>0</v>
      </c>
      <c r="BI199">
        <v>-0.15</v>
      </c>
      <c r="BJ199">
        <v>0</v>
      </c>
      <c r="BK199">
        <v>0</v>
      </c>
      <c r="BL199">
        <v>1.63</v>
      </c>
      <c r="BM199">
        <v>0.05</v>
      </c>
      <c r="BN199">
        <v>0</v>
      </c>
      <c r="BO199">
        <v>0</v>
      </c>
      <c r="BP199">
        <v>12918</v>
      </c>
      <c r="BQ199" cm="1">
        <f t="array" ref="BQ199:CH199">VLOOKUP(A199,battedball_pitchers_2019!A:U,{3,4,5,6,7,8,9,10,11,12,13,14,15,16,17,18,19,20},FALSE)</f>
        <v>0.33700000000000002</v>
      </c>
      <c r="BR199">
        <v>1.5</v>
      </c>
      <c r="BS199">
        <v>0.247</v>
      </c>
      <c r="BT199">
        <v>0.45200000000000001</v>
      </c>
      <c r="BU199">
        <v>0.30099999999999999</v>
      </c>
      <c r="BV199">
        <v>0.107</v>
      </c>
      <c r="BW199">
        <v>8.8999999999999996E-2</v>
      </c>
      <c r="BX199">
        <v>13</v>
      </c>
      <c r="BY199">
        <v>1.63</v>
      </c>
      <c r="BZ199">
        <v>464</v>
      </c>
      <c r="CA199">
        <v>820</v>
      </c>
      <c r="CB199">
        <v>1284</v>
      </c>
      <c r="CC199">
        <v>0.38600000000000001</v>
      </c>
      <c r="CD199">
        <v>0.29099999999999998</v>
      </c>
      <c r="CE199">
        <v>0.32300000000000001</v>
      </c>
      <c r="CF199">
        <v>0.14799999999999999</v>
      </c>
      <c r="CG199">
        <v>0.42899999999999999</v>
      </c>
      <c r="CH199">
        <v>0.42299999999999999</v>
      </c>
      <c r="CI199" cm="1">
        <f t="array" ref="CI199:CS199">VLOOKUP(A199,verticalmove_pitchers_2019!A:N,{3,4,5,6,7,8,9,10,11,12,13},FALSE)</f>
        <v>71.2</v>
      </c>
      <c r="CJ199">
        <v>9</v>
      </c>
      <c r="CK199">
        <v>0</v>
      </c>
      <c r="CL199">
        <v>0</v>
      </c>
      <c r="CM199">
        <v>6.8</v>
      </c>
      <c r="CN199">
        <v>4.4000000000000004</v>
      </c>
      <c r="CO199">
        <v>0</v>
      </c>
      <c r="CP199">
        <v>-5.6</v>
      </c>
      <c r="CQ199">
        <v>0</v>
      </c>
      <c r="CR199">
        <v>0</v>
      </c>
      <c r="CS199">
        <v>0</v>
      </c>
      <c r="CT199" cm="1">
        <f t="array" ref="CT199:DD199">VLOOKUP(A199,velocity_pitchers_2019!A:N,{3,4,5,6,7,8,9,10,11,12,13},FALSE)</f>
        <v>71.2</v>
      </c>
      <c r="CU199">
        <v>95.8</v>
      </c>
      <c r="CV199">
        <v>0</v>
      </c>
      <c r="CW199">
        <v>0</v>
      </c>
      <c r="CX199">
        <v>95.2</v>
      </c>
      <c r="CY199">
        <v>88.8</v>
      </c>
      <c r="CZ199">
        <v>0</v>
      </c>
      <c r="DA199">
        <v>82.3</v>
      </c>
      <c r="DB199">
        <v>0</v>
      </c>
      <c r="DC199">
        <v>0</v>
      </c>
      <c r="DD199">
        <v>0</v>
      </c>
    </row>
    <row r="200" spans="1:108" x14ac:dyDescent="0.3">
      <c r="A200" t="s">
        <v>206</v>
      </c>
      <c r="B200" t="str" cm="1">
        <f t="array" ref="B200:Y200">VLOOKUP(A200,standard_pitchers_2019!A:Y,{2,3,4,5,6,7,8,9,10,11,12,13,14,15,16,17,18,19,20,21,22,23,24,25},FALSE)</f>
        <v>- - -</v>
      </c>
      <c r="C200">
        <v>1</v>
      </c>
      <c r="D200">
        <v>3</v>
      </c>
      <c r="E200">
        <v>4.07</v>
      </c>
      <c r="F200">
        <v>66</v>
      </c>
      <c r="G200">
        <v>2</v>
      </c>
      <c r="H200">
        <v>0</v>
      </c>
      <c r="I200">
        <v>0</v>
      </c>
      <c r="J200">
        <v>0</v>
      </c>
      <c r="K200">
        <v>13</v>
      </c>
      <c r="L200">
        <v>0</v>
      </c>
      <c r="M200">
        <v>55.1</v>
      </c>
      <c r="N200">
        <v>241</v>
      </c>
      <c r="O200">
        <v>55</v>
      </c>
      <c r="P200">
        <v>25</v>
      </c>
      <c r="Q200">
        <v>25</v>
      </c>
      <c r="R200">
        <v>5</v>
      </c>
      <c r="S200">
        <v>25</v>
      </c>
      <c r="T200">
        <v>1</v>
      </c>
      <c r="U200">
        <v>4</v>
      </c>
      <c r="V200">
        <v>4</v>
      </c>
      <c r="W200">
        <v>1</v>
      </c>
      <c r="X200">
        <v>47</v>
      </c>
      <c r="Y200">
        <v>7947</v>
      </c>
      <c r="Z200" cm="1">
        <f t="array" ref="Z200:AR200">VLOOKUP(A200,advanced_pitchers_2019!A:Y,{3,4,5,6,7,8,9,10,11,12,13,14,15,16,17,18,19,20,21},FALSE)</f>
        <v>7.64</v>
      </c>
      <c r="AA200">
        <v>4.07</v>
      </c>
      <c r="AB200">
        <v>1.88</v>
      </c>
      <c r="AC200">
        <v>0.81</v>
      </c>
      <c r="AD200">
        <v>0.19500000000000001</v>
      </c>
      <c r="AE200">
        <v>0.104</v>
      </c>
      <c r="AF200">
        <v>9.0999999999999998E-2</v>
      </c>
      <c r="AG200">
        <v>0.25900000000000001</v>
      </c>
      <c r="AH200">
        <v>1.45</v>
      </c>
      <c r="AI200">
        <v>0.313</v>
      </c>
      <c r="AJ200">
        <v>0.76600000000000001</v>
      </c>
      <c r="AK200">
        <v>91</v>
      </c>
      <c r="AL200">
        <v>94</v>
      </c>
      <c r="AM200">
        <v>108</v>
      </c>
      <c r="AN200">
        <v>4.07</v>
      </c>
      <c r="AO200">
        <v>4.26</v>
      </c>
      <c r="AP200">
        <v>-0.2</v>
      </c>
      <c r="AQ200">
        <v>4.96</v>
      </c>
      <c r="AR200">
        <v>4.79</v>
      </c>
      <c r="AS200" cm="1">
        <f t="array" ref="AS200:BA200">VLOOKUP(A200,plate_discipline_pitchers_2019!A:L,{3,4,5,6,7,8,9,10,11},FALSE)</f>
        <v>0.28999999999999998</v>
      </c>
      <c r="AT200">
        <v>0.64700000000000002</v>
      </c>
      <c r="AU200">
        <v>0.439</v>
      </c>
      <c r="AV200">
        <v>0.71199999999999997</v>
      </c>
      <c r="AW200">
        <v>0.88</v>
      </c>
      <c r="AX200">
        <v>0.81499999999999995</v>
      </c>
      <c r="AY200">
        <v>0.41699999999999998</v>
      </c>
      <c r="AZ200">
        <v>0.67600000000000005</v>
      </c>
      <c r="BA200">
        <v>8.1000000000000003E-2</v>
      </c>
      <c r="BB200" cm="1">
        <f t="array" ref="BB200:BP200">VLOOKUP(A200,pitchvalue_pitchers_2019!A:Q,{3,4,5,6,7,8,9,10,11,12,13,14,15,16,17},FALSE)</f>
        <v>-1.4</v>
      </c>
      <c r="BC200">
        <v>-0.7</v>
      </c>
      <c r="BD200">
        <v>0</v>
      </c>
      <c r="BE200">
        <v>0</v>
      </c>
      <c r="BF200">
        <v>7.1</v>
      </c>
      <c r="BG200">
        <v>0</v>
      </c>
      <c r="BH200">
        <v>0</v>
      </c>
      <c r="BI200">
        <v>-0.35</v>
      </c>
      <c r="BJ200">
        <v>-0.2</v>
      </c>
      <c r="BK200">
        <v>0</v>
      </c>
      <c r="BL200">
        <v>0</v>
      </c>
      <c r="BM200">
        <v>5.23</v>
      </c>
      <c r="BN200">
        <v>0</v>
      </c>
      <c r="BO200">
        <v>0</v>
      </c>
      <c r="BP200">
        <v>7947</v>
      </c>
      <c r="BQ200" cm="1">
        <f t="array" ref="BQ200:CH200">VLOOKUP(A200,battedball_pitchers_2019!A:U,{3,4,5,6,7,8,9,10,11,12,13,14,15,16,17,18,19,20},FALSE)</f>
        <v>0.313</v>
      </c>
      <c r="BR200">
        <v>1.42</v>
      </c>
      <c r="BS200">
        <v>0.23599999999999999</v>
      </c>
      <c r="BT200">
        <v>0.44800000000000001</v>
      </c>
      <c r="BU200">
        <v>0.315</v>
      </c>
      <c r="BV200">
        <v>1.9E-2</v>
      </c>
      <c r="BW200">
        <v>9.6000000000000002E-2</v>
      </c>
      <c r="BX200">
        <v>31</v>
      </c>
      <c r="BY200">
        <v>5.04</v>
      </c>
      <c r="BZ200">
        <v>350</v>
      </c>
      <c r="CA200">
        <v>573</v>
      </c>
      <c r="CB200">
        <v>923</v>
      </c>
      <c r="CC200">
        <v>0.41199999999999998</v>
      </c>
      <c r="CD200">
        <v>0.33900000000000002</v>
      </c>
      <c r="CE200">
        <v>0.248</v>
      </c>
      <c r="CF200">
        <v>0.188</v>
      </c>
      <c r="CG200">
        <v>0.47299999999999998</v>
      </c>
      <c r="CH200">
        <v>0.33900000000000002</v>
      </c>
      <c r="CI200" cm="1">
        <f t="array" ref="CI200:CS200">VLOOKUP(A200,verticalmove_pitchers_2019!A:N,{3,4,5,6,7,8,9,10,11,12,13},FALSE)</f>
        <v>55.1</v>
      </c>
      <c r="CJ200">
        <v>4.4000000000000004</v>
      </c>
      <c r="CK200">
        <v>0</v>
      </c>
      <c r="CL200">
        <v>0</v>
      </c>
      <c r="CM200">
        <v>0.7</v>
      </c>
      <c r="CN200">
        <v>-1.4</v>
      </c>
      <c r="CO200">
        <v>2</v>
      </c>
      <c r="CP200">
        <v>0</v>
      </c>
      <c r="CQ200">
        <v>0</v>
      </c>
      <c r="CR200">
        <v>0</v>
      </c>
      <c r="CS200">
        <v>0</v>
      </c>
      <c r="CT200" cm="1">
        <f t="array" ref="CT200:DD200">VLOOKUP(A200,velocity_pitchers_2019!A:N,{3,4,5,6,7,8,9,10,11,12,13},FALSE)</f>
        <v>55.1</v>
      </c>
      <c r="CU200">
        <v>91.4</v>
      </c>
      <c r="CV200">
        <v>0</v>
      </c>
      <c r="CW200">
        <v>0</v>
      </c>
      <c r="CX200">
        <v>91.5</v>
      </c>
      <c r="CY200">
        <v>85.6</v>
      </c>
      <c r="CZ200">
        <v>85.5</v>
      </c>
      <c r="DA200">
        <v>0</v>
      </c>
      <c r="DB200">
        <v>0</v>
      </c>
      <c r="DC200">
        <v>0</v>
      </c>
      <c r="DD200">
        <v>0</v>
      </c>
    </row>
    <row r="201" spans="1:108" x14ac:dyDescent="0.3">
      <c r="A201" t="s">
        <v>331</v>
      </c>
      <c r="B201" t="str" cm="1">
        <f t="array" ref="B201:Y201">VLOOKUP(A201,standard_pitchers_2019!A:Y,{2,3,4,5,6,7,8,9,10,11,12,13,14,15,16,17,18,19,20,21,22,23,24,25},FALSE)</f>
        <v>Padres</v>
      </c>
      <c r="C201">
        <v>0</v>
      </c>
      <c r="D201">
        <v>1</v>
      </c>
      <c r="E201">
        <v>5.37</v>
      </c>
      <c r="F201">
        <v>37</v>
      </c>
      <c r="G201">
        <v>1</v>
      </c>
      <c r="H201">
        <v>0</v>
      </c>
      <c r="I201">
        <v>0</v>
      </c>
      <c r="J201">
        <v>0</v>
      </c>
      <c r="K201">
        <v>5</v>
      </c>
      <c r="L201">
        <v>1</v>
      </c>
      <c r="M201">
        <v>55.1</v>
      </c>
      <c r="N201">
        <v>251</v>
      </c>
      <c r="O201">
        <v>72</v>
      </c>
      <c r="P201">
        <v>36</v>
      </c>
      <c r="Q201">
        <v>33</v>
      </c>
      <c r="R201">
        <v>6</v>
      </c>
      <c r="S201">
        <v>15</v>
      </c>
      <c r="T201">
        <v>0</v>
      </c>
      <c r="U201">
        <v>1</v>
      </c>
      <c r="V201">
        <v>3</v>
      </c>
      <c r="W201">
        <v>0</v>
      </c>
      <c r="X201">
        <v>52</v>
      </c>
      <c r="Y201">
        <v>10354</v>
      </c>
      <c r="Z201" cm="1">
        <f t="array" ref="Z201:AR201">VLOOKUP(A201,advanced_pitchers_2019!A:Y,{3,4,5,6,7,8,9,10,11,12,13,14,15,16,17,18,19,20,21},FALSE)</f>
        <v>8.4600000000000009</v>
      </c>
      <c r="AA201">
        <v>2.44</v>
      </c>
      <c r="AB201">
        <v>3.47</v>
      </c>
      <c r="AC201">
        <v>0.98</v>
      </c>
      <c r="AD201">
        <v>0.20699999999999999</v>
      </c>
      <c r="AE201">
        <v>0.06</v>
      </c>
      <c r="AF201">
        <v>0.14699999999999999</v>
      </c>
      <c r="AG201">
        <v>0.30599999999999999</v>
      </c>
      <c r="AH201">
        <v>1.57</v>
      </c>
      <c r="AI201">
        <v>0.373</v>
      </c>
      <c r="AJ201">
        <v>0.65300000000000002</v>
      </c>
      <c r="AK201">
        <v>126</v>
      </c>
      <c r="AL201">
        <v>82</v>
      </c>
      <c r="AM201">
        <v>93</v>
      </c>
      <c r="AN201">
        <v>5.37</v>
      </c>
      <c r="AO201">
        <v>3.61</v>
      </c>
      <c r="AP201">
        <v>1.76</v>
      </c>
      <c r="AQ201">
        <v>4.1399999999999997</v>
      </c>
      <c r="AR201">
        <v>4.07</v>
      </c>
      <c r="AS201" cm="1">
        <f t="array" ref="AS201:BA201">VLOOKUP(A201,plate_discipline_pitchers_2019!A:L,{3,4,5,6,7,8,9,10,11},FALSE)</f>
        <v>0.315</v>
      </c>
      <c r="AT201">
        <v>0.71399999999999997</v>
      </c>
      <c r="AU201">
        <v>0.47799999999999998</v>
      </c>
      <c r="AV201">
        <v>0.64800000000000002</v>
      </c>
      <c r="AW201">
        <v>0.875</v>
      </c>
      <c r="AX201">
        <v>0.78600000000000003</v>
      </c>
      <c r="AY201">
        <v>0.40799999999999997</v>
      </c>
      <c r="AZ201">
        <v>0.64500000000000002</v>
      </c>
      <c r="BA201">
        <v>0.10199999999999999</v>
      </c>
      <c r="BB201" cm="1">
        <f t="array" ref="BB201:BP201">VLOOKUP(A201,pitchvalue_pitchers_2019!A:Q,{3,4,5,6,7,8,9,10,11,12,13,14,15,16,17},FALSE)</f>
        <v>-1.4</v>
      </c>
      <c r="BC201">
        <v>0.6</v>
      </c>
      <c r="BD201">
        <v>-2.1</v>
      </c>
      <c r="BE201">
        <v>2.4</v>
      </c>
      <c r="BF201">
        <v>-3.8</v>
      </c>
      <c r="BG201">
        <v>0</v>
      </c>
      <c r="BH201">
        <v>0</v>
      </c>
      <c r="BI201">
        <v>-0.28999999999999998</v>
      </c>
      <c r="BJ201">
        <v>6.69</v>
      </c>
      <c r="BK201">
        <v>-2.2999999999999998</v>
      </c>
      <c r="BL201">
        <v>1.1200000000000001</v>
      </c>
      <c r="BM201">
        <v>-2.42</v>
      </c>
      <c r="BN201">
        <v>0</v>
      </c>
      <c r="BO201">
        <v>0</v>
      </c>
      <c r="BP201">
        <v>10354</v>
      </c>
      <c r="BQ201" cm="1">
        <f t="array" ref="BQ201:CH201">VLOOKUP(A201,battedball_pitchers_2019!A:U,{3,4,5,6,7,8,9,10,11,12,13,14,15,16,17,18,19,20},FALSE)</f>
        <v>0.373</v>
      </c>
      <c r="BR201">
        <v>1.5</v>
      </c>
      <c r="BS201">
        <v>0.254</v>
      </c>
      <c r="BT201">
        <v>0.44800000000000001</v>
      </c>
      <c r="BU201">
        <v>0.29799999999999999</v>
      </c>
      <c r="BV201">
        <v>9.2999999999999999E-2</v>
      </c>
      <c r="BW201">
        <v>0.111</v>
      </c>
      <c r="BX201">
        <v>29</v>
      </c>
      <c r="BY201">
        <v>4.72</v>
      </c>
      <c r="BZ201">
        <v>350</v>
      </c>
      <c r="CA201">
        <v>609</v>
      </c>
      <c r="CB201">
        <v>959</v>
      </c>
      <c r="CC201">
        <v>0.443</v>
      </c>
      <c r="CD201">
        <v>0.33900000000000002</v>
      </c>
      <c r="CE201">
        <v>0.219</v>
      </c>
      <c r="CF201">
        <v>0.18</v>
      </c>
      <c r="CG201">
        <v>0.38300000000000001</v>
      </c>
      <c r="CH201">
        <v>0.437</v>
      </c>
      <c r="CI201" cm="1">
        <f t="array" ref="CI201:CS201">VLOOKUP(A201,verticalmove_pitchers_2019!A:N,{3,4,5,6,7,8,9,10,11,12,13},FALSE)</f>
        <v>55.1</v>
      </c>
      <c r="CJ201">
        <v>9.6999999999999993</v>
      </c>
      <c r="CK201">
        <v>4.9000000000000004</v>
      </c>
      <c r="CL201">
        <v>0</v>
      </c>
      <c r="CM201">
        <v>6.8</v>
      </c>
      <c r="CN201">
        <v>4.5999999999999996</v>
      </c>
      <c r="CO201">
        <v>-1</v>
      </c>
      <c r="CP201">
        <v>-10.8</v>
      </c>
      <c r="CQ201">
        <v>0</v>
      </c>
      <c r="CR201">
        <v>0</v>
      </c>
      <c r="CS201">
        <v>0</v>
      </c>
      <c r="CT201" cm="1">
        <f t="array" ref="CT201:DD201">VLOOKUP(A201,velocity_pitchers_2019!A:N,{3,4,5,6,7,8,9,10,11,12,13},FALSE)</f>
        <v>55.1</v>
      </c>
      <c r="CU201">
        <v>91</v>
      </c>
      <c r="CV201">
        <v>88.7</v>
      </c>
      <c r="CW201">
        <v>0</v>
      </c>
      <c r="CX201">
        <v>90.7</v>
      </c>
      <c r="CY201">
        <v>83.7</v>
      </c>
      <c r="CZ201">
        <v>83.2</v>
      </c>
      <c r="DA201">
        <v>76.5</v>
      </c>
      <c r="DB201">
        <v>0</v>
      </c>
      <c r="DC201">
        <v>0</v>
      </c>
      <c r="DD201">
        <v>0</v>
      </c>
    </row>
    <row r="202" spans="1:108" x14ac:dyDescent="0.3">
      <c r="A202" t="s">
        <v>271</v>
      </c>
      <c r="B202" t="str" cm="1">
        <f t="array" ref="B202:Y202">VLOOKUP(A202,standard_pitchers_2019!A:Y,{2,3,4,5,6,7,8,9,10,11,12,13,14,15,16,17,18,19,20,21,22,23,24,25},FALSE)</f>
        <v>- - -</v>
      </c>
      <c r="C202">
        <v>1</v>
      </c>
      <c r="D202">
        <v>3</v>
      </c>
      <c r="E202">
        <v>4.62</v>
      </c>
      <c r="F202">
        <v>52</v>
      </c>
      <c r="G202">
        <v>0</v>
      </c>
      <c r="H202">
        <v>0</v>
      </c>
      <c r="I202">
        <v>0</v>
      </c>
      <c r="J202">
        <v>1</v>
      </c>
      <c r="K202">
        <v>8</v>
      </c>
      <c r="L202">
        <v>1</v>
      </c>
      <c r="M202">
        <v>50.2</v>
      </c>
      <c r="N202">
        <v>210</v>
      </c>
      <c r="O202">
        <v>46</v>
      </c>
      <c r="P202">
        <v>29</v>
      </c>
      <c r="Q202">
        <v>26</v>
      </c>
      <c r="R202">
        <v>6</v>
      </c>
      <c r="S202">
        <v>10</v>
      </c>
      <c r="T202">
        <v>0</v>
      </c>
      <c r="U202">
        <v>4</v>
      </c>
      <c r="V202">
        <v>2</v>
      </c>
      <c r="W202">
        <v>0</v>
      </c>
      <c r="X202">
        <v>26</v>
      </c>
      <c r="Y202">
        <v>13442</v>
      </c>
      <c r="Z202" cm="1">
        <f t="array" ref="Z202:AR202">VLOOKUP(A202,advanced_pitchers_2019!A:Y,{3,4,5,6,7,8,9,10,11,12,13,14,15,16,17,18,19,20,21},FALSE)</f>
        <v>4.62</v>
      </c>
      <c r="AA202">
        <v>1.78</v>
      </c>
      <c r="AB202">
        <v>2.6</v>
      </c>
      <c r="AC202">
        <v>1.07</v>
      </c>
      <c r="AD202">
        <v>0.124</v>
      </c>
      <c r="AE202">
        <v>4.8000000000000001E-2</v>
      </c>
      <c r="AF202">
        <v>7.5999999999999998E-2</v>
      </c>
      <c r="AG202">
        <v>0.23499999999999999</v>
      </c>
      <c r="AH202">
        <v>1.1100000000000001</v>
      </c>
      <c r="AI202">
        <v>0.24399999999999999</v>
      </c>
      <c r="AJ202">
        <v>0.60099999999999998</v>
      </c>
      <c r="AK202">
        <v>103</v>
      </c>
      <c r="AL202">
        <v>100</v>
      </c>
      <c r="AM202">
        <v>121</v>
      </c>
      <c r="AN202">
        <v>4.62</v>
      </c>
      <c r="AO202">
        <v>4.5599999999999996</v>
      </c>
      <c r="AP202">
        <v>0.06</v>
      </c>
      <c r="AQ202">
        <v>5.41</v>
      </c>
      <c r="AR202">
        <v>5.0999999999999996</v>
      </c>
      <c r="AS202" cm="1">
        <f t="array" ref="AS202:BA202">VLOOKUP(A202,plate_discipline_pitchers_2019!A:L,{3,4,5,6,7,8,9,10,11},FALSE)</f>
        <v>0.38300000000000001</v>
      </c>
      <c r="AT202">
        <v>0.73499999999999999</v>
      </c>
      <c r="AU202">
        <v>0.53300000000000003</v>
      </c>
      <c r="AV202">
        <v>0.70399999999999996</v>
      </c>
      <c r="AW202">
        <v>0.84099999999999997</v>
      </c>
      <c r="AX202">
        <v>0.78500000000000003</v>
      </c>
      <c r="AY202">
        <v>0.42699999999999999</v>
      </c>
      <c r="AZ202">
        <v>0.68100000000000005</v>
      </c>
      <c r="BA202">
        <v>0.115</v>
      </c>
      <c r="BB202" cm="1">
        <f t="array" ref="BB202:BP202">VLOOKUP(A202,pitchvalue_pitchers_2019!A:Q,{3,4,5,6,7,8,9,10,11,12,13,14,15,16,17},FALSE)</f>
        <v>-1.5</v>
      </c>
      <c r="BC202">
        <v>-0.8</v>
      </c>
      <c r="BD202">
        <v>0</v>
      </c>
      <c r="BE202">
        <v>0</v>
      </c>
      <c r="BF202">
        <v>6.9</v>
      </c>
      <c r="BG202">
        <v>0</v>
      </c>
      <c r="BH202">
        <v>0</v>
      </c>
      <c r="BI202">
        <v>-0.43</v>
      </c>
      <c r="BJ202">
        <v>-0.68</v>
      </c>
      <c r="BK202">
        <v>0</v>
      </c>
      <c r="BL202">
        <v>0</v>
      </c>
      <c r="BM202">
        <v>2.61</v>
      </c>
      <c r="BN202">
        <v>0</v>
      </c>
      <c r="BO202">
        <v>0</v>
      </c>
      <c r="BP202">
        <v>13442</v>
      </c>
      <c r="BQ202" cm="1">
        <f t="array" ref="BQ202:CH202">VLOOKUP(A202,battedball_pitchers_2019!A:U,{3,4,5,6,7,8,9,10,11,12,13,14,15,16,17,18,19,20},FALSE)</f>
        <v>0.24399999999999999</v>
      </c>
      <c r="BR202">
        <v>1.1000000000000001</v>
      </c>
      <c r="BS202">
        <v>0.22900000000000001</v>
      </c>
      <c r="BT202">
        <v>0.40400000000000003</v>
      </c>
      <c r="BU202">
        <v>0.36699999999999999</v>
      </c>
      <c r="BV202">
        <v>0.115</v>
      </c>
      <c r="BW202">
        <v>9.8000000000000004E-2</v>
      </c>
      <c r="BX202">
        <v>26</v>
      </c>
      <c r="BY202">
        <v>4.62</v>
      </c>
      <c r="BZ202">
        <v>231</v>
      </c>
      <c r="CA202">
        <v>493</v>
      </c>
      <c r="CB202">
        <v>724</v>
      </c>
      <c r="CC202">
        <v>0.38200000000000001</v>
      </c>
      <c r="CD202">
        <v>0.38200000000000001</v>
      </c>
      <c r="CE202">
        <v>0.23499999999999999</v>
      </c>
      <c r="CF202">
        <v>0.16500000000000001</v>
      </c>
      <c r="CG202">
        <v>0.47599999999999998</v>
      </c>
      <c r="CH202">
        <v>0.35899999999999999</v>
      </c>
      <c r="CI202" cm="1">
        <f t="array" ref="CI202:CS202">VLOOKUP(A202,verticalmove_pitchers_2019!A:N,{3,4,5,6,7,8,9,10,11,12,13},FALSE)</f>
        <v>50.2</v>
      </c>
      <c r="CJ202">
        <v>8.6</v>
      </c>
      <c r="CK202">
        <v>2.5</v>
      </c>
      <c r="CL202">
        <v>0</v>
      </c>
      <c r="CM202">
        <v>5.8</v>
      </c>
      <c r="CN202">
        <v>6.8</v>
      </c>
      <c r="CO202">
        <v>-0.5</v>
      </c>
      <c r="CP202">
        <v>0</v>
      </c>
      <c r="CQ202">
        <v>0</v>
      </c>
      <c r="CR202">
        <v>0</v>
      </c>
      <c r="CS202">
        <v>0</v>
      </c>
      <c r="CT202" cm="1">
        <f t="array" ref="CT202:DD202">VLOOKUP(A202,velocity_pitchers_2019!A:N,{3,4,5,6,7,8,9,10,11,12,13},FALSE)</f>
        <v>50.2</v>
      </c>
      <c r="CU202">
        <v>91.9</v>
      </c>
      <c r="CV202">
        <v>85</v>
      </c>
      <c r="CW202">
        <v>0</v>
      </c>
      <c r="CX202">
        <v>91.4</v>
      </c>
      <c r="CY202">
        <v>72.900000000000006</v>
      </c>
      <c r="CZ202">
        <v>81.3</v>
      </c>
      <c r="DA202">
        <v>0</v>
      </c>
      <c r="DB202">
        <v>0</v>
      </c>
      <c r="DC202">
        <v>0</v>
      </c>
      <c r="DD202">
        <v>0</v>
      </c>
    </row>
    <row r="203" spans="1:108" x14ac:dyDescent="0.3">
      <c r="A203" t="s">
        <v>266</v>
      </c>
      <c r="B203" t="str" cm="1">
        <f t="array" ref="B203:Y203">VLOOKUP(A203,standard_pitchers_2019!A:Y,{2,3,4,5,6,7,8,9,10,11,12,13,14,15,16,17,18,19,20,21,22,23,24,25},FALSE)</f>
        <v>Angels</v>
      </c>
      <c r="C203">
        <v>8</v>
      </c>
      <c r="D203">
        <v>3</v>
      </c>
      <c r="E203">
        <v>4.58</v>
      </c>
      <c r="F203">
        <v>22</v>
      </c>
      <c r="G203">
        <v>7</v>
      </c>
      <c r="H203">
        <v>0</v>
      </c>
      <c r="I203">
        <v>0</v>
      </c>
      <c r="J203">
        <v>0</v>
      </c>
      <c r="K203">
        <v>1</v>
      </c>
      <c r="L203">
        <v>0</v>
      </c>
      <c r="M203">
        <v>96.1</v>
      </c>
      <c r="N203">
        <v>407</v>
      </c>
      <c r="O203">
        <v>80</v>
      </c>
      <c r="P203">
        <v>56</v>
      </c>
      <c r="Q203">
        <v>49</v>
      </c>
      <c r="R203">
        <v>16</v>
      </c>
      <c r="S203">
        <v>34</v>
      </c>
      <c r="T203">
        <v>0</v>
      </c>
      <c r="U203">
        <v>6</v>
      </c>
      <c r="V203">
        <v>8</v>
      </c>
      <c r="W203">
        <v>0</v>
      </c>
      <c r="X203">
        <v>101</v>
      </c>
      <c r="Y203">
        <v>13403</v>
      </c>
      <c r="Z203" cm="1">
        <f t="array" ref="Z203:AR203">VLOOKUP(A203,advanced_pitchers_2019!A:Y,{3,4,5,6,7,8,9,10,11,12,13,14,15,16,17,18,19,20,21},FALSE)</f>
        <v>9.44</v>
      </c>
      <c r="AA203">
        <v>3.18</v>
      </c>
      <c r="AB203">
        <v>2.97</v>
      </c>
      <c r="AC203">
        <v>1.49</v>
      </c>
      <c r="AD203">
        <v>0.248</v>
      </c>
      <c r="AE203">
        <v>8.4000000000000005E-2</v>
      </c>
      <c r="AF203">
        <v>0.16500000000000001</v>
      </c>
      <c r="AG203">
        <v>0.218</v>
      </c>
      <c r="AH203">
        <v>1.18</v>
      </c>
      <c r="AI203">
        <v>0.25600000000000001</v>
      </c>
      <c r="AJ203">
        <v>0.65600000000000003</v>
      </c>
      <c r="AK203">
        <v>102</v>
      </c>
      <c r="AL203">
        <v>99</v>
      </c>
      <c r="AM203">
        <v>94</v>
      </c>
      <c r="AN203">
        <v>4.58</v>
      </c>
      <c r="AO203">
        <v>4.5199999999999996</v>
      </c>
      <c r="AP203">
        <v>0.06</v>
      </c>
      <c r="AQ203">
        <v>4.28</v>
      </c>
      <c r="AR203">
        <v>4.08</v>
      </c>
      <c r="AS203" cm="1">
        <f t="array" ref="AS203:BA203">VLOOKUP(A203,plate_discipline_pitchers_2019!A:L,{3,4,5,6,7,8,9,10,11},FALSE)</f>
        <v>0.317</v>
      </c>
      <c r="AT203">
        <v>0.63200000000000001</v>
      </c>
      <c r="AU203">
        <v>0.44800000000000001</v>
      </c>
      <c r="AV203">
        <v>0.51</v>
      </c>
      <c r="AW203">
        <v>0.86</v>
      </c>
      <c r="AX203">
        <v>0.71599999999999997</v>
      </c>
      <c r="AY203">
        <v>0.41699999999999998</v>
      </c>
      <c r="AZ203">
        <v>0.57999999999999996</v>
      </c>
      <c r="BA203">
        <v>0.127</v>
      </c>
      <c r="BB203" cm="1">
        <f t="array" ref="BB203:BP203">VLOOKUP(A203,pitchvalue_pitchers_2019!A:Q,{3,4,5,6,7,8,9,10,11,12,13,14,15,16,17},FALSE)</f>
        <v>-1.5</v>
      </c>
      <c r="BC203">
        <v>0</v>
      </c>
      <c r="BD203">
        <v>0</v>
      </c>
      <c r="BE203">
        <v>8.6</v>
      </c>
      <c r="BF203">
        <v>-4.7</v>
      </c>
      <c r="BG203">
        <v>0</v>
      </c>
      <c r="BH203">
        <v>0</v>
      </c>
      <c r="BI203">
        <v>-0.19</v>
      </c>
      <c r="BJ203">
        <v>0</v>
      </c>
      <c r="BK203">
        <v>0</v>
      </c>
      <c r="BL203">
        <v>1.39</v>
      </c>
      <c r="BM203">
        <v>-2.62</v>
      </c>
      <c r="BN203">
        <v>0</v>
      </c>
      <c r="BO203">
        <v>0</v>
      </c>
      <c r="BP203">
        <v>13403</v>
      </c>
      <c r="BQ203" cm="1">
        <f t="array" ref="BQ203:CH203">VLOOKUP(A203,battedball_pitchers_2019!A:U,{3,4,5,6,7,8,9,10,11,12,13,14,15,16,17,18,19,20},FALSE)</f>
        <v>0.25600000000000001</v>
      </c>
      <c r="BR203">
        <v>1.2</v>
      </c>
      <c r="BS203">
        <v>0.223</v>
      </c>
      <c r="BT203">
        <v>0.42399999999999999</v>
      </c>
      <c r="BU203">
        <v>0.35199999999999998</v>
      </c>
      <c r="BV203">
        <v>6.5000000000000002E-2</v>
      </c>
      <c r="BW203">
        <v>0.17199999999999999</v>
      </c>
      <c r="BX203">
        <v>49</v>
      </c>
      <c r="BY203">
        <v>4.58</v>
      </c>
      <c r="BZ203">
        <v>595</v>
      </c>
      <c r="CA203">
        <v>975</v>
      </c>
      <c r="CB203">
        <v>1570</v>
      </c>
      <c r="CC203">
        <v>0.47699999999999998</v>
      </c>
      <c r="CD203">
        <v>0.316</v>
      </c>
      <c r="CE203">
        <v>0.20699999999999999</v>
      </c>
      <c r="CF203">
        <v>0.13500000000000001</v>
      </c>
      <c r="CG203">
        <v>0.44700000000000001</v>
      </c>
      <c r="CH203">
        <v>0.41699999999999998</v>
      </c>
      <c r="CI203" cm="1">
        <f t="array" ref="CI203:CS203">VLOOKUP(A203,verticalmove_pitchers_2019!A:N,{3,4,5,6,7,8,9,10,11,12,13},FALSE)</f>
        <v>96.1</v>
      </c>
      <c r="CJ203">
        <v>7.8</v>
      </c>
      <c r="CK203">
        <v>0</v>
      </c>
      <c r="CL203">
        <v>0</v>
      </c>
      <c r="CM203">
        <v>5.5</v>
      </c>
      <c r="CN203">
        <v>5.2</v>
      </c>
      <c r="CO203">
        <v>-0.6</v>
      </c>
      <c r="CP203">
        <v>0</v>
      </c>
      <c r="CQ203">
        <v>0</v>
      </c>
      <c r="CR203">
        <v>0</v>
      </c>
      <c r="CS203">
        <v>0</v>
      </c>
      <c r="CT203" cm="1">
        <f t="array" ref="CT203:DD203">VLOOKUP(A203,velocity_pitchers_2019!A:N,{3,4,5,6,7,8,9,10,11,12,13},FALSE)</f>
        <v>96.1</v>
      </c>
      <c r="CU203">
        <v>91.6</v>
      </c>
      <c r="CV203">
        <v>0</v>
      </c>
      <c r="CW203">
        <v>0</v>
      </c>
      <c r="CX203">
        <v>92</v>
      </c>
      <c r="CY203">
        <v>84.3</v>
      </c>
      <c r="CZ203">
        <v>82.7</v>
      </c>
      <c r="DA203">
        <v>0</v>
      </c>
      <c r="DB203">
        <v>0</v>
      </c>
      <c r="DC203">
        <v>0</v>
      </c>
      <c r="DD203">
        <v>0</v>
      </c>
    </row>
    <row r="204" spans="1:108" x14ac:dyDescent="0.3">
      <c r="A204" t="s">
        <v>312</v>
      </c>
      <c r="B204" t="str" cm="1">
        <f t="array" ref="B204:Y204">VLOOKUP(A204,standard_pitchers_2019!A:Y,{2,3,4,5,6,7,8,9,10,11,12,13,14,15,16,17,18,19,20,21,22,23,24,25},FALSE)</f>
        <v>Yankees</v>
      </c>
      <c r="C204">
        <v>5</v>
      </c>
      <c r="D204">
        <v>8</v>
      </c>
      <c r="E204">
        <v>4.95</v>
      </c>
      <c r="F204">
        <v>23</v>
      </c>
      <c r="G204">
        <v>22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107.1</v>
      </c>
      <c r="N204">
        <v>468</v>
      </c>
      <c r="O204">
        <v>112</v>
      </c>
      <c r="P204">
        <v>64</v>
      </c>
      <c r="Q204">
        <v>59</v>
      </c>
      <c r="R204">
        <v>27</v>
      </c>
      <c r="S204">
        <v>39</v>
      </c>
      <c r="T204">
        <v>0</v>
      </c>
      <c r="U204">
        <v>3</v>
      </c>
      <c r="V204">
        <v>0</v>
      </c>
      <c r="W204">
        <v>0</v>
      </c>
      <c r="X204">
        <v>107</v>
      </c>
      <c r="Y204">
        <v>404</v>
      </c>
      <c r="Z204" cm="1">
        <f t="array" ref="Z204:AR204">VLOOKUP(A204,advanced_pitchers_2019!A:Y,{3,4,5,6,7,8,9,10,11,12,13,14,15,16,17,18,19,20,21},FALSE)</f>
        <v>8.9700000000000006</v>
      </c>
      <c r="AA204">
        <v>3.27</v>
      </c>
      <c r="AB204">
        <v>2.74</v>
      </c>
      <c r="AC204">
        <v>2.2599999999999998</v>
      </c>
      <c r="AD204">
        <v>0.22900000000000001</v>
      </c>
      <c r="AE204">
        <v>8.3000000000000004E-2</v>
      </c>
      <c r="AF204">
        <v>0.14499999999999999</v>
      </c>
      <c r="AG204">
        <v>0.26300000000000001</v>
      </c>
      <c r="AH204">
        <v>1.41</v>
      </c>
      <c r="AI204">
        <v>0.29099999999999998</v>
      </c>
      <c r="AJ204">
        <v>0.77500000000000002</v>
      </c>
      <c r="AK204">
        <v>107</v>
      </c>
      <c r="AL204">
        <v>121</v>
      </c>
      <c r="AM204">
        <v>103</v>
      </c>
      <c r="AN204">
        <v>4.95</v>
      </c>
      <c r="AO204">
        <v>5.66</v>
      </c>
      <c r="AP204">
        <v>-0.72</v>
      </c>
      <c r="AQ204">
        <v>4.7300000000000004</v>
      </c>
      <c r="AR204">
        <v>4.5999999999999996</v>
      </c>
      <c r="AS204" cm="1">
        <f t="array" ref="AS204:BA204">VLOOKUP(A204,plate_discipline_pitchers_2019!A:L,{3,4,5,6,7,8,9,10,11},FALSE)</f>
        <v>0.33100000000000002</v>
      </c>
      <c r="AT204">
        <v>0.69599999999999995</v>
      </c>
      <c r="AU204">
        <v>0.47299999999999998</v>
      </c>
      <c r="AV204">
        <v>0.63200000000000001</v>
      </c>
      <c r="AW204">
        <v>0.85399999999999998</v>
      </c>
      <c r="AX204">
        <v>0.75900000000000001</v>
      </c>
      <c r="AY204">
        <v>0.38800000000000001</v>
      </c>
      <c r="AZ204">
        <v>0.61299999999999999</v>
      </c>
      <c r="BA204">
        <v>0.114</v>
      </c>
      <c r="BB204" cm="1">
        <f t="array" ref="BB204:BP204">VLOOKUP(A204,pitchvalue_pitchers_2019!A:Q,{3,4,5,6,7,8,9,10,11,12,13,14,15,16,17},FALSE)</f>
        <v>-1.5</v>
      </c>
      <c r="BC204">
        <v>-5.6</v>
      </c>
      <c r="BD204">
        <v>-5.2</v>
      </c>
      <c r="BE204">
        <v>0</v>
      </c>
      <c r="BF204">
        <v>-0.9</v>
      </c>
      <c r="BG204">
        <v>0</v>
      </c>
      <c r="BH204">
        <v>0</v>
      </c>
      <c r="BI204">
        <v>-0.54</v>
      </c>
      <c r="BJ204">
        <v>-1.06</v>
      </c>
      <c r="BK204">
        <v>-0.72</v>
      </c>
      <c r="BL204">
        <v>0</v>
      </c>
      <c r="BM204">
        <v>-0.41</v>
      </c>
      <c r="BN204">
        <v>0</v>
      </c>
      <c r="BO204">
        <v>0</v>
      </c>
      <c r="BP204">
        <v>404</v>
      </c>
      <c r="BQ204" cm="1">
        <f t="array" ref="BQ204:CH204">VLOOKUP(A204,battedball_pitchers_2019!A:U,{3,4,5,6,7,8,9,10,11,12,13,14,15,16,17,18,19,20},FALSE)</f>
        <v>0.29099999999999998</v>
      </c>
      <c r="BR204">
        <v>0.99</v>
      </c>
      <c r="BS204">
        <v>0.20100000000000001</v>
      </c>
      <c r="BT204">
        <v>0.39800000000000002</v>
      </c>
      <c r="BU204">
        <v>0.40100000000000002</v>
      </c>
      <c r="BV204">
        <v>0.11899999999999999</v>
      </c>
      <c r="BW204">
        <v>0.214</v>
      </c>
      <c r="BX204">
        <v>61</v>
      </c>
      <c r="BY204">
        <v>5.1100000000000003</v>
      </c>
      <c r="BZ204">
        <v>624</v>
      </c>
      <c r="CA204">
        <v>1105</v>
      </c>
      <c r="CB204">
        <v>1729</v>
      </c>
      <c r="CC204">
        <v>0.46500000000000002</v>
      </c>
      <c r="CD204">
        <v>0.318</v>
      </c>
      <c r="CE204">
        <v>0.217</v>
      </c>
      <c r="CF204">
        <v>0.189</v>
      </c>
      <c r="CG204">
        <v>0.434</v>
      </c>
      <c r="CH204">
        <v>0.377</v>
      </c>
      <c r="CI204" cm="1">
        <f t="array" ref="CI204:CS204">VLOOKUP(A204,verticalmove_pitchers_2019!A:N,{3,4,5,6,7,8,9,10,11,12,13},FALSE)</f>
        <v>107.1</v>
      </c>
      <c r="CJ204">
        <v>7.4</v>
      </c>
      <c r="CK204">
        <v>5.5</v>
      </c>
      <c r="CL204">
        <v>0</v>
      </c>
      <c r="CM204">
        <v>4.3</v>
      </c>
      <c r="CN204">
        <v>3.9</v>
      </c>
      <c r="CO204">
        <v>-0.1</v>
      </c>
      <c r="CP204">
        <v>0</v>
      </c>
      <c r="CQ204">
        <v>0</v>
      </c>
      <c r="CR204">
        <v>0</v>
      </c>
      <c r="CS204">
        <v>0</v>
      </c>
      <c r="CT204" cm="1">
        <f t="array" ref="CT204:DD204">VLOOKUP(A204,velocity_pitchers_2019!A:N,{3,4,5,6,7,8,9,10,11,12,13},FALSE)</f>
        <v>107.1</v>
      </c>
      <c r="CU204">
        <v>89.8</v>
      </c>
      <c r="CV204">
        <v>88.6</v>
      </c>
      <c r="CW204">
        <v>0</v>
      </c>
      <c r="CX204">
        <v>89.4</v>
      </c>
      <c r="CY204">
        <v>82.9</v>
      </c>
      <c r="CZ204">
        <v>79.400000000000006</v>
      </c>
      <c r="DA204">
        <v>0</v>
      </c>
      <c r="DB204">
        <v>0</v>
      </c>
      <c r="DC204">
        <v>0</v>
      </c>
      <c r="DD204">
        <v>0</v>
      </c>
    </row>
    <row r="205" spans="1:108" x14ac:dyDescent="0.3">
      <c r="A205" t="s">
        <v>82</v>
      </c>
      <c r="B205" t="str" cm="1">
        <f t="array" ref="B205:Y205">VLOOKUP(A205,standard_pitchers_2019!A:Y,{2,3,4,5,6,7,8,9,10,11,12,13,14,15,16,17,18,19,20,21,22,23,24,25},FALSE)</f>
        <v>Giants</v>
      </c>
      <c r="C205">
        <v>6</v>
      </c>
      <c r="D205">
        <v>0</v>
      </c>
      <c r="E205">
        <v>2.76</v>
      </c>
      <c r="F205">
        <v>63</v>
      </c>
      <c r="G205">
        <v>0</v>
      </c>
      <c r="H205">
        <v>0</v>
      </c>
      <c r="I205">
        <v>0</v>
      </c>
      <c r="J205">
        <v>34</v>
      </c>
      <c r="K205">
        <v>0</v>
      </c>
      <c r="L205">
        <v>4</v>
      </c>
      <c r="M205">
        <v>65.099999999999994</v>
      </c>
      <c r="N205">
        <v>257</v>
      </c>
      <c r="O205">
        <v>46</v>
      </c>
      <c r="P205">
        <v>20</v>
      </c>
      <c r="Q205">
        <v>20</v>
      </c>
      <c r="R205">
        <v>10</v>
      </c>
      <c r="S205">
        <v>21</v>
      </c>
      <c r="T205">
        <v>2</v>
      </c>
      <c r="U205">
        <v>0</v>
      </c>
      <c r="V205">
        <v>3</v>
      </c>
      <c r="W205">
        <v>0</v>
      </c>
      <c r="X205">
        <v>96</v>
      </c>
      <c r="Y205">
        <v>8048</v>
      </c>
      <c r="Z205" cm="1">
        <f t="array" ref="Z205:AR205">VLOOKUP(A205,advanced_pitchers_2019!A:Y,{3,4,5,6,7,8,9,10,11,12,13,14,15,16,17,18,19,20,21},FALSE)</f>
        <v>13.22</v>
      </c>
      <c r="AA205">
        <v>2.89</v>
      </c>
      <c r="AB205">
        <v>4.57</v>
      </c>
      <c r="AC205">
        <v>1.38</v>
      </c>
      <c r="AD205">
        <v>0.374</v>
      </c>
      <c r="AE205">
        <v>8.2000000000000003E-2</v>
      </c>
      <c r="AF205">
        <v>0.29199999999999998</v>
      </c>
      <c r="AG205">
        <v>0.19500000000000001</v>
      </c>
      <c r="AH205">
        <v>1.03</v>
      </c>
      <c r="AI205">
        <v>0.27700000000000002</v>
      </c>
      <c r="AJ205">
        <v>0.88700000000000001</v>
      </c>
      <c r="AK205">
        <v>66</v>
      </c>
      <c r="AL205">
        <v>77</v>
      </c>
      <c r="AM205">
        <v>61</v>
      </c>
      <c r="AN205">
        <v>2.76</v>
      </c>
      <c r="AO205">
        <v>3.23</v>
      </c>
      <c r="AP205">
        <v>-0.47</v>
      </c>
      <c r="AQ205">
        <v>2.73</v>
      </c>
      <c r="AR205">
        <v>2.71</v>
      </c>
      <c r="AS205" cm="1">
        <f t="array" ref="AS205:BA205">VLOOKUP(A205,plate_discipline_pitchers_2019!A:L,{3,4,5,6,7,8,9,10,11},FALSE)</f>
        <v>0.36199999999999999</v>
      </c>
      <c r="AT205">
        <v>0.64100000000000001</v>
      </c>
      <c r="AU205">
        <v>0.47499999999999998</v>
      </c>
      <c r="AV205">
        <v>0.45800000000000002</v>
      </c>
      <c r="AW205">
        <v>0.84799999999999998</v>
      </c>
      <c r="AX205">
        <v>0.67100000000000004</v>
      </c>
      <c r="AY205">
        <v>0.40400000000000003</v>
      </c>
      <c r="AZ205">
        <v>0.623</v>
      </c>
      <c r="BA205">
        <v>0.156</v>
      </c>
      <c r="BB205" cm="1">
        <f t="array" ref="BB205:BP205">VLOOKUP(A205,pitchvalue_pitchers_2019!A:Q,{3,4,5,6,7,8,9,10,11,12,13,14,15,16,17},FALSE)</f>
        <v>-1.6</v>
      </c>
      <c r="BC205">
        <v>14.3</v>
      </c>
      <c r="BD205">
        <v>0</v>
      </c>
      <c r="BE205">
        <v>1.8</v>
      </c>
      <c r="BF205">
        <v>0.1</v>
      </c>
      <c r="BG205">
        <v>0</v>
      </c>
      <c r="BH205">
        <v>0</v>
      </c>
      <c r="BI205">
        <v>-0.32</v>
      </c>
      <c r="BJ205">
        <v>3.15</v>
      </c>
      <c r="BK205">
        <v>0</v>
      </c>
      <c r="BL205">
        <v>2.23</v>
      </c>
      <c r="BM205">
        <v>0.74</v>
      </c>
      <c r="BN205">
        <v>0</v>
      </c>
      <c r="BO205">
        <v>0</v>
      </c>
      <c r="BP205">
        <v>8048</v>
      </c>
      <c r="BQ205" cm="1">
        <f t="array" ref="BQ205:CH205">VLOOKUP(A205,battedball_pitchers_2019!A:U,{3,4,5,6,7,8,9,10,11,12,13,14,15,16,17,18,19,20},FALSE)</f>
        <v>0.27700000000000002</v>
      </c>
      <c r="BR205">
        <v>1.18</v>
      </c>
      <c r="BS205">
        <v>0.22500000000000001</v>
      </c>
      <c r="BT205">
        <v>0.42</v>
      </c>
      <c r="BU205">
        <v>0.35499999999999998</v>
      </c>
      <c r="BV205">
        <v>6.0999999999999999E-2</v>
      </c>
      <c r="BW205">
        <v>0.20399999999999999</v>
      </c>
      <c r="BX205">
        <v>15</v>
      </c>
      <c r="BY205">
        <v>2.0699999999999998</v>
      </c>
      <c r="BZ205">
        <v>354</v>
      </c>
      <c r="CA205">
        <v>689</v>
      </c>
      <c r="CB205">
        <v>1043</v>
      </c>
      <c r="CC205">
        <v>0.41399999999999998</v>
      </c>
      <c r="CD205">
        <v>0.314</v>
      </c>
      <c r="CE205">
        <v>0.27100000000000002</v>
      </c>
      <c r="CF205">
        <v>0.157</v>
      </c>
      <c r="CG205">
        <v>0.45</v>
      </c>
      <c r="CH205">
        <v>0.39300000000000002</v>
      </c>
      <c r="CI205" cm="1">
        <f t="array" ref="CI205:CS205">VLOOKUP(A205,verticalmove_pitchers_2019!A:N,{3,4,5,6,7,8,9,10,11,12,13},FALSE)</f>
        <v>65.099999999999994</v>
      </c>
      <c r="CJ205">
        <v>9.1999999999999993</v>
      </c>
      <c r="CK205">
        <v>0</v>
      </c>
      <c r="CL205">
        <v>0</v>
      </c>
      <c r="CM205">
        <v>0</v>
      </c>
      <c r="CN205">
        <v>6.9</v>
      </c>
      <c r="CO205">
        <v>-0.3</v>
      </c>
      <c r="CP205">
        <v>-5.5</v>
      </c>
      <c r="CQ205">
        <v>0</v>
      </c>
      <c r="CR205">
        <v>0</v>
      </c>
      <c r="CS205">
        <v>0</v>
      </c>
      <c r="CT205" cm="1">
        <f t="array" ref="CT205:DD205">VLOOKUP(A205,velocity_pitchers_2019!A:N,{3,4,5,6,7,8,9,10,11,12,13},FALSE)</f>
        <v>65.099999999999994</v>
      </c>
      <c r="CU205">
        <v>92.9</v>
      </c>
      <c r="CV205">
        <v>0</v>
      </c>
      <c r="CW205">
        <v>0</v>
      </c>
      <c r="CX205">
        <v>0</v>
      </c>
      <c r="CY205">
        <v>87.4</v>
      </c>
      <c r="CZ205">
        <v>81.8</v>
      </c>
      <c r="DA205">
        <v>77.400000000000006</v>
      </c>
      <c r="DB205">
        <v>0</v>
      </c>
      <c r="DC205">
        <v>0</v>
      </c>
      <c r="DD205">
        <v>0</v>
      </c>
    </row>
    <row r="206" spans="1:108" x14ac:dyDescent="0.3">
      <c r="A206" t="s">
        <v>211</v>
      </c>
      <c r="B206" t="str" cm="1">
        <f t="array" ref="B206:Y206">VLOOKUP(A206,standard_pitchers_2019!A:Y,{2,3,4,5,6,7,8,9,10,11,12,13,14,15,16,17,18,19,20,21,22,23,24,25},FALSE)</f>
        <v>Red Sox</v>
      </c>
      <c r="C206">
        <v>1</v>
      </c>
      <c r="D206">
        <v>2</v>
      </c>
      <c r="E206">
        <v>4.12</v>
      </c>
      <c r="F206">
        <v>58</v>
      </c>
      <c r="G206">
        <v>0</v>
      </c>
      <c r="H206">
        <v>0</v>
      </c>
      <c r="I206">
        <v>0</v>
      </c>
      <c r="J206">
        <v>0</v>
      </c>
      <c r="K206">
        <v>6</v>
      </c>
      <c r="L206">
        <v>1</v>
      </c>
      <c r="M206">
        <v>54.2</v>
      </c>
      <c r="N206">
        <v>253</v>
      </c>
      <c r="O206">
        <v>59</v>
      </c>
      <c r="P206">
        <v>26</v>
      </c>
      <c r="Q206">
        <v>25</v>
      </c>
      <c r="R206">
        <v>6</v>
      </c>
      <c r="S206">
        <v>34</v>
      </c>
      <c r="T206">
        <v>1</v>
      </c>
      <c r="U206">
        <v>2</v>
      </c>
      <c r="V206">
        <v>9</v>
      </c>
      <c r="W206">
        <v>0</v>
      </c>
      <c r="X206">
        <v>52</v>
      </c>
      <c r="Y206">
        <v>12997</v>
      </c>
      <c r="Z206" cm="1">
        <f t="array" ref="Z206:AR206">VLOOKUP(A206,advanced_pitchers_2019!A:Y,{3,4,5,6,7,8,9,10,11,12,13,14,15,16,17,18,19,20,21},FALSE)</f>
        <v>8.56</v>
      </c>
      <c r="AA206">
        <v>5.6</v>
      </c>
      <c r="AB206">
        <v>1.53</v>
      </c>
      <c r="AC206">
        <v>0.99</v>
      </c>
      <c r="AD206">
        <v>0.20599999999999999</v>
      </c>
      <c r="AE206">
        <v>0.13400000000000001</v>
      </c>
      <c r="AF206">
        <v>7.0999999999999994E-2</v>
      </c>
      <c r="AG206">
        <v>0.27200000000000002</v>
      </c>
      <c r="AH206">
        <v>1.7</v>
      </c>
      <c r="AI206">
        <v>0.33300000000000002</v>
      </c>
      <c r="AJ206">
        <v>0.79700000000000004</v>
      </c>
      <c r="AK206">
        <v>85</v>
      </c>
      <c r="AL206">
        <v>104</v>
      </c>
      <c r="AM206">
        <v>106</v>
      </c>
      <c r="AN206">
        <v>4.12</v>
      </c>
      <c r="AO206">
        <v>4.71</v>
      </c>
      <c r="AP206">
        <v>-0.6</v>
      </c>
      <c r="AQ206">
        <v>4.8499999999999996</v>
      </c>
      <c r="AR206">
        <v>4.9800000000000004</v>
      </c>
      <c r="AS206" cm="1">
        <f t="array" ref="AS206:BA206">VLOOKUP(A206,plate_discipline_pitchers_2019!A:L,{3,4,5,6,7,8,9,10,11},FALSE)</f>
        <v>0.28699999999999998</v>
      </c>
      <c r="AT206">
        <v>0.64100000000000001</v>
      </c>
      <c r="AU206">
        <v>0.42499999999999999</v>
      </c>
      <c r="AV206">
        <v>0.55100000000000005</v>
      </c>
      <c r="AW206">
        <v>0.86199999999999999</v>
      </c>
      <c r="AX206">
        <v>0.73399999999999999</v>
      </c>
      <c r="AY206">
        <v>0.39</v>
      </c>
      <c r="AZ206">
        <v>0.53</v>
      </c>
      <c r="BA206">
        <v>0.113</v>
      </c>
      <c r="BB206" cm="1">
        <f t="array" ref="BB206:BP206">VLOOKUP(A206,pitchvalue_pitchers_2019!A:Q,{3,4,5,6,7,8,9,10,11,12,13,14,15,16,17},FALSE)</f>
        <v>-1.6</v>
      </c>
      <c r="BC206">
        <v>-0.1</v>
      </c>
      <c r="BD206">
        <v>-0.2</v>
      </c>
      <c r="BE206">
        <v>-4</v>
      </c>
      <c r="BF206">
        <v>0.2</v>
      </c>
      <c r="BG206">
        <v>0</v>
      </c>
      <c r="BH206">
        <v>0</v>
      </c>
      <c r="BI206">
        <v>-8.58</v>
      </c>
      <c r="BJ206">
        <v>-7.0000000000000007E-2</v>
      </c>
      <c r="BK206">
        <v>-0.05</v>
      </c>
      <c r="BL206">
        <v>-0.88</v>
      </c>
      <c r="BM206">
        <v>8.75</v>
      </c>
      <c r="BN206">
        <v>0</v>
      </c>
      <c r="BO206">
        <v>0</v>
      </c>
      <c r="BP206">
        <v>12997</v>
      </c>
      <c r="BQ206" cm="1">
        <f t="array" ref="BQ206:CH206">VLOOKUP(A206,battedball_pitchers_2019!A:U,{3,4,5,6,7,8,9,10,11,12,13,14,15,16,17,18,19,20},FALSE)</f>
        <v>0.33300000000000002</v>
      </c>
      <c r="BR206">
        <v>1.91</v>
      </c>
      <c r="BS206">
        <v>0.23300000000000001</v>
      </c>
      <c r="BT206">
        <v>0.503</v>
      </c>
      <c r="BU206">
        <v>0.26400000000000001</v>
      </c>
      <c r="BV206">
        <v>9.2999999999999999E-2</v>
      </c>
      <c r="BW206">
        <v>0.14000000000000001</v>
      </c>
      <c r="BX206">
        <v>32</v>
      </c>
      <c r="BY206">
        <v>5.27</v>
      </c>
      <c r="BZ206">
        <v>401</v>
      </c>
      <c r="CA206">
        <v>615</v>
      </c>
      <c r="CB206">
        <v>1016</v>
      </c>
      <c r="CC206">
        <v>0.46100000000000002</v>
      </c>
      <c r="CD206">
        <v>0.32700000000000001</v>
      </c>
      <c r="CE206">
        <v>0.21199999999999999</v>
      </c>
      <c r="CF206">
        <v>0.17599999999999999</v>
      </c>
      <c r="CG206">
        <v>0.55200000000000005</v>
      </c>
      <c r="CH206">
        <v>0.27300000000000002</v>
      </c>
      <c r="CI206" cm="1">
        <f t="array" ref="CI206:CS206">VLOOKUP(A206,verticalmove_pitchers_2019!A:N,{3,4,5,6,7,8,9,10,11,12,13},FALSE)</f>
        <v>54.2</v>
      </c>
      <c r="CJ206">
        <v>5.3</v>
      </c>
      <c r="CK206">
        <v>3.6</v>
      </c>
      <c r="CL206">
        <v>0</v>
      </c>
      <c r="CM206">
        <v>0</v>
      </c>
      <c r="CN206">
        <v>2.6</v>
      </c>
      <c r="CO206">
        <v>-0.3</v>
      </c>
      <c r="CP206">
        <v>-10</v>
      </c>
      <c r="CQ206">
        <v>0</v>
      </c>
      <c r="CR206">
        <v>0</v>
      </c>
      <c r="CS206">
        <v>0</v>
      </c>
      <c r="CT206" cm="1">
        <f t="array" ref="CT206:DD206">VLOOKUP(A206,velocity_pitchers_2019!A:N,{3,4,5,6,7,8,9,10,11,12,13},FALSE)</f>
        <v>54.2</v>
      </c>
      <c r="CU206">
        <v>95.2</v>
      </c>
      <c r="CV206">
        <v>93.5</v>
      </c>
      <c r="CW206">
        <v>0</v>
      </c>
      <c r="CX206">
        <v>0</v>
      </c>
      <c r="CY206">
        <v>89.9</v>
      </c>
      <c r="CZ206">
        <v>88.2</v>
      </c>
      <c r="DA206">
        <v>82.1</v>
      </c>
      <c r="DB206">
        <v>0</v>
      </c>
      <c r="DC206">
        <v>0</v>
      </c>
      <c r="DD206">
        <v>0</v>
      </c>
    </row>
    <row r="207" spans="1:108" x14ac:dyDescent="0.3">
      <c r="A207" t="s">
        <v>214</v>
      </c>
      <c r="B207" t="str" cm="1">
        <f t="array" ref="B207:Y207">VLOOKUP(A207,standard_pitchers_2019!A:Y,{2,3,4,5,6,7,8,9,10,11,12,13,14,15,16,17,18,19,20,21,22,23,24,25},FALSE)</f>
        <v>Phillies</v>
      </c>
      <c r="C207">
        <v>10</v>
      </c>
      <c r="D207">
        <v>13</v>
      </c>
      <c r="E207">
        <v>4.13</v>
      </c>
      <c r="F207">
        <v>32</v>
      </c>
      <c r="G207">
        <v>28</v>
      </c>
      <c r="H207">
        <v>2</v>
      </c>
      <c r="I207">
        <v>1</v>
      </c>
      <c r="J207">
        <v>0</v>
      </c>
      <c r="K207">
        <v>0</v>
      </c>
      <c r="L207">
        <v>0</v>
      </c>
      <c r="M207">
        <v>163.1</v>
      </c>
      <c r="N207">
        <v>705</v>
      </c>
      <c r="O207">
        <v>172</v>
      </c>
      <c r="P207">
        <v>88</v>
      </c>
      <c r="Q207">
        <v>75</v>
      </c>
      <c r="R207">
        <v>28</v>
      </c>
      <c r="S207">
        <v>48</v>
      </c>
      <c r="T207">
        <v>5</v>
      </c>
      <c r="U207">
        <v>6</v>
      </c>
      <c r="V207">
        <v>1</v>
      </c>
      <c r="W207">
        <v>0</v>
      </c>
      <c r="X207">
        <v>129</v>
      </c>
      <c r="Y207">
        <v>13774</v>
      </c>
      <c r="Z207" cm="1">
        <f t="array" ref="Z207:AR207">VLOOKUP(A207,advanced_pitchers_2019!A:Y,{3,4,5,6,7,8,9,10,11,12,13,14,15,16,17,18,19,20,21},FALSE)</f>
        <v>7.11</v>
      </c>
      <c r="AA207">
        <v>2.64</v>
      </c>
      <c r="AB207">
        <v>2.69</v>
      </c>
      <c r="AC207">
        <v>1.54</v>
      </c>
      <c r="AD207">
        <v>0.183</v>
      </c>
      <c r="AE207">
        <v>6.8000000000000005E-2</v>
      </c>
      <c r="AF207">
        <v>0.115</v>
      </c>
      <c r="AG207">
        <v>0.26400000000000001</v>
      </c>
      <c r="AH207">
        <v>1.35</v>
      </c>
      <c r="AI207">
        <v>0.29099999999999998</v>
      </c>
      <c r="AJ207">
        <v>0.73899999999999999</v>
      </c>
      <c r="AK207">
        <v>94</v>
      </c>
      <c r="AL207">
        <v>107</v>
      </c>
      <c r="AM207">
        <v>107</v>
      </c>
      <c r="AN207">
        <v>4.13</v>
      </c>
      <c r="AO207">
        <v>4.8499999999999996</v>
      </c>
      <c r="AP207">
        <v>-0.72</v>
      </c>
      <c r="AQ207">
        <v>4.76</v>
      </c>
      <c r="AR207">
        <v>4.8600000000000003</v>
      </c>
      <c r="AS207" cm="1">
        <f t="array" ref="AS207:BA207">VLOOKUP(A207,plate_discipline_pitchers_2019!A:L,{3,4,5,6,7,8,9,10,11},FALSE)</f>
        <v>0.317</v>
      </c>
      <c r="AT207">
        <v>0.67700000000000005</v>
      </c>
      <c r="AU207">
        <v>0.47499999999999998</v>
      </c>
      <c r="AV207">
        <v>0.71199999999999997</v>
      </c>
      <c r="AW207">
        <v>0.86899999999999999</v>
      </c>
      <c r="AX207">
        <v>0.81</v>
      </c>
      <c r="AY207">
        <v>0.438</v>
      </c>
      <c r="AZ207">
        <v>0.68200000000000005</v>
      </c>
      <c r="BA207">
        <v>0.09</v>
      </c>
      <c r="BB207" cm="1">
        <f t="array" ref="BB207:BP207">VLOOKUP(A207,pitchvalue_pitchers_2019!A:Q,{3,4,5,6,7,8,9,10,11,12,13,14,15,16,17},FALSE)</f>
        <v>-1.8</v>
      </c>
      <c r="BC207">
        <v>5.5</v>
      </c>
      <c r="BD207">
        <v>-1.7</v>
      </c>
      <c r="BE207">
        <v>-1.7</v>
      </c>
      <c r="BF207">
        <v>-4</v>
      </c>
      <c r="BG207">
        <v>0</v>
      </c>
      <c r="BH207">
        <v>0</v>
      </c>
      <c r="BI207">
        <v>-0.12</v>
      </c>
      <c r="BJ207">
        <v>0.77</v>
      </c>
      <c r="BK207">
        <v>-1.91</v>
      </c>
      <c r="BL207">
        <v>-1.24</v>
      </c>
      <c r="BM207">
        <v>-1.98</v>
      </c>
      <c r="BN207">
        <v>0</v>
      </c>
      <c r="BO207">
        <v>0</v>
      </c>
      <c r="BP207">
        <v>13774</v>
      </c>
      <c r="BQ207" cm="1">
        <f t="array" ref="BQ207:CH207">VLOOKUP(A207,battedball_pitchers_2019!A:U,{3,4,5,6,7,8,9,10,11,12,13,14,15,16,17,18,19,20},FALSE)</f>
        <v>0.29099999999999998</v>
      </c>
      <c r="BR207">
        <v>1.29</v>
      </c>
      <c r="BS207">
        <v>0.21099999999999999</v>
      </c>
      <c r="BT207">
        <v>0.44400000000000001</v>
      </c>
      <c r="BU207">
        <v>0.34499999999999997</v>
      </c>
      <c r="BV207">
        <v>8.5999999999999993E-2</v>
      </c>
      <c r="BW207">
        <v>0.16</v>
      </c>
      <c r="BX207">
        <v>90</v>
      </c>
      <c r="BY207">
        <v>4.96</v>
      </c>
      <c r="BZ207">
        <v>884</v>
      </c>
      <c r="CA207">
        <v>1687</v>
      </c>
      <c r="CB207">
        <v>2571</v>
      </c>
      <c r="CC207">
        <v>0.40799999999999997</v>
      </c>
      <c r="CD207">
        <v>0.34499999999999997</v>
      </c>
      <c r="CE207">
        <v>0.247</v>
      </c>
      <c r="CF207">
        <v>0.161</v>
      </c>
      <c r="CG207">
        <v>0.46</v>
      </c>
      <c r="CH207">
        <v>0.379</v>
      </c>
      <c r="CI207" cm="1">
        <f t="array" ref="CI207:CS207">VLOOKUP(A207,verticalmove_pitchers_2019!A:N,{3,4,5,6,7,8,9,10,11,12,13},FALSE)</f>
        <v>163.1</v>
      </c>
      <c r="CJ207">
        <v>7.2</v>
      </c>
      <c r="CK207">
        <v>5.5</v>
      </c>
      <c r="CL207">
        <v>0</v>
      </c>
      <c r="CM207">
        <v>4.0999999999999996</v>
      </c>
      <c r="CN207">
        <v>4.0999999999999996</v>
      </c>
      <c r="CO207">
        <v>3.1</v>
      </c>
      <c r="CP207">
        <v>-5.0999999999999996</v>
      </c>
      <c r="CQ207">
        <v>0</v>
      </c>
      <c r="CR207">
        <v>0</v>
      </c>
      <c r="CS207">
        <v>0</v>
      </c>
      <c r="CT207" cm="1">
        <f t="array" ref="CT207:DD207">VLOOKUP(A207,velocity_pitchers_2019!A:N,{3,4,5,6,7,8,9,10,11,12,13},FALSE)</f>
        <v>163.1</v>
      </c>
      <c r="CU207">
        <v>94.2</v>
      </c>
      <c r="CV207">
        <v>90</v>
      </c>
      <c r="CW207">
        <v>0</v>
      </c>
      <c r="CX207">
        <v>93.4</v>
      </c>
      <c r="CY207">
        <v>87</v>
      </c>
      <c r="CZ207">
        <v>87.4</v>
      </c>
      <c r="DA207">
        <v>78.2</v>
      </c>
      <c r="DB207">
        <v>0</v>
      </c>
      <c r="DC207">
        <v>0</v>
      </c>
      <c r="DD207">
        <v>0</v>
      </c>
    </row>
    <row r="208" spans="1:108" x14ac:dyDescent="0.3">
      <c r="A208" t="s">
        <v>339</v>
      </c>
      <c r="B208" t="str" cm="1">
        <f t="array" ref="B208:Y208">VLOOKUP(A208,standard_pitchers_2019!A:Y,{2,3,4,5,6,7,8,9,10,11,12,13,14,15,16,17,18,19,20,21,22,23,24,25},FALSE)</f>
        <v>Giants</v>
      </c>
      <c r="C208">
        <v>3</v>
      </c>
      <c r="D208">
        <v>5</v>
      </c>
      <c r="E208">
        <v>5.44</v>
      </c>
      <c r="F208">
        <v>28</v>
      </c>
      <c r="G208">
        <v>16</v>
      </c>
      <c r="H208">
        <v>0</v>
      </c>
      <c r="I208">
        <v>0</v>
      </c>
      <c r="J208">
        <v>2</v>
      </c>
      <c r="K208">
        <v>1</v>
      </c>
      <c r="L208">
        <v>0</v>
      </c>
      <c r="M208">
        <v>96</v>
      </c>
      <c r="N208">
        <v>427</v>
      </c>
      <c r="O208">
        <v>111</v>
      </c>
      <c r="P208">
        <v>61</v>
      </c>
      <c r="Q208">
        <v>58</v>
      </c>
      <c r="R208">
        <v>13</v>
      </c>
      <c r="S208">
        <v>38</v>
      </c>
      <c r="T208">
        <v>3</v>
      </c>
      <c r="U208">
        <v>2</v>
      </c>
      <c r="V208">
        <v>6</v>
      </c>
      <c r="W208">
        <v>0</v>
      </c>
      <c r="X208">
        <v>70</v>
      </c>
      <c r="Y208">
        <v>19453</v>
      </c>
      <c r="Z208" cm="1">
        <f t="array" ref="Z208:AR208">VLOOKUP(A208,advanced_pitchers_2019!A:Y,{3,4,5,6,7,8,9,10,11,12,13,14,15,16,17,18,19,20,21},FALSE)</f>
        <v>6.56</v>
      </c>
      <c r="AA208">
        <v>3.56</v>
      </c>
      <c r="AB208">
        <v>1.84</v>
      </c>
      <c r="AC208">
        <v>1.22</v>
      </c>
      <c r="AD208">
        <v>0.16400000000000001</v>
      </c>
      <c r="AE208">
        <v>8.8999999999999996E-2</v>
      </c>
      <c r="AF208">
        <v>7.4999999999999997E-2</v>
      </c>
      <c r="AG208">
        <v>0.28699999999999998</v>
      </c>
      <c r="AH208">
        <v>1.55</v>
      </c>
      <c r="AI208">
        <v>0.32200000000000001</v>
      </c>
      <c r="AJ208">
        <v>0.67800000000000005</v>
      </c>
      <c r="AK208">
        <v>129</v>
      </c>
      <c r="AL208">
        <v>114</v>
      </c>
      <c r="AM208">
        <v>112</v>
      </c>
      <c r="AN208">
        <v>5.44</v>
      </c>
      <c r="AO208">
        <v>4.7699999999999996</v>
      </c>
      <c r="AP208">
        <v>0.67</v>
      </c>
      <c r="AQ208">
        <v>4.95</v>
      </c>
      <c r="AR208">
        <v>5.31</v>
      </c>
      <c r="AS208" cm="1">
        <f t="array" ref="AS208:BA208">VLOOKUP(A208,plate_discipline_pitchers_2019!A:L,{3,4,5,6,7,8,9,10,11},FALSE)</f>
        <v>0.307</v>
      </c>
      <c r="AT208">
        <v>0.72899999999999998</v>
      </c>
      <c r="AU208">
        <v>0.48199999999999998</v>
      </c>
      <c r="AV208">
        <v>0.69099999999999995</v>
      </c>
      <c r="AW208">
        <v>0.88300000000000001</v>
      </c>
      <c r="AX208">
        <v>0.81200000000000006</v>
      </c>
      <c r="AY208">
        <v>0.41499999999999998</v>
      </c>
      <c r="AZ208">
        <v>0.60899999999999999</v>
      </c>
      <c r="BA208">
        <v>9.0999999999999998E-2</v>
      </c>
      <c r="BB208" cm="1">
        <f t="array" ref="BB208:BP208">VLOOKUP(A208,pitchvalue_pitchers_2019!A:Q,{3,4,5,6,7,8,9,10,11,12,13,14,15,16,17},FALSE)</f>
        <v>-1.9</v>
      </c>
      <c r="BC208">
        <v>-1.3</v>
      </c>
      <c r="BD208">
        <v>0</v>
      </c>
      <c r="BE208">
        <v>-2.2999999999999998</v>
      </c>
      <c r="BF208">
        <v>-0.4</v>
      </c>
      <c r="BG208">
        <v>0</v>
      </c>
      <c r="BH208">
        <v>0</v>
      </c>
      <c r="BI208">
        <v>-0.21</v>
      </c>
      <c r="BJ208">
        <v>-0.28000000000000003</v>
      </c>
      <c r="BK208">
        <v>0</v>
      </c>
      <c r="BL208">
        <v>-4.45</v>
      </c>
      <c r="BM208">
        <v>-0.27</v>
      </c>
      <c r="BN208">
        <v>0</v>
      </c>
      <c r="BO208">
        <v>0</v>
      </c>
      <c r="BP208">
        <v>19453</v>
      </c>
      <c r="BQ208" cm="1">
        <f t="array" ref="BQ208:CH208">VLOOKUP(A208,battedball_pitchers_2019!A:U,{3,4,5,6,7,8,9,10,11,12,13,14,15,16,17,18,19,20},FALSE)</f>
        <v>0.32200000000000001</v>
      </c>
      <c r="BR208">
        <v>1.34</v>
      </c>
      <c r="BS208">
        <v>0.28100000000000003</v>
      </c>
      <c r="BT208">
        <v>0.41199999999999998</v>
      </c>
      <c r="BU208">
        <v>0.307</v>
      </c>
      <c r="BV208">
        <v>0.13800000000000001</v>
      </c>
      <c r="BW208">
        <v>0.13800000000000001</v>
      </c>
      <c r="BX208">
        <v>46</v>
      </c>
      <c r="BY208">
        <v>4.3099999999999996</v>
      </c>
      <c r="BZ208">
        <v>597</v>
      </c>
      <c r="CA208">
        <v>990</v>
      </c>
      <c r="CB208">
        <v>1587</v>
      </c>
      <c r="CC208">
        <v>0.42299999999999999</v>
      </c>
      <c r="CD208">
        <v>0.34699999999999998</v>
      </c>
      <c r="CE208">
        <v>0.23</v>
      </c>
      <c r="CF208">
        <v>0.17699999999999999</v>
      </c>
      <c r="CG208">
        <v>0.42299999999999999</v>
      </c>
      <c r="CH208">
        <v>0.40100000000000002</v>
      </c>
      <c r="CI208" cm="1">
        <f t="array" ref="CI208:CS208">VLOOKUP(A208,verticalmove_pitchers_2019!A:N,{3,4,5,6,7,8,9,10,11,12,13},FALSE)</f>
        <v>96</v>
      </c>
      <c r="CJ208">
        <v>7.7</v>
      </c>
      <c r="CK208">
        <v>0</v>
      </c>
      <c r="CL208">
        <v>0</v>
      </c>
      <c r="CM208">
        <v>6.5</v>
      </c>
      <c r="CN208">
        <v>3.6</v>
      </c>
      <c r="CO208">
        <v>0.1</v>
      </c>
      <c r="CP208">
        <v>-7.1</v>
      </c>
      <c r="CQ208">
        <v>0</v>
      </c>
      <c r="CR208">
        <v>0</v>
      </c>
      <c r="CS208">
        <v>0</v>
      </c>
      <c r="CT208" cm="1">
        <f t="array" ref="CT208:DD208">VLOOKUP(A208,velocity_pitchers_2019!A:N,{3,4,5,6,7,8,9,10,11,12,13},FALSE)</f>
        <v>96</v>
      </c>
      <c r="CU208">
        <v>92.8</v>
      </c>
      <c r="CV208">
        <v>0</v>
      </c>
      <c r="CW208">
        <v>0</v>
      </c>
      <c r="CX208">
        <v>92.8</v>
      </c>
      <c r="CY208">
        <v>86.2</v>
      </c>
      <c r="CZ208">
        <v>86.6</v>
      </c>
      <c r="DA208">
        <v>78.400000000000006</v>
      </c>
      <c r="DB208">
        <v>0</v>
      </c>
      <c r="DC208">
        <v>0</v>
      </c>
      <c r="DD208">
        <v>0</v>
      </c>
    </row>
    <row r="209" spans="1:108" x14ac:dyDescent="0.3">
      <c r="A209" t="s">
        <v>293</v>
      </c>
      <c r="B209" t="str" cm="1">
        <f t="array" ref="B209:Y209">VLOOKUP(A209,standard_pitchers_2019!A:Y,{2,3,4,5,6,7,8,9,10,11,12,13,14,15,16,17,18,19,20,21,22,23,24,25},FALSE)</f>
        <v>Diamondbacks</v>
      </c>
      <c r="C209">
        <v>0</v>
      </c>
      <c r="D209">
        <v>0</v>
      </c>
      <c r="E209">
        <v>4.82</v>
      </c>
      <c r="F209">
        <v>51</v>
      </c>
      <c r="G209">
        <v>0</v>
      </c>
      <c r="H209">
        <v>0</v>
      </c>
      <c r="I209">
        <v>0</v>
      </c>
      <c r="J209">
        <v>0</v>
      </c>
      <c r="K209">
        <v>9</v>
      </c>
      <c r="L209">
        <v>0</v>
      </c>
      <c r="M209">
        <v>56</v>
      </c>
      <c r="N209">
        <v>250</v>
      </c>
      <c r="O209">
        <v>71</v>
      </c>
      <c r="P209">
        <v>35</v>
      </c>
      <c r="Q209">
        <v>30</v>
      </c>
      <c r="R209">
        <v>6</v>
      </c>
      <c r="S209">
        <v>20</v>
      </c>
      <c r="T209">
        <v>5</v>
      </c>
      <c r="U209">
        <v>1</v>
      </c>
      <c r="V209">
        <v>1</v>
      </c>
      <c r="W209">
        <v>0</v>
      </c>
      <c r="X209">
        <v>35</v>
      </c>
      <c r="Y209">
        <v>3237</v>
      </c>
      <c r="Z209" cm="1">
        <f t="array" ref="Z209:AR209">VLOOKUP(A209,advanced_pitchers_2019!A:Y,{3,4,5,6,7,8,9,10,11,12,13,14,15,16,17,18,19,20,21},FALSE)</f>
        <v>5.63</v>
      </c>
      <c r="AA209">
        <v>3.21</v>
      </c>
      <c r="AB209">
        <v>1.75</v>
      </c>
      <c r="AC209">
        <v>0.96</v>
      </c>
      <c r="AD209">
        <v>0.14000000000000001</v>
      </c>
      <c r="AE209">
        <v>0.08</v>
      </c>
      <c r="AF209">
        <v>0.06</v>
      </c>
      <c r="AG209">
        <v>0.31</v>
      </c>
      <c r="AH209">
        <v>1.63</v>
      </c>
      <c r="AI209">
        <v>0.34599999999999997</v>
      </c>
      <c r="AJ209">
        <v>0.68200000000000005</v>
      </c>
      <c r="AK209">
        <v>109</v>
      </c>
      <c r="AL209">
        <v>102</v>
      </c>
      <c r="AM209">
        <v>98</v>
      </c>
      <c r="AN209">
        <v>4.82</v>
      </c>
      <c r="AO209">
        <v>4.4800000000000004</v>
      </c>
      <c r="AP209">
        <v>0.34</v>
      </c>
      <c r="AQ209">
        <v>4.33</v>
      </c>
      <c r="AR209">
        <v>4.3899999999999997</v>
      </c>
      <c r="AS209" cm="1">
        <f t="array" ref="AS209:BA209">VLOOKUP(A209,plate_discipline_pitchers_2019!A:L,{3,4,5,6,7,8,9,10,11},FALSE)</f>
        <v>0.379</v>
      </c>
      <c r="AT209">
        <v>0.73</v>
      </c>
      <c r="AU209">
        <v>0.49399999999999999</v>
      </c>
      <c r="AV209">
        <v>0.69899999999999995</v>
      </c>
      <c r="AW209">
        <v>0.90200000000000002</v>
      </c>
      <c r="AX209">
        <v>0.79700000000000004</v>
      </c>
      <c r="AY209">
        <v>0.32700000000000001</v>
      </c>
      <c r="AZ209">
        <v>0.56000000000000005</v>
      </c>
      <c r="BA209">
        <v>0.1</v>
      </c>
      <c r="BB209" cm="1">
        <f t="array" ref="BB209:BP209">VLOOKUP(A209,pitchvalue_pitchers_2019!A:Q,{3,4,5,6,7,8,9,10,11,12,13,14,15,16,17},FALSE)</f>
        <v>-2.2000000000000002</v>
      </c>
      <c r="BC209">
        <v>-1.2</v>
      </c>
      <c r="BD209">
        <v>0</v>
      </c>
      <c r="BE209">
        <v>0</v>
      </c>
      <c r="BF209">
        <v>-3.2</v>
      </c>
      <c r="BG209">
        <v>0</v>
      </c>
      <c r="BH209">
        <v>0</v>
      </c>
      <c r="BI209">
        <v>-0.36</v>
      </c>
      <c r="BJ209">
        <v>-0.84</v>
      </c>
      <c r="BK209">
        <v>0</v>
      </c>
      <c r="BL209">
        <v>0</v>
      </c>
      <c r="BM209">
        <v>-2.2000000000000002</v>
      </c>
      <c r="BN209">
        <v>0</v>
      </c>
      <c r="BO209">
        <v>0</v>
      </c>
      <c r="BP209">
        <v>3237</v>
      </c>
      <c r="BQ209" cm="1">
        <f t="array" ref="BQ209:CH209">VLOOKUP(A209,battedball_pitchers_2019!A:U,{3,4,5,6,7,8,9,10,11,12,13,14,15,16,17,18,19,20},FALSE)</f>
        <v>0.34599999999999997</v>
      </c>
      <c r="BR209">
        <v>3.31</v>
      </c>
      <c r="BS209">
        <v>0.20499999999999999</v>
      </c>
      <c r="BT209">
        <v>0.61099999999999999</v>
      </c>
      <c r="BU209">
        <v>0.184</v>
      </c>
      <c r="BV209">
        <v>2.9000000000000001E-2</v>
      </c>
      <c r="BW209">
        <v>0.17100000000000001</v>
      </c>
      <c r="BX209">
        <v>24</v>
      </c>
      <c r="BY209">
        <v>3.86</v>
      </c>
      <c r="BZ209">
        <v>340</v>
      </c>
      <c r="CA209">
        <v>557</v>
      </c>
      <c r="CB209">
        <v>897</v>
      </c>
      <c r="CC209">
        <v>0.433</v>
      </c>
      <c r="CD209">
        <v>0.34</v>
      </c>
      <c r="CE209">
        <v>0.22700000000000001</v>
      </c>
      <c r="CF209">
        <v>0.16</v>
      </c>
      <c r="CG209">
        <v>0.41199999999999998</v>
      </c>
      <c r="CH209">
        <v>0.42799999999999999</v>
      </c>
      <c r="CI209" cm="1">
        <f t="array" ref="CI209:CS209">VLOOKUP(A209,verticalmove_pitchers_2019!A:N,{3,4,5,6,7,8,9,10,11,12,13},FALSE)</f>
        <v>56</v>
      </c>
      <c r="CJ209">
        <v>4.9000000000000004</v>
      </c>
      <c r="CK209">
        <v>0</v>
      </c>
      <c r="CL209">
        <v>0</v>
      </c>
      <c r="CM209">
        <v>-0.7</v>
      </c>
      <c r="CN209">
        <v>0.8</v>
      </c>
      <c r="CO209">
        <v>-2.2999999999999998</v>
      </c>
      <c r="CP209">
        <v>0</v>
      </c>
      <c r="CQ209">
        <v>0</v>
      </c>
      <c r="CR209">
        <v>0</v>
      </c>
      <c r="CS209">
        <v>0</v>
      </c>
      <c r="CT209" cm="1">
        <f t="array" ref="CT209:DD209">VLOOKUP(A209,velocity_pitchers_2019!A:N,{3,4,5,6,7,8,9,10,11,12,13},FALSE)</f>
        <v>56</v>
      </c>
      <c r="CU209">
        <v>89</v>
      </c>
      <c r="CV209">
        <v>0</v>
      </c>
      <c r="CW209">
        <v>0</v>
      </c>
      <c r="CX209">
        <v>89.5</v>
      </c>
      <c r="CY209">
        <v>82</v>
      </c>
      <c r="CZ209">
        <v>81</v>
      </c>
      <c r="DA209">
        <v>0</v>
      </c>
      <c r="DB209">
        <v>0</v>
      </c>
      <c r="DC209">
        <v>0</v>
      </c>
      <c r="DD209">
        <v>0</v>
      </c>
    </row>
    <row r="210" spans="1:108" x14ac:dyDescent="0.3">
      <c r="A210" t="s">
        <v>310</v>
      </c>
      <c r="B210" t="str" cm="1">
        <f t="array" ref="B210:Y210">VLOOKUP(A210,standard_pitchers_2019!A:Y,{2,3,4,5,6,7,8,9,10,11,12,13,14,15,16,17,18,19,20,21,22,23,24,25},FALSE)</f>
        <v>Orioles</v>
      </c>
      <c r="C210">
        <v>4</v>
      </c>
      <c r="D210">
        <v>8</v>
      </c>
      <c r="E210">
        <v>4.92</v>
      </c>
      <c r="F210">
        <v>17</v>
      </c>
      <c r="G210">
        <v>16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82.1</v>
      </c>
      <c r="N210">
        <v>361</v>
      </c>
      <c r="O210">
        <v>80</v>
      </c>
      <c r="P210">
        <v>46</v>
      </c>
      <c r="Q210">
        <v>45</v>
      </c>
      <c r="R210">
        <v>17</v>
      </c>
      <c r="S210">
        <v>28</v>
      </c>
      <c r="T210">
        <v>0</v>
      </c>
      <c r="U210">
        <v>9</v>
      </c>
      <c r="V210">
        <v>3</v>
      </c>
      <c r="W210">
        <v>0</v>
      </c>
      <c r="X210">
        <v>80</v>
      </c>
      <c r="Y210">
        <v>10836</v>
      </c>
      <c r="Z210" cm="1">
        <f t="array" ref="Z210:AR210">VLOOKUP(A210,advanced_pitchers_2019!A:Y,{3,4,5,6,7,8,9,10,11,12,13,14,15,16,17,18,19,20,21},FALSE)</f>
        <v>8.74</v>
      </c>
      <c r="AA210">
        <v>3.06</v>
      </c>
      <c r="AB210">
        <v>2.86</v>
      </c>
      <c r="AC210">
        <v>1.86</v>
      </c>
      <c r="AD210">
        <v>0.222</v>
      </c>
      <c r="AE210">
        <v>7.8E-2</v>
      </c>
      <c r="AF210">
        <v>0.14399999999999999</v>
      </c>
      <c r="AG210">
        <v>0.247</v>
      </c>
      <c r="AH210">
        <v>1.31</v>
      </c>
      <c r="AI210">
        <v>0.27800000000000002</v>
      </c>
      <c r="AJ210">
        <v>0.76200000000000001</v>
      </c>
      <c r="AK210">
        <v>105</v>
      </c>
      <c r="AL210">
        <v>111</v>
      </c>
      <c r="AM210">
        <v>123</v>
      </c>
      <c r="AN210">
        <v>4.92</v>
      </c>
      <c r="AO210">
        <v>5.3</v>
      </c>
      <c r="AP210">
        <v>-0.38</v>
      </c>
      <c r="AQ210">
        <v>5.61</v>
      </c>
      <c r="AR210">
        <v>4.82</v>
      </c>
      <c r="AS210" cm="1">
        <f t="array" ref="AS210:BA210">VLOOKUP(A210,plate_discipline_pitchers_2019!A:L,{3,4,5,6,7,8,9,10,11},FALSE)</f>
        <v>0.33800000000000002</v>
      </c>
      <c r="AT210">
        <v>0.7</v>
      </c>
      <c r="AU210">
        <v>0.48599999999999999</v>
      </c>
      <c r="AV210">
        <v>0.63100000000000001</v>
      </c>
      <c r="AW210">
        <v>0.85699999999999998</v>
      </c>
      <c r="AX210">
        <v>0.76400000000000001</v>
      </c>
      <c r="AY210">
        <v>0.40899999999999997</v>
      </c>
      <c r="AZ210">
        <v>0.56200000000000006</v>
      </c>
      <c r="BA210">
        <v>0.115</v>
      </c>
      <c r="BB210" cm="1">
        <f t="array" ref="BB210:BP210">VLOOKUP(A210,pitchvalue_pitchers_2019!A:Q,{3,4,5,6,7,8,9,10,11,12,13,14,15,16,17},FALSE)</f>
        <v>-2.2999999999999998</v>
      </c>
      <c r="BC210">
        <v>-4.4000000000000004</v>
      </c>
      <c r="BD210">
        <v>2.2999999999999998</v>
      </c>
      <c r="BE210">
        <v>0</v>
      </c>
      <c r="BF210">
        <v>-2.6</v>
      </c>
      <c r="BG210">
        <v>0</v>
      </c>
      <c r="BH210">
        <v>0</v>
      </c>
      <c r="BI210">
        <v>-0.28999999999999998</v>
      </c>
      <c r="BJ210">
        <v>-1.22</v>
      </c>
      <c r="BK210">
        <v>0.82</v>
      </c>
      <c r="BL210">
        <v>0</v>
      </c>
      <c r="BM210">
        <v>-7.89</v>
      </c>
      <c r="BN210">
        <v>0</v>
      </c>
      <c r="BO210">
        <v>0</v>
      </c>
      <c r="BP210">
        <v>10836</v>
      </c>
      <c r="BQ210" cm="1">
        <f t="array" ref="BQ210:CH210">VLOOKUP(A210,battedball_pitchers_2019!A:U,{3,4,5,6,7,8,9,10,11,12,13,14,15,16,17,18,19,20},FALSE)</f>
        <v>0.27800000000000002</v>
      </c>
      <c r="BR210">
        <v>0.59</v>
      </c>
      <c r="BS210">
        <v>0.186</v>
      </c>
      <c r="BT210">
        <v>0.30199999999999999</v>
      </c>
      <c r="BU210">
        <v>0.51200000000000001</v>
      </c>
      <c r="BV210">
        <v>0.13700000000000001</v>
      </c>
      <c r="BW210">
        <v>0.13700000000000001</v>
      </c>
      <c r="BX210">
        <v>41</v>
      </c>
      <c r="BY210">
        <v>4.4800000000000004</v>
      </c>
      <c r="BZ210">
        <v>539</v>
      </c>
      <c r="CA210">
        <v>928</v>
      </c>
      <c r="CB210">
        <v>1467</v>
      </c>
      <c r="CC210">
        <v>0.41799999999999998</v>
      </c>
      <c r="CD210">
        <v>0.33200000000000002</v>
      </c>
      <c r="CE210">
        <v>0.25</v>
      </c>
      <c r="CF210">
        <v>0.18</v>
      </c>
      <c r="CG210">
        <v>0.46300000000000002</v>
      </c>
      <c r="CH210">
        <v>0.35699999999999998</v>
      </c>
      <c r="CI210" cm="1">
        <f t="array" ref="CI210:CS210">VLOOKUP(A210,verticalmove_pitchers_2019!A:N,{3,4,5,6,7,8,9,10,11,12,13},FALSE)</f>
        <v>82.1</v>
      </c>
      <c r="CJ210">
        <v>9.1999999999999993</v>
      </c>
      <c r="CK210">
        <v>2.2000000000000002</v>
      </c>
      <c r="CL210">
        <v>0</v>
      </c>
      <c r="CM210">
        <v>0</v>
      </c>
      <c r="CN210">
        <v>7.6</v>
      </c>
      <c r="CO210">
        <v>-1.9</v>
      </c>
      <c r="CP210">
        <v>0</v>
      </c>
      <c r="CQ210">
        <v>0</v>
      </c>
      <c r="CR210">
        <v>0</v>
      </c>
      <c r="CS210">
        <v>0</v>
      </c>
      <c r="CT210" cm="1">
        <f t="array" ref="CT210:DD210">VLOOKUP(A210,velocity_pitchers_2019!A:N,{3,4,5,6,7,8,9,10,11,12,13},FALSE)</f>
        <v>82.1</v>
      </c>
      <c r="CU210">
        <v>91.9</v>
      </c>
      <c r="CV210">
        <v>86</v>
      </c>
      <c r="CW210">
        <v>0</v>
      </c>
      <c r="CX210">
        <v>0</v>
      </c>
      <c r="CY210">
        <v>85.8</v>
      </c>
      <c r="CZ210">
        <v>81</v>
      </c>
      <c r="DA210">
        <v>0</v>
      </c>
      <c r="DB210">
        <v>0</v>
      </c>
      <c r="DC210">
        <v>0</v>
      </c>
      <c r="DD210">
        <v>0</v>
      </c>
    </row>
    <row r="211" spans="1:108" x14ac:dyDescent="0.3">
      <c r="A211" t="s">
        <v>306</v>
      </c>
      <c r="B211" t="str" cm="1">
        <f t="array" ref="B211:Y211">VLOOKUP(A211,standard_pitchers_2019!A:Y,{2,3,4,5,6,7,8,9,10,11,12,13,14,15,16,17,18,19,20,21,22,23,24,25},FALSE)</f>
        <v>Pirates</v>
      </c>
      <c r="C211">
        <v>4</v>
      </c>
      <c r="D211">
        <v>5</v>
      </c>
      <c r="E211">
        <v>4.91</v>
      </c>
      <c r="F211">
        <v>15</v>
      </c>
      <c r="G211">
        <v>14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73.099999999999994</v>
      </c>
      <c r="N211">
        <v>321</v>
      </c>
      <c r="O211">
        <v>82</v>
      </c>
      <c r="P211">
        <v>43</v>
      </c>
      <c r="Q211">
        <v>40</v>
      </c>
      <c r="R211">
        <v>15</v>
      </c>
      <c r="S211">
        <v>18</v>
      </c>
      <c r="T211">
        <v>0</v>
      </c>
      <c r="U211">
        <v>10</v>
      </c>
      <c r="V211">
        <v>0</v>
      </c>
      <c r="W211">
        <v>0</v>
      </c>
      <c r="X211">
        <v>41</v>
      </c>
      <c r="Y211">
        <v>15821</v>
      </c>
      <c r="Z211" cm="1">
        <f t="array" ref="Z211:AR211">VLOOKUP(A211,advanced_pitchers_2019!A:Y,{3,4,5,6,7,8,9,10,11,12,13,14,15,16,17,18,19,20,21},FALSE)</f>
        <v>5.03</v>
      </c>
      <c r="AA211">
        <v>2.21</v>
      </c>
      <c r="AB211">
        <v>2.2799999999999998</v>
      </c>
      <c r="AC211">
        <v>1.84</v>
      </c>
      <c r="AD211">
        <v>0.128</v>
      </c>
      <c r="AE211">
        <v>5.6000000000000001E-2</v>
      </c>
      <c r="AF211">
        <v>7.1999999999999995E-2</v>
      </c>
      <c r="AG211">
        <v>0.28000000000000003</v>
      </c>
      <c r="AH211">
        <v>1.36</v>
      </c>
      <c r="AI211">
        <v>0.28299999999999997</v>
      </c>
      <c r="AJ211">
        <v>0.753</v>
      </c>
      <c r="AK211">
        <v>114</v>
      </c>
      <c r="AL211">
        <v>134</v>
      </c>
      <c r="AM211">
        <v>133</v>
      </c>
      <c r="AN211">
        <v>4.91</v>
      </c>
      <c r="AO211">
        <v>5.9</v>
      </c>
      <c r="AP211">
        <v>-0.99</v>
      </c>
      <c r="AQ211">
        <v>5.9</v>
      </c>
      <c r="AR211">
        <v>5.54</v>
      </c>
      <c r="AS211" cm="1">
        <f t="array" ref="AS211:BA211">VLOOKUP(A211,plate_discipline_pitchers_2019!A:L,{3,4,5,6,7,8,9,10,11},FALSE)</f>
        <v>0.31</v>
      </c>
      <c r="AT211">
        <v>0.63400000000000001</v>
      </c>
      <c r="AU211">
        <v>0.45600000000000002</v>
      </c>
      <c r="AV211">
        <v>0.80500000000000005</v>
      </c>
      <c r="AW211">
        <v>0.89300000000000002</v>
      </c>
      <c r="AX211">
        <v>0.86</v>
      </c>
      <c r="AY211">
        <v>0.45100000000000001</v>
      </c>
      <c r="AZ211">
        <v>0.57299999999999995</v>
      </c>
      <c r="BA211">
        <v>6.4000000000000001E-2</v>
      </c>
      <c r="BB211" cm="1">
        <f t="array" ref="BB211:BP211">VLOOKUP(A211,pitchvalue_pitchers_2019!A:Q,{3,4,5,6,7,8,9,10,11,12,13,14,15,16,17},FALSE)</f>
        <v>-2.4</v>
      </c>
      <c r="BC211">
        <v>-5.5</v>
      </c>
      <c r="BD211">
        <v>0</v>
      </c>
      <c r="BE211">
        <v>-0.2</v>
      </c>
      <c r="BF211">
        <v>-1.1000000000000001</v>
      </c>
      <c r="BG211">
        <v>0</v>
      </c>
      <c r="BH211">
        <v>0</v>
      </c>
      <c r="BI211">
        <v>-0.31</v>
      </c>
      <c r="BJ211">
        <v>-2.58</v>
      </c>
      <c r="BK211">
        <v>0</v>
      </c>
      <c r="BL211">
        <v>-4.62</v>
      </c>
      <c r="BM211">
        <v>-0.7</v>
      </c>
      <c r="BN211">
        <v>0</v>
      </c>
      <c r="BO211">
        <v>0</v>
      </c>
      <c r="BP211">
        <v>15821</v>
      </c>
      <c r="BQ211" cm="1">
        <f t="array" ref="BQ211:CH211">VLOOKUP(A211,battedball_pitchers_2019!A:U,{3,4,5,6,7,8,9,10,11,12,13,14,15,16,17,18,19,20},FALSE)</f>
        <v>0.28299999999999997</v>
      </c>
      <c r="BR211">
        <v>1.01</v>
      </c>
      <c r="BS211">
        <v>0.20599999999999999</v>
      </c>
      <c r="BT211">
        <v>0.39900000000000002</v>
      </c>
      <c r="BU211">
        <v>0.39500000000000002</v>
      </c>
      <c r="BV211">
        <v>7.0999999999999994E-2</v>
      </c>
      <c r="BW211">
        <v>0.153</v>
      </c>
      <c r="BX211">
        <v>51</v>
      </c>
      <c r="BY211">
        <v>6.26</v>
      </c>
      <c r="BZ211">
        <v>406</v>
      </c>
      <c r="CA211">
        <v>743</v>
      </c>
      <c r="CB211">
        <v>1149</v>
      </c>
      <c r="CC211">
        <v>0.41299999999999998</v>
      </c>
      <c r="CD211">
        <v>0.32500000000000001</v>
      </c>
      <c r="CE211">
        <v>0.26200000000000001</v>
      </c>
      <c r="CF211">
        <v>0.183</v>
      </c>
      <c r="CG211">
        <v>0.496</v>
      </c>
      <c r="CH211">
        <v>0.32100000000000001</v>
      </c>
      <c r="CI211" cm="1">
        <f t="array" ref="CI211:CS211">VLOOKUP(A211,verticalmove_pitchers_2019!A:N,{3,4,5,6,7,8,9,10,11,12,13},FALSE)</f>
        <v>73.099999999999994</v>
      </c>
      <c r="CJ211">
        <v>8.6</v>
      </c>
      <c r="CK211">
        <v>0</v>
      </c>
      <c r="CL211">
        <v>0</v>
      </c>
      <c r="CM211">
        <v>5.2</v>
      </c>
      <c r="CN211">
        <v>4.9000000000000004</v>
      </c>
      <c r="CO211">
        <v>-0.5</v>
      </c>
      <c r="CP211">
        <v>0</v>
      </c>
      <c r="CQ211">
        <v>0</v>
      </c>
      <c r="CR211">
        <v>0</v>
      </c>
      <c r="CS211">
        <v>0</v>
      </c>
      <c r="CT211" cm="1">
        <f t="array" ref="CT211:DD211">VLOOKUP(A211,velocity_pitchers_2019!A:N,{3,4,5,6,7,8,9,10,11,12,13},FALSE)</f>
        <v>73.099999999999994</v>
      </c>
      <c r="CU211">
        <v>91</v>
      </c>
      <c r="CV211">
        <v>0</v>
      </c>
      <c r="CW211">
        <v>0</v>
      </c>
      <c r="CX211">
        <v>91.3</v>
      </c>
      <c r="CY211">
        <v>85.9</v>
      </c>
      <c r="CZ211">
        <v>83.1</v>
      </c>
      <c r="DA211">
        <v>0</v>
      </c>
      <c r="DB211">
        <v>0</v>
      </c>
      <c r="DC211">
        <v>0</v>
      </c>
      <c r="DD211">
        <v>0</v>
      </c>
    </row>
    <row r="212" spans="1:108" x14ac:dyDescent="0.3">
      <c r="A212" t="s">
        <v>151</v>
      </c>
      <c r="B212" t="str" cm="1">
        <f t="array" ref="B212:Y212">VLOOKUP(A212,standard_pitchers_2019!A:Y,{2,3,4,5,6,7,8,9,10,11,12,13,14,15,16,17,18,19,20,21,22,23,24,25},FALSE)</f>
        <v>Yankees</v>
      </c>
      <c r="C212">
        <v>3</v>
      </c>
      <c r="D212">
        <v>2</v>
      </c>
      <c r="E212">
        <v>3.67</v>
      </c>
      <c r="F212">
        <v>72</v>
      </c>
      <c r="G212">
        <v>0</v>
      </c>
      <c r="H212">
        <v>0</v>
      </c>
      <c r="I212">
        <v>0</v>
      </c>
      <c r="J212">
        <v>0</v>
      </c>
      <c r="K212">
        <v>27</v>
      </c>
      <c r="L212">
        <v>5</v>
      </c>
      <c r="M212">
        <v>61.1</v>
      </c>
      <c r="N212">
        <v>248</v>
      </c>
      <c r="O212">
        <v>45</v>
      </c>
      <c r="P212">
        <v>27</v>
      </c>
      <c r="Q212">
        <v>25</v>
      </c>
      <c r="R212">
        <v>9</v>
      </c>
      <c r="S212">
        <v>20</v>
      </c>
      <c r="T212">
        <v>0</v>
      </c>
      <c r="U212">
        <v>2</v>
      </c>
      <c r="V212">
        <v>8</v>
      </c>
      <c r="W212">
        <v>0</v>
      </c>
      <c r="X212">
        <v>88</v>
      </c>
      <c r="Y212">
        <v>11384</v>
      </c>
      <c r="Z212" cm="1">
        <f t="array" ref="Z212:AR212">VLOOKUP(A212,advanced_pitchers_2019!A:Y,{3,4,5,6,7,8,9,10,11,12,13,14,15,16,17,18,19,20,21},FALSE)</f>
        <v>12.91</v>
      </c>
      <c r="AA212">
        <v>2.93</v>
      </c>
      <c r="AB212">
        <v>4.4000000000000004</v>
      </c>
      <c r="AC212">
        <v>1.32</v>
      </c>
      <c r="AD212">
        <v>0.35499999999999998</v>
      </c>
      <c r="AE212">
        <v>8.1000000000000003E-2</v>
      </c>
      <c r="AF212">
        <v>0.27400000000000002</v>
      </c>
      <c r="AG212">
        <v>0.19900000000000001</v>
      </c>
      <c r="AH212">
        <v>1.06</v>
      </c>
      <c r="AI212">
        <v>0.27900000000000003</v>
      </c>
      <c r="AJ212">
        <v>0.73499999999999999</v>
      </c>
      <c r="AK212">
        <v>80</v>
      </c>
      <c r="AL212">
        <v>71</v>
      </c>
      <c r="AM212">
        <v>59</v>
      </c>
      <c r="AN212">
        <v>3.67</v>
      </c>
      <c r="AO212">
        <v>3.33</v>
      </c>
      <c r="AP212">
        <v>0.34</v>
      </c>
      <c r="AQ212">
        <v>2.69</v>
      </c>
      <c r="AR212">
        <v>2.79</v>
      </c>
      <c r="AS212" cm="1">
        <f t="array" ref="AS212:BA212">VLOOKUP(A212,plate_discipline_pitchers_2019!A:L,{3,4,5,6,7,8,9,10,11},FALSE)</f>
        <v>0.35099999999999998</v>
      </c>
      <c r="AT212">
        <v>0.73</v>
      </c>
      <c r="AU212">
        <v>0.51300000000000001</v>
      </c>
      <c r="AV212">
        <v>0.50700000000000001</v>
      </c>
      <c r="AW212">
        <v>0.74299999999999999</v>
      </c>
      <c r="AX212">
        <v>0.65</v>
      </c>
      <c r="AY212">
        <v>0.42599999999999999</v>
      </c>
      <c r="AZ212">
        <v>0.621</v>
      </c>
      <c r="BA212">
        <v>0.17899999999999999</v>
      </c>
      <c r="BB212" cm="1">
        <f t="array" ref="BB212:BP212">VLOOKUP(A212,pitchvalue_pitchers_2019!A:Q,{3,4,5,6,7,8,9,10,11,12,13,14,15,16,17},FALSE)</f>
        <v>-2.4</v>
      </c>
      <c r="BC212">
        <v>-1.5</v>
      </c>
      <c r="BD212">
        <v>0</v>
      </c>
      <c r="BE212">
        <v>0</v>
      </c>
      <c r="BF212">
        <v>13</v>
      </c>
      <c r="BG212">
        <v>0</v>
      </c>
      <c r="BH212">
        <v>0</v>
      </c>
      <c r="BI212">
        <v>-0.53</v>
      </c>
      <c r="BJ212">
        <v>-3.86</v>
      </c>
      <c r="BK212">
        <v>0</v>
      </c>
      <c r="BL212">
        <v>0</v>
      </c>
      <c r="BM212">
        <v>2.44</v>
      </c>
      <c r="BN212">
        <v>0</v>
      </c>
      <c r="BO212">
        <v>0</v>
      </c>
      <c r="BP212">
        <v>11384</v>
      </c>
      <c r="BQ212" cm="1">
        <f t="array" ref="BQ212:CH212">VLOOKUP(A212,battedball_pitchers_2019!A:U,{3,4,5,6,7,8,9,10,11,12,13,14,15,16,17,18,19,20},FALSE)</f>
        <v>0.27900000000000003</v>
      </c>
      <c r="BR212">
        <v>1.77</v>
      </c>
      <c r="BS212">
        <v>0.21199999999999999</v>
      </c>
      <c r="BT212">
        <v>0.504</v>
      </c>
      <c r="BU212">
        <v>0.28499999999999998</v>
      </c>
      <c r="BV212">
        <v>0.10299999999999999</v>
      </c>
      <c r="BW212">
        <v>0.23100000000000001</v>
      </c>
      <c r="BX212">
        <v>36</v>
      </c>
      <c r="BY212">
        <v>5.28</v>
      </c>
      <c r="BZ212">
        <v>357</v>
      </c>
      <c r="CA212">
        <v>669</v>
      </c>
      <c r="CB212">
        <v>1026</v>
      </c>
      <c r="CC212">
        <v>0.435</v>
      </c>
      <c r="CD212">
        <v>0.31900000000000001</v>
      </c>
      <c r="CE212">
        <v>0.246</v>
      </c>
      <c r="CF212">
        <v>0.188</v>
      </c>
      <c r="CG212">
        <v>0.47099999999999997</v>
      </c>
      <c r="CH212">
        <v>0.34100000000000003</v>
      </c>
      <c r="CI212" cm="1">
        <f t="array" ref="CI212:CS212">VLOOKUP(A212,verticalmove_pitchers_2019!A:N,{3,4,5,6,7,8,9,10,11,12,13},FALSE)</f>
        <v>61.1</v>
      </c>
      <c r="CJ212">
        <v>8.4</v>
      </c>
      <c r="CK212">
        <v>0</v>
      </c>
      <c r="CL212">
        <v>0</v>
      </c>
      <c r="CM212">
        <v>0</v>
      </c>
      <c r="CN212">
        <v>2</v>
      </c>
      <c r="CO212">
        <v>-0.6</v>
      </c>
      <c r="CP212">
        <v>0</v>
      </c>
      <c r="CQ212">
        <v>0</v>
      </c>
      <c r="CR212">
        <v>0</v>
      </c>
      <c r="CS212">
        <v>0</v>
      </c>
      <c r="CT212" cm="1">
        <f t="array" ref="CT212:DD212">VLOOKUP(A212,velocity_pitchers_2019!A:N,{3,4,5,6,7,8,9,10,11,12,13},FALSE)</f>
        <v>61.1</v>
      </c>
      <c r="CU212">
        <v>96.7</v>
      </c>
      <c r="CV212">
        <v>0</v>
      </c>
      <c r="CW212">
        <v>0</v>
      </c>
      <c r="CX212">
        <v>0</v>
      </c>
      <c r="CY212">
        <v>90.2</v>
      </c>
      <c r="CZ212">
        <v>83.6</v>
      </c>
      <c r="DA212">
        <v>0</v>
      </c>
      <c r="DB212">
        <v>0</v>
      </c>
      <c r="DC212">
        <v>0</v>
      </c>
      <c r="DD212">
        <v>0</v>
      </c>
    </row>
    <row r="213" spans="1:108" x14ac:dyDescent="0.3">
      <c r="A213" t="s">
        <v>352</v>
      </c>
      <c r="B213" t="str" cm="1">
        <f t="array" ref="B213:Y213">VLOOKUP(A213,standard_pitchers_2019!A:Y,{2,3,4,5,6,7,8,9,10,11,12,13,14,15,16,17,18,19,20,21,22,23,24,25},FALSE)</f>
        <v>Yankees</v>
      </c>
      <c r="C213">
        <v>5</v>
      </c>
      <c r="D213">
        <v>1</v>
      </c>
      <c r="E213">
        <v>5.67</v>
      </c>
      <c r="F213">
        <v>33</v>
      </c>
      <c r="G213">
        <v>1</v>
      </c>
      <c r="H213">
        <v>0</v>
      </c>
      <c r="I213">
        <v>0</v>
      </c>
      <c r="J213">
        <v>0</v>
      </c>
      <c r="K213">
        <v>1</v>
      </c>
      <c r="L213">
        <v>1</v>
      </c>
      <c r="M213">
        <v>66.2</v>
      </c>
      <c r="N213">
        <v>298</v>
      </c>
      <c r="O213">
        <v>75</v>
      </c>
      <c r="P213">
        <v>44</v>
      </c>
      <c r="Q213">
        <v>42</v>
      </c>
      <c r="R213">
        <v>16</v>
      </c>
      <c r="S213">
        <v>28</v>
      </c>
      <c r="T213">
        <v>1</v>
      </c>
      <c r="U213">
        <v>1</v>
      </c>
      <c r="V213">
        <v>1</v>
      </c>
      <c r="W213">
        <v>0</v>
      </c>
      <c r="X213">
        <v>69</v>
      </c>
      <c r="Y213">
        <v>17874</v>
      </c>
      <c r="Z213" cm="1">
        <f t="array" ref="Z213:AR213">VLOOKUP(A213,advanced_pitchers_2019!A:Y,{3,4,5,6,7,8,9,10,11,12,13,14,15,16,17,18,19,20,21},FALSE)</f>
        <v>9.32</v>
      </c>
      <c r="AA213">
        <v>3.78</v>
      </c>
      <c r="AB213">
        <v>2.46</v>
      </c>
      <c r="AC213">
        <v>2.16</v>
      </c>
      <c r="AD213">
        <v>0.23200000000000001</v>
      </c>
      <c r="AE213">
        <v>9.4E-2</v>
      </c>
      <c r="AF213">
        <v>0.13800000000000001</v>
      </c>
      <c r="AG213">
        <v>0.27900000000000003</v>
      </c>
      <c r="AH213">
        <v>1.55</v>
      </c>
      <c r="AI213">
        <v>0.32100000000000001</v>
      </c>
      <c r="AJ213">
        <v>0.73499999999999999</v>
      </c>
      <c r="AK213">
        <v>123</v>
      </c>
      <c r="AL213">
        <v>119</v>
      </c>
      <c r="AM213">
        <v>110</v>
      </c>
      <c r="AN213">
        <v>5.67</v>
      </c>
      <c r="AO213">
        <v>5.57</v>
      </c>
      <c r="AP213">
        <v>0.1</v>
      </c>
      <c r="AQ213">
        <v>5.04</v>
      </c>
      <c r="AR213">
        <v>4.41</v>
      </c>
      <c r="AS213" cm="1">
        <f t="array" ref="AS213:BA213">VLOOKUP(A213,plate_discipline_pitchers_2019!A:L,{3,4,5,6,7,8,9,10,11},FALSE)</f>
        <v>0.29599999999999999</v>
      </c>
      <c r="AT213">
        <v>0.68400000000000005</v>
      </c>
      <c r="AU213">
        <v>0.45400000000000001</v>
      </c>
      <c r="AV213">
        <v>0.70199999999999996</v>
      </c>
      <c r="AW213">
        <v>0.81</v>
      </c>
      <c r="AX213">
        <v>0.76800000000000002</v>
      </c>
      <c r="AY213">
        <v>0.40799999999999997</v>
      </c>
      <c r="AZ213">
        <v>0.63100000000000001</v>
      </c>
      <c r="BA213">
        <v>0.105</v>
      </c>
      <c r="BB213" cm="1">
        <f t="array" ref="BB213:BP213">VLOOKUP(A213,pitchvalue_pitchers_2019!A:Q,{3,4,5,6,7,8,9,10,11,12,13,14,15,16,17},FALSE)</f>
        <v>-2.5</v>
      </c>
      <c r="BC213">
        <v>-2</v>
      </c>
      <c r="BD213">
        <v>0</v>
      </c>
      <c r="BE213">
        <v>-1.9</v>
      </c>
      <c r="BF213">
        <v>0.1</v>
      </c>
      <c r="BG213">
        <v>0</v>
      </c>
      <c r="BH213">
        <v>0</v>
      </c>
      <c r="BI213">
        <v>-0.37</v>
      </c>
      <c r="BJ213">
        <v>-0.47</v>
      </c>
      <c r="BK213">
        <v>0</v>
      </c>
      <c r="BL213">
        <v>-5.53</v>
      </c>
      <c r="BM213">
        <v>0.04</v>
      </c>
      <c r="BN213">
        <v>0</v>
      </c>
      <c r="BO213">
        <v>0</v>
      </c>
      <c r="BP213">
        <v>17874</v>
      </c>
      <c r="BQ213" cm="1">
        <f t="array" ref="BQ213:CH213">VLOOKUP(A213,battedball_pitchers_2019!A:U,{3,4,5,6,7,8,9,10,11,12,13,14,15,16,17,18,19,20},FALSE)</f>
        <v>0.32100000000000001</v>
      </c>
      <c r="BR213">
        <v>0.78</v>
      </c>
      <c r="BS213">
        <v>0.221</v>
      </c>
      <c r="BT213">
        <v>0.34200000000000003</v>
      </c>
      <c r="BU213">
        <v>0.437</v>
      </c>
      <c r="BV213">
        <v>0.10299999999999999</v>
      </c>
      <c r="BW213">
        <v>0.184</v>
      </c>
      <c r="BX213">
        <v>43</v>
      </c>
      <c r="BY213">
        <v>5.81</v>
      </c>
      <c r="BZ213">
        <v>483</v>
      </c>
      <c r="CA213">
        <v>818</v>
      </c>
      <c r="CB213">
        <v>1301</v>
      </c>
      <c r="CC213">
        <v>0.36</v>
      </c>
      <c r="CD213">
        <v>0.375</v>
      </c>
      <c r="CE213">
        <v>0.26500000000000001</v>
      </c>
      <c r="CF213">
        <v>0.21</v>
      </c>
      <c r="CG213">
        <v>0.40500000000000003</v>
      </c>
      <c r="CH213">
        <v>0.38500000000000001</v>
      </c>
      <c r="CI213" cm="1">
        <f t="array" ref="CI213:CS213">VLOOKUP(A213,verticalmove_pitchers_2019!A:N,{3,4,5,6,7,8,9,10,11,12,13},FALSE)</f>
        <v>66.2</v>
      </c>
      <c r="CJ213">
        <v>9.1999999999999993</v>
      </c>
      <c r="CK213">
        <v>0</v>
      </c>
      <c r="CL213">
        <v>0</v>
      </c>
      <c r="CM213">
        <v>0</v>
      </c>
      <c r="CN213">
        <v>2</v>
      </c>
      <c r="CO213">
        <v>1.4</v>
      </c>
      <c r="CP213">
        <v>-1.4</v>
      </c>
      <c r="CQ213">
        <v>0</v>
      </c>
      <c r="CR213">
        <v>0</v>
      </c>
      <c r="CS213">
        <v>0</v>
      </c>
      <c r="CT213" cm="1">
        <f t="array" ref="CT213:DD213">VLOOKUP(A213,velocity_pitchers_2019!A:N,{3,4,5,6,7,8,9,10,11,12,13},FALSE)</f>
        <v>66.2</v>
      </c>
      <c r="CU213">
        <v>89.5</v>
      </c>
      <c r="CV213">
        <v>0</v>
      </c>
      <c r="CW213">
        <v>0</v>
      </c>
      <c r="CX213">
        <v>0</v>
      </c>
      <c r="CY213">
        <v>82.3</v>
      </c>
      <c r="CZ213">
        <v>81.8</v>
      </c>
      <c r="DA213">
        <v>74.2</v>
      </c>
      <c r="DB213">
        <v>0</v>
      </c>
      <c r="DC213">
        <v>0</v>
      </c>
      <c r="DD213">
        <v>0</v>
      </c>
    </row>
    <row r="214" spans="1:108" x14ac:dyDescent="0.3">
      <c r="A214" t="s">
        <v>277</v>
      </c>
      <c r="B214" t="str" cm="1">
        <f t="array" ref="B214:Y214">VLOOKUP(A214,standard_pitchers_2019!A:Y,{2,3,4,5,6,7,8,9,10,11,12,13,14,15,16,17,18,19,20,21,22,23,24,25},FALSE)</f>
        <v>Mets</v>
      </c>
      <c r="C214">
        <v>2</v>
      </c>
      <c r="D214">
        <v>3</v>
      </c>
      <c r="E214">
        <v>4.66</v>
      </c>
      <c r="F214">
        <v>52</v>
      </c>
      <c r="G214">
        <v>0</v>
      </c>
      <c r="H214">
        <v>0</v>
      </c>
      <c r="I214">
        <v>0</v>
      </c>
      <c r="J214">
        <v>1</v>
      </c>
      <c r="K214">
        <v>7</v>
      </c>
      <c r="L214">
        <v>4</v>
      </c>
      <c r="M214">
        <v>63.2</v>
      </c>
      <c r="N214">
        <v>277</v>
      </c>
      <c r="O214">
        <v>64</v>
      </c>
      <c r="P214">
        <v>36</v>
      </c>
      <c r="Q214">
        <v>33</v>
      </c>
      <c r="R214">
        <v>7</v>
      </c>
      <c r="S214">
        <v>23</v>
      </c>
      <c r="T214">
        <v>2</v>
      </c>
      <c r="U214">
        <v>6</v>
      </c>
      <c r="V214">
        <v>4</v>
      </c>
      <c r="W214">
        <v>0</v>
      </c>
      <c r="X214">
        <v>60</v>
      </c>
      <c r="Y214">
        <v>13696</v>
      </c>
      <c r="Z214" cm="1">
        <f t="array" ref="Z214:AR214">VLOOKUP(A214,advanced_pitchers_2019!A:Y,{3,4,5,6,7,8,9,10,11,12,13,14,15,16,17,18,19,20,21},FALSE)</f>
        <v>8.48</v>
      </c>
      <c r="AA214">
        <v>3.25</v>
      </c>
      <c r="AB214">
        <v>2.61</v>
      </c>
      <c r="AC214">
        <v>0.99</v>
      </c>
      <c r="AD214">
        <v>0.217</v>
      </c>
      <c r="AE214">
        <v>8.3000000000000004E-2</v>
      </c>
      <c r="AF214">
        <v>0.13400000000000001</v>
      </c>
      <c r="AG214">
        <v>0.25800000000000001</v>
      </c>
      <c r="AH214">
        <v>1.37</v>
      </c>
      <c r="AI214">
        <v>0.315</v>
      </c>
      <c r="AJ214">
        <v>0.68500000000000005</v>
      </c>
      <c r="AK214">
        <v>113</v>
      </c>
      <c r="AL214">
        <v>95</v>
      </c>
      <c r="AM214">
        <v>105</v>
      </c>
      <c r="AN214">
        <v>4.66</v>
      </c>
      <c r="AO214">
        <v>4.13</v>
      </c>
      <c r="AP214">
        <v>0.54</v>
      </c>
      <c r="AQ214">
        <v>4.66</v>
      </c>
      <c r="AR214">
        <v>4.29</v>
      </c>
      <c r="AS214" cm="1">
        <f t="array" ref="AS214:BA214">VLOOKUP(A214,plate_discipline_pitchers_2019!A:L,{3,4,5,6,7,8,9,10,11},FALSE)</f>
        <v>0.31</v>
      </c>
      <c r="AT214">
        <v>0.69399999999999995</v>
      </c>
      <c r="AU214">
        <v>0.47</v>
      </c>
      <c r="AV214">
        <v>0.624</v>
      </c>
      <c r="AW214">
        <v>0.85499999999999998</v>
      </c>
      <c r="AX214">
        <v>0.76600000000000001</v>
      </c>
      <c r="AY214">
        <v>0.41699999999999998</v>
      </c>
      <c r="AZ214">
        <v>0.58499999999999996</v>
      </c>
      <c r="BA214">
        <v>0.11</v>
      </c>
      <c r="BB214" cm="1">
        <f t="array" ref="BB214:BP214">VLOOKUP(A214,pitchvalue_pitchers_2019!A:Q,{3,4,5,6,7,8,9,10,11,12,13,14,15,16,17},FALSE)</f>
        <v>-2.5</v>
      </c>
      <c r="BC214">
        <v>3</v>
      </c>
      <c r="BD214">
        <v>0</v>
      </c>
      <c r="BE214">
        <v>-3</v>
      </c>
      <c r="BF214">
        <v>1.4</v>
      </c>
      <c r="BG214">
        <v>0</v>
      </c>
      <c r="BH214">
        <v>0</v>
      </c>
      <c r="BI214">
        <v>-0.46</v>
      </c>
      <c r="BJ214">
        <v>1.05</v>
      </c>
      <c r="BK214">
        <v>0</v>
      </c>
      <c r="BL214">
        <v>-2.37</v>
      </c>
      <c r="BM214">
        <v>1.36</v>
      </c>
      <c r="BN214">
        <v>0</v>
      </c>
      <c r="BO214">
        <v>0</v>
      </c>
      <c r="BP214">
        <v>13696</v>
      </c>
      <c r="BQ214" cm="1">
        <f t="array" ref="BQ214:CH214">VLOOKUP(A214,battedball_pitchers_2019!A:U,{3,4,5,6,7,8,9,10,11,12,13,14,15,16,17,18,19,20},FALSE)</f>
        <v>0.315</v>
      </c>
      <c r="BR214">
        <v>1.3</v>
      </c>
      <c r="BS214">
        <v>0.216</v>
      </c>
      <c r="BT214">
        <v>0.443</v>
      </c>
      <c r="BU214">
        <v>0.34100000000000003</v>
      </c>
      <c r="BV214">
        <v>9.5000000000000001E-2</v>
      </c>
      <c r="BW214">
        <v>0.111</v>
      </c>
      <c r="BX214">
        <v>26</v>
      </c>
      <c r="BY214">
        <v>3.68</v>
      </c>
      <c r="BZ214">
        <v>397</v>
      </c>
      <c r="CA214">
        <v>675</v>
      </c>
      <c r="CB214">
        <v>1072</v>
      </c>
      <c r="CC214">
        <v>0.35599999999999998</v>
      </c>
      <c r="CD214">
        <v>0.36199999999999999</v>
      </c>
      <c r="CE214">
        <v>0.28199999999999997</v>
      </c>
      <c r="CF214">
        <v>0.218</v>
      </c>
      <c r="CG214">
        <v>0.46300000000000002</v>
      </c>
      <c r="CH214">
        <v>0.31900000000000001</v>
      </c>
      <c r="CI214" cm="1">
        <f t="array" ref="CI214:CS214">VLOOKUP(A214,verticalmove_pitchers_2019!A:N,{3,4,5,6,7,8,9,10,11,12,13},FALSE)</f>
        <v>63.2</v>
      </c>
      <c r="CJ214">
        <v>8.4</v>
      </c>
      <c r="CK214">
        <v>0</v>
      </c>
      <c r="CL214">
        <v>0</v>
      </c>
      <c r="CM214">
        <v>6</v>
      </c>
      <c r="CN214">
        <v>5.6</v>
      </c>
      <c r="CO214">
        <v>2.2999999999999998</v>
      </c>
      <c r="CP214">
        <v>-7.6</v>
      </c>
      <c r="CQ214">
        <v>0</v>
      </c>
      <c r="CR214">
        <v>0</v>
      </c>
      <c r="CS214">
        <v>0</v>
      </c>
      <c r="CT214" cm="1">
        <f t="array" ref="CT214:DD214">VLOOKUP(A214,velocity_pitchers_2019!A:N,{3,4,5,6,7,8,9,10,11,12,13},FALSE)</f>
        <v>63.2</v>
      </c>
      <c r="CU214">
        <v>95.7</v>
      </c>
      <c r="CV214">
        <v>0</v>
      </c>
      <c r="CW214">
        <v>0</v>
      </c>
      <c r="CX214">
        <v>95.6</v>
      </c>
      <c r="CY214">
        <v>87.6</v>
      </c>
      <c r="CZ214">
        <v>90.7</v>
      </c>
      <c r="DA214">
        <v>81.7</v>
      </c>
      <c r="DB214">
        <v>0</v>
      </c>
      <c r="DC214">
        <v>0</v>
      </c>
      <c r="DD214">
        <v>0</v>
      </c>
    </row>
    <row r="215" spans="1:108" x14ac:dyDescent="0.3">
      <c r="A215" t="s">
        <v>262</v>
      </c>
      <c r="B215" t="str" cm="1">
        <f t="array" ref="B215:Y215">VLOOKUP(A215,standard_pitchers_2019!A:Y,{2,3,4,5,6,7,8,9,10,11,12,13,14,15,16,17,18,19,20,21,22,23,24,25},FALSE)</f>
        <v>Dodgers</v>
      </c>
      <c r="C215">
        <v>5</v>
      </c>
      <c r="D215">
        <v>4</v>
      </c>
      <c r="E215">
        <v>4.5599999999999996</v>
      </c>
      <c r="F215">
        <v>55</v>
      </c>
      <c r="G215">
        <v>0</v>
      </c>
      <c r="H215">
        <v>0</v>
      </c>
      <c r="I215">
        <v>0</v>
      </c>
      <c r="J215">
        <v>1</v>
      </c>
      <c r="K215">
        <v>8</v>
      </c>
      <c r="L215">
        <v>5</v>
      </c>
      <c r="M215">
        <v>51.1</v>
      </c>
      <c r="N215">
        <v>226</v>
      </c>
      <c r="O215">
        <v>49</v>
      </c>
      <c r="P215">
        <v>31</v>
      </c>
      <c r="Q215">
        <v>26</v>
      </c>
      <c r="R215">
        <v>6</v>
      </c>
      <c r="S215">
        <v>22</v>
      </c>
      <c r="T215">
        <v>2</v>
      </c>
      <c r="U215">
        <v>3</v>
      </c>
      <c r="V215">
        <v>10</v>
      </c>
      <c r="W215">
        <v>0</v>
      </c>
      <c r="X215">
        <v>62</v>
      </c>
      <c r="Y215">
        <v>9761</v>
      </c>
      <c r="Z215" cm="1">
        <f t="array" ref="Z215:AR215">VLOOKUP(A215,advanced_pitchers_2019!A:Y,{3,4,5,6,7,8,9,10,11,12,13,14,15,16,17,18,19,20,21},FALSE)</f>
        <v>10.87</v>
      </c>
      <c r="AA215">
        <v>3.86</v>
      </c>
      <c r="AB215">
        <v>2.82</v>
      </c>
      <c r="AC215">
        <v>1.05</v>
      </c>
      <c r="AD215">
        <v>0.27400000000000002</v>
      </c>
      <c r="AE215">
        <v>9.7000000000000003E-2</v>
      </c>
      <c r="AF215">
        <v>0.17699999999999999</v>
      </c>
      <c r="AG215">
        <v>0.24399999999999999</v>
      </c>
      <c r="AH215">
        <v>1.38</v>
      </c>
      <c r="AI215">
        <v>0.32300000000000001</v>
      </c>
      <c r="AJ215">
        <v>0.65500000000000003</v>
      </c>
      <c r="AK215">
        <v>109</v>
      </c>
      <c r="AL215">
        <v>87</v>
      </c>
      <c r="AM215">
        <v>72</v>
      </c>
      <c r="AN215">
        <v>4.5599999999999996</v>
      </c>
      <c r="AO215">
        <v>3.78</v>
      </c>
      <c r="AP215">
        <v>0.78</v>
      </c>
      <c r="AQ215">
        <v>3.19</v>
      </c>
      <c r="AR215">
        <v>3.41</v>
      </c>
      <c r="AS215" cm="1">
        <f t="array" ref="AS215:BA215">VLOOKUP(A215,plate_discipline_pitchers_2019!A:L,{3,4,5,6,7,8,9,10,11},FALSE)</f>
        <v>0.27900000000000003</v>
      </c>
      <c r="AT215">
        <v>0.57899999999999996</v>
      </c>
      <c r="AU215">
        <v>0.41899999999999998</v>
      </c>
      <c r="AV215">
        <v>0.624</v>
      </c>
      <c r="AW215">
        <v>0.83499999999999996</v>
      </c>
      <c r="AX215">
        <v>0.76</v>
      </c>
      <c r="AY215">
        <v>0.46800000000000003</v>
      </c>
      <c r="AZ215">
        <v>0.56200000000000006</v>
      </c>
      <c r="BA215">
        <v>0.10100000000000001</v>
      </c>
      <c r="BB215" cm="1">
        <f t="array" ref="BB215:BP215">VLOOKUP(A215,pitchvalue_pitchers_2019!A:Q,{3,4,5,6,7,8,9,10,11,12,13,14,15,16,17},FALSE)</f>
        <v>-2.6</v>
      </c>
      <c r="BC215">
        <v>0</v>
      </c>
      <c r="BD215">
        <v>0</v>
      </c>
      <c r="BE215">
        <v>4.7</v>
      </c>
      <c r="BF215">
        <v>-1.8</v>
      </c>
      <c r="BG215">
        <v>0</v>
      </c>
      <c r="BH215">
        <v>0</v>
      </c>
      <c r="BI215">
        <v>-0.56000000000000005</v>
      </c>
      <c r="BJ215">
        <v>0</v>
      </c>
      <c r="BK215">
        <v>0</v>
      </c>
      <c r="BL215">
        <v>1.46</v>
      </c>
      <c r="BM215">
        <v>-1.59</v>
      </c>
      <c r="BN215">
        <v>0</v>
      </c>
      <c r="BO215">
        <v>0</v>
      </c>
      <c r="BP215">
        <v>9761</v>
      </c>
      <c r="BQ215" cm="1">
        <f t="array" ref="BQ215:CH215">VLOOKUP(A215,battedball_pitchers_2019!A:U,{3,4,5,6,7,8,9,10,11,12,13,14,15,16,17,18,19,20},FALSE)</f>
        <v>0.32300000000000001</v>
      </c>
      <c r="BR215">
        <v>3.54</v>
      </c>
      <c r="BS215">
        <v>0.216</v>
      </c>
      <c r="BT215">
        <v>0.61199999999999999</v>
      </c>
      <c r="BU215">
        <v>0.17299999999999999</v>
      </c>
      <c r="BV215">
        <v>0.16700000000000001</v>
      </c>
      <c r="BW215">
        <v>0.25</v>
      </c>
      <c r="BX215">
        <v>37</v>
      </c>
      <c r="BY215">
        <v>6.49</v>
      </c>
      <c r="BZ215">
        <v>320</v>
      </c>
      <c r="CA215">
        <v>574</v>
      </c>
      <c r="CB215">
        <v>894</v>
      </c>
      <c r="CC215">
        <v>0.38800000000000001</v>
      </c>
      <c r="CD215">
        <v>0.39600000000000002</v>
      </c>
      <c r="CE215">
        <v>0.216</v>
      </c>
      <c r="CF215">
        <v>0.245</v>
      </c>
      <c r="CG215">
        <v>0.33100000000000002</v>
      </c>
      <c r="CH215">
        <v>0.42399999999999999</v>
      </c>
      <c r="CI215" cm="1">
        <f t="array" ref="CI215:CS215">VLOOKUP(A215,verticalmove_pitchers_2019!A:N,{3,4,5,6,7,8,9,10,11,12,13},FALSE)</f>
        <v>51.1</v>
      </c>
      <c r="CJ215">
        <v>7.7</v>
      </c>
      <c r="CK215">
        <v>0</v>
      </c>
      <c r="CL215">
        <v>0</v>
      </c>
      <c r="CM215">
        <v>5.0999999999999996</v>
      </c>
      <c r="CN215">
        <v>3.3</v>
      </c>
      <c r="CO215">
        <v>0</v>
      </c>
      <c r="CP215">
        <v>-7.8</v>
      </c>
      <c r="CQ215">
        <v>0</v>
      </c>
      <c r="CR215">
        <v>0</v>
      </c>
      <c r="CS215">
        <v>0</v>
      </c>
      <c r="CT215" cm="1">
        <f t="array" ref="CT215:DD215">VLOOKUP(A215,velocity_pitchers_2019!A:N,{3,4,5,6,7,8,9,10,11,12,13},FALSE)</f>
        <v>51.1</v>
      </c>
      <c r="CU215">
        <v>97.8</v>
      </c>
      <c r="CV215">
        <v>0</v>
      </c>
      <c r="CW215">
        <v>0</v>
      </c>
      <c r="CX215">
        <v>98.4</v>
      </c>
      <c r="CY215">
        <v>87.9</v>
      </c>
      <c r="CZ215">
        <v>0</v>
      </c>
      <c r="DA215">
        <v>87.3</v>
      </c>
      <c r="DB215">
        <v>0</v>
      </c>
      <c r="DC215">
        <v>0</v>
      </c>
      <c r="DD215">
        <v>0</v>
      </c>
    </row>
    <row r="216" spans="1:108" x14ac:dyDescent="0.3">
      <c r="A216" t="s">
        <v>338</v>
      </c>
      <c r="B216" t="str" cm="1">
        <f t="array" ref="B216:Y216">VLOOKUP(A216,standard_pitchers_2019!A:Y,{2,3,4,5,6,7,8,9,10,11,12,13,14,15,16,17,18,19,20,21,22,23,24,25},FALSE)</f>
        <v>Red Sox</v>
      </c>
      <c r="C216">
        <v>1</v>
      </c>
      <c r="D216">
        <v>4</v>
      </c>
      <c r="E216">
        <v>5.43</v>
      </c>
      <c r="F216">
        <v>34</v>
      </c>
      <c r="G216">
        <v>8</v>
      </c>
      <c r="H216">
        <v>0</v>
      </c>
      <c r="I216">
        <v>0</v>
      </c>
      <c r="J216">
        <v>0</v>
      </c>
      <c r="K216">
        <v>1</v>
      </c>
      <c r="L216">
        <v>1</v>
      </c>
      <c r="M216">
        <v>56.1</v>
      </c>
      <c r="N216">
        <v>246</v>
      </c>
      <c r="O216">
        <v>58</v>
      </c>
      <c r="P216">
        <v>40</v>
      </c>
      <c r="Q216">
        <v>34</v>
      </c>
      <c r="R216">
        <v>7</v>
      </c>
      <c r="S216">
        <v>28</v>
      </c>
      <c r="T216">
        <v>0</v>
      </c>
      <c r="U216">
        <v>3</v>
      </c>
      <c r="V216">
        <v>2</v>
      </c>
      <c r="W216">
        <v>0</v>
      </c>
      <c r="X216">
        <v>49</v>
      </c>
      <c r="Y216">
        <v>19341</v>
      </c>
      <c r="Z216" cm="1">
        <f t="array" ref="Z216:AR216">VLOOKUP(A216,advanced_pitchers_2019!A:Y,{3,4,5,6,7,8,9,10,11,12,13,14,15,16,17,18,19,20,21},FALSE)</f>
        <v>7.83</v>
      </c>
      <c r="AA216">
        <v>4.47</v>
      </c>
      <c r="AB216">
        <v>1.75</v>
      </c>
      <c r="AC216">
        <v>1.1200000000000001</v>
      </c>
      <c r="AD216">
        <v>0.19900000000000001</v>
      </c>
      <c r="AE216">
        <v>0.114</v>
      </c>
      <c r="AF216">
        <v>8.5000000000000006E-2</v>
      </c>
      <c r="AG216">
        <v>0.27</v>
      </c>
      <c r="AH216">
        <v>1.53</v>
      </c>
      <c r="AI216">
        <v>0.32100000000000001</v>
      </c>
      <c r="AJ216">
        <v>0.61899999999999999</v>
      </c>
      <c r="AK216">
        <v>113</v>
      </c>
      <c r="AL216">
        <v>105</v>
      </c>
      <c r="AM216">
        <v>119</v>
      </c>
      <c r="AN216">
        <v>5.43</v>
      </c>
      <c r="AO216">
        <v>4.74</v>
      </c>
      <c r="AP216">
        <v>0.69</v>
      </c>
      <c r="AQ216">
        <v>5.46</v>
      </c>
      <c r="AR216">
        <v>5.13</v>
      </c>
      <c r="AS216" cm="1">
        <f t="array" ref="AS216:BA216">VLOOKUP(A216,plate_discipline_pitchers_2019!A:L,{3,4,5,6,7,8,9,10,11},FALSE)</f>
        <v>0.30099999999999999</v>
      </c>
      <c r="AT216">
        <v>0.69099999999999995</v>
      </c>
      <c r="AU216">
        <v>0.45400000000000001</v>
      </c>
      <c r="AV216">
        <v>0.68700000000000006</v>
      </c>
      <c r="AW216">
        <v>0.85</v>
      </c>
      <c r="AX216">
        <v>0.78400000000000003</v>
      </c>
      <c r="AY216">
        <v>0.39300000000000002</v>
      </c>
      <c r="AZ216">
        <v>0.60599999999999998</v>
      </c>
      <c r="BA216">
        <v>9.8000000000000004E-2</v>
      </c>
      <c r="BB216" cm="1">
        <f t="array" ref="BB216:BP216">VLOOKUP(A216,pitchvalue_pitchers_2019!A:Q,{3,4,5,6,7,8,9,10,11,12,13,14,15,16,17},FALSE)</f>
        <v>-2.6</v>
      </c>
      <c r="BC216">
        <v>5.4</v>
      </c>
      <c r="BD216">
        <v>0</v>
      </c>
      <c r="BE216">
        <v>-3.8</v>
      </c>
      <c r="BF216">
        <v>-0.9</v>
      </c>
      <c r="BG216">
        <v>-3.1</v>
      </c>
      <c r="BH216">
        <v>0</v>
      </c>
      <c r="BI216">
        <v>-0.5</v>
      </c>
      <c r="BJ216">
        <v>3.31</v>
      </c>
      <c r="BK216">
        <v>0</v>
      </c>
      <c r="BL216">
        <v>-16.559999999999999</v>
      </c>
      <c r="BM216">
        <v>-5.56</v>
      </c>
      <c r="BN216">
        <v>-1.1399999999999999</v>
      </c>
      <c r="BO216">
        <v>0</v>
      </c>
      <c r="BP216">
        <v>19341</v>
      </c>
      <c r="BQ216" cm="1">
        <f t="array" ref="BQ216:CH216">VLOOKUP(A216,battedball_pitchers_2019!A:U,{3,4,5,6,7,8,9,10,11,12,13,14,15,16,17,18,19,20},FALSE)</f>
        <v>0.32100000000000001</v>
      </c>
      <c r="BR216">
        <v>0.97</v>
      </c>
      <c r="BS216">
        <v>0.217</v>
      </c>
      <c r="BT216">
        <v>0.38600000000000001</v>
      </c>
      <c r="BU216">
        <v>0.39800000000000002</v>
      </c>
      <c r="BV216">
        <v>0.152</v>
      </c>
      <c r="BW216">
        <v>0.106</v>
      </c>
      <c r="BX216">
        <v>33</v>
      </c>
      <c r="BY216">
        <v>5.27</v>
      </c>
      <c r="BZ216">
        <v>390</v>
      </c>
      <c r="CA216">
        <v>591</v>
      </c>
      <c r="CB216">
        <v>981</v>
      </c>
      <c r="CC216">
        <v>0.40100000000000002</v>
      </c>
      <c r="CD216">
        <v>0.30499999999999999</v>
      </c>
      <c r="CE216">
        <v>0.29299999999999998</v>
      </c>
      <c r="CF216">
        <v>0.23400000000000001</v>
      </c>
      <c r="CG216">
        <v>0.38900000000000001</v>
      </c>
      <c r="CH216">
        <v>0.377</v>
      </c>
      <c r="CI216" cm="1">
        <f t="array" ref="CI216:CS216">VLOOKUP(A216,verticalmove_pitchers_2019!A:N,{3,4,5,6,7,8,9,10,11,12,13},FALSE)</f>
        <v>56.1</v>
      </c>
      <c r="CJ216">
        <v>8.6</v>
      </c>
      <c r="CK216">
        <v>0</v>
      </c>
      <c r="CL216">
        <v>2.7</v>
      </c>
      <c r="CM216">
        <v>5.7</v>
      </c>
      <c r="CN216">
        <v>0</v>
      </c>
      <c r="CO216">
        <v>2.9</v>
      </c>
      <c r="CP216">
        <v>-5.5</v>
      </c>
      <c r="CQ216">
        <v>0</v>
      </c>
      <c r="CR216">
        <v>8.8000000000000007</v>
      </c>
      <c r="CS216">
        <v>0</v>
      </c>
      <c r="CT216" cm="1">
        <f t="array" ref="CT216:DD216">VLOOKUP(A216,velocity_pitchers_2019!A:N,{3,4,5,6,7,8,9,10,11,12,13},FALSE)</f>
        <v>56.1</v>
      </c>
      <c r="CU216">
        <v>92.6</v>
      </c>
      <c r="CV216">
        <v>0</v>
      </c>
      <c r="CW216">
        <v>86.2</v>
      </c>
      <c r="CX216">
        <v>91.5</v>
      </c>
      <c r="CY216">
        <v>0</v>
      </c>
      <c r="CZ216">
        <v>83.3</v>
      </c>
      <c r="DA216">
        <v>76.5</v>
      </c>
      <c r="DB216">
        <v>0</v>
      </c>
      <c r="DC216">
        <v>70.900000000000006</v>
      </c>
      <c r="DD216">
        <v>0</v>
      </c>
    </row>
    <row r="217" spans="1:108" x14ac:dyDescent="0.3">
      <c r="A217" t="s">
        <v>366</v>
      </c>
      <c r="B217" t="str" cm="1">
        <f t="array" ref="B217:Y217">VLOOKUP(A217,standard_pitchers_2019!A:Y,{2,3,4,5,6,7,8,9,10,11,12,13,14,15,16,17,18,19,20,21,22,23,24,25},FALSE)</f>
        <v>Angels</v>
      </c>
      <c r="C217">
        <v>3</v>
      </c>
      <c r="D217">
        <v>4</v>
      </c>
      <c r="E217">
        <v>5.92</v>
      </c>
      <c r="F217">
        <v>38</v>
      </c>
      <c r="G217">
        <v>6</v>
      </c>
      <c r="H217">
        <v>0</v>
      </c>
      <c r="I217">
        <v>0</v>
      </c>
      <c r="J217">
        <v>0</v>
      </c>
      <c r="K217">
        <v>4</v>
      </c>
      <c r="L217">
        <v>0</v>
      </c>
      <c r="M217">
        <v>51.2</v>
      </c>
      <c r="N217">
        <v>231</v>
      </c>
      <c r="O217">
        <v>58</v>
      </c>
      <c r="P217">
        <v>35</v>
      </c>
      <c r="Q217">
        <v>34</v>
      </c>
      <c r="R217">
        <v>2</v>
      </c>
      <c r="S217">
        <v>24</v>
      </c>
      <c r="T217">
        <v>4</v>
      </c>
      <c r="U217">
        <v>2</v>
      </c>
      <c r="V217">
        <v>3</v>
      </c>
      <c r="W217">
        <v>0</v>
      </c>
      <c r="X217">
        <v>50</v>
      </c>
      <c r="Y217">
        <v>11964</v>
      </c>
      <c r="Z217" cm="1">
        <f t="array" ref="Z217:AR217">VLOOKUP(A217,advanced_pitchers_2019!A:Y,{3,4,5,6,7,8,9,10,11,12,13,14,15,16,17,18,19,20,21},FALSE)</f>
        <v>8.7100000000000009</v>
      </c>
      <c r="AA217">
        <v>4.18</v>
      </c>
      <c r="AB217">
        <v>2.08</v>
      </c>
      <c r="AC217">
        <v>0.35</v>
      </c>
      <c r="AD217">
        <v>0.216</v>
      </c>
      <c r="AE217">
        <v>0.104</v>
      </c>
      <c r="AF217">
        <v>0.113</v>
      </c>
      <c r="AG217">
        <v>0.28299999999999997</v>
      </c>
      <c r="AH217">
        <v>1.59</v>
      </c>
      <c r="AI217">
        <v>0.36599999999999999</v>
      </c>
      <c r="AJ217">
        <v>0.60299999999999998</v>
      </c>
      <c r="AK217">
        <v>131</v>
      </c>
      <c r="AL217">
        <v>72</v>
      </c>
      <c r="AM217">
        <v>90</v>
      </c>
      <c r="AN217">
        <v>5.92</v>
      </c>
      <c r="AO217">
        <v>3.29</v>
      </c>
      <c r="AP217">
        <v>2.63</v>
      </c>
      <c r="AQ217">
        <v>4.0999999999999996</v>
      </c>
      <c r="AR217">
        <v>4.41</v>
      </c>
      <c r="AS217" cm="1">
        <f t="array" ref="AS217:BA217">VLOOKUP(A217,plate_discipline_pitchers_2019!A:L,{3,4,5,6,7,8,9,10,11},FALSE)</f>
        <v>0.314</v>
      </c>
      <c r="AT217">
        <v>0.69199999999999995</v>
      </c>
      <c r="AU217">
        <v>0.46200000000000002</v>
      </c>
      <c r="AV217">
        <v>0.63800000000000001</v>
      </c>
      <c r="AW217">
        <v>0.81799999999999995</v>
      </c>
      <c r="AX217">
        <v>0.74299999999999999</v>
      </c>
      <c r="AY217">
        <v>0.39200000000000002</v>
      </c>
      <c r="AZ217">
        <v>0.58399999999999996</v>
      </c>
      <c r="BA217">
        <v>0.11899999999999999</v>
      </c>
      <c r="BB217" cm="1">
        <f t="array" ref="BB217:BP217">VLOOKUP(A217,pitchvalue_pitchers_2019!A:Q,{3,4,5,6,7,8,9,10,11,12,13,14,15,16,17},FALSE)</f>
        <v>-2.6</v>
      </c>
      <c r="BC217">
        <v>-2</v>
      </c>
      <c r="BD217">
        <v>0</v>
      </c>
      <c r="BE217">
        <v>1.6</v>
      </c>
      <c r="BF217">
        <v>3.3</v>
      </c>
      <c r="BG217">
        <v>0</v>
      </c>
      <c r="BH217">
        <v>0</v>
      </c>
      <c r="BI217">
        <v>-0.68</v>
      </c>
      <c r="BJ217">
        <v>-0.94</v>
      </c>
      <c r="BK217">
        <v>0</v>
      </c>
      <c r="BL217">
        <v>4.87</v>
      </c>
      <c r="BM217">
        <v>1.1499999999999999</v>
      </c>
      <c r="BN217">
        <v>0</v>
      </c>
      <c r="BO217">
        <v>0</v>
      </c>
      <c r="BP217">
        <v>11964</v>
      </c>
      <c r="BQ217" cm="1">
        <f t="array" ref="BQ217:CH217">VLOOKUP(A217,battedball_pitchers_2019!A:U,{3,4,5,6,7,8,9,10,11,12,13,14,15,16,17,18,19,20},FALSE)</f>
        <v>0.36599999999999999</v>
      </c>
      <c r="BR217">
        <v>2.21</v>
      </c>
      <c r="BS217">
        <v>0.29699999999999999</v>
      </c>
      <c r="BT217">
        <v>0.48399999999999999</v>
      </c>
      <c r="BU217">
        <v>0.219</v>
      </c>
      <c r="BV217">
        <v>2.9000000000000001E-2</v>
      </c>
      <c r="BW217">
        <v>5.8999999999999997E-2</v>
      </c>
      <c r="BX217">
        <v>35</v>
      </c>
      <c r="BY217">
        <v>6.1</v>
      </c>
      <c r="BZ217">
        <v>349</v>
      </c>
      <c r="CA217">
        <v>562</v>
      </c>
      <c r="CB217">
        <v>911</v>
      </c>
      <c r="CC217">
        <v>0.45800000000000002</v>
      </c>
      <c r="CD217">
        <v>0.28999999999999998</v>
      </c>
      <c r="CE217">
        <v>0.252</v>
      </c>
      <c r="CF217">
        <v>0.21299999999999999</v>
      </c>
      <c r="CG217">
        <v>0.42599999999999999</v>
      </c>
      <c r="CH217">
        <v>0.36099999999999999</v>
      </c>
      <c r="CI217" cm="1">
        <f t="array" ref="CI217:CS217">VLOOKUP(A217,verticalmove_pitchers_2019!A:N,{3,4,5,6,7,8,9,10,11,12,13},FALSE)</f>
        <v>51.2</v>
      </c>
      <c r="CJ217">
        <v>8.5</v>
      </c>
      <c r="CK217">
        <v>0</v>
      </c>
      <c r="CL217">
        <v>0</v>
      </c>
      <c r="CM217">
        <v>0</v>
      </c>
      <c r="CN217">
        <v>2.7</v>
      </c>
      <c r="CO217">
        <v>2.5</v>
      </c>
      <c r="CP217">
        <v>-3.1</v>
      </c>
      <c r="CQ217">
        <v>0</v>
      </c>
      <c r="CR217">
        <v>0</v>
      </c>
      <c r="CS217">
        <v>0</v>
      </c>
      <c r="CT217" cm="1">
        <f t="array" ref="CT217:DD217">VLOOKUP(A217,velocity_pitchers_2019!A:N,{3,4,5,6,7,8,9,10,11,12,13},FALSE)</f>
        <v>51.2</v>
      </c>
      <c r="CU217">
        <v>93.4</v>
      </c>
      <c r="CV217">
        <v>0</v>
      </c>
      <c r="CW217">
        <v>0</v>
      </c>
      <c r="CX217">
        <v>0</v>
      </c>
      <c r="CY217">
        <v>87.1</v>
      </c>
      <c r="CZ217">
        <v>87.2</v>
      </c>
      <c r="DA217">
        <v>81.2</v>
      </c>
      <c r="DB217">
        <v>0</v>
      </c>
      <c r="DC217">
        <v>0</v>
      </c>
      <c r="DD217">
        <v>0</v>
      </c>
    </row>
    <row r="218" spans="1:108" x14ac:dyDescent="0.3">
      <c r="A218" t="s">
        <v>301</v>
      </c>
      <c r="B218" t="str" cm="1">
        <f t="array" ref="B218:Y218">VLOOKUP(A218,standard_pitchers_2019!A:Y,{2,3,4,5,6,7,8,9,10,11,12,13,14,15,16,17,18,19,20,21,22,23,24,25},FALSE)</f>
        <v>Indians</v>
      </c>
      <c r="C218">
        <v>7</v>
      </c>
      <c r="D218">
        <v>5</v>
      </c>
      <c r="E218">
        <v>4.8600000000000003</v>
      </c>
      <c r="F218">
        <v>21</v>
      </c>
      <c r="G218">
        <v>20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109.1</v>
      </c>
      <c r="N218">
        <v>462</v>
      </c>
      <c r="O218">
        <v>115</v>
      </c>
      <c r="P218">
        <v>61</v>
      </c>
      <c r="Q218">
        <v>59</v>
      </c>
      <c r="R218">
        <v>22</v>
      </c>
      <c r="S218">
        <v>26</v>
      </c>
      <c r="T218">
        <v>2</v>
      </c>
      <c r="U218">
        <v>4</v>
      </c>
      <c r="V218">
        <v>0</v>
      </c>
      <c r="W218">
        <v>0</v>
      </c>
      <c r="X218">
        <v>78</v>
      </c>
      <c r="Y218">
        <v>15846</v>
      </c>
      <c r="Z218" cm="1">
        <f t="array" ref="Z218:AR218">VLOOKUP(A218,advanced_pitchers_2019!A:Y,{3,4,5,6,7,8,9,10,11,12,13,14,15,16,17,18,19,20,21},FALSE)</f>
        <v>6.42</v>
      </c>
      <c r="AA218">
        <v>2.14</v>
      </c>
      <c r="AB218">
        <v>3</v>
      </c>
      <c r="AC218">
        <v>1.81</v>
      </c>
      <c r="AD218">
        <v>0.16900000000000001</v>
      </c>
      <c r="AE218">
        <v>5.6000000000000001E-2</v>
      </c>
      <c r="AF218">
        <v>0.113</v>
      </c>
      <c r="AG218">
        <v>0.26600000000000001</v>
      </c>
      <c r="AH218">
        <v>1.29</v>
      </c>
      <c r="AI218">
        <v>0.28000000000000003</v>
      </c>
      <c r="AJ218">
        <v>0.73599999999999999</v>
      </c>
      <c r="AK218">
        <v>101</v>
      </c>
      <c r="AL218">
        <v>114</v>
      </c>
      <c r="AM218">
        <v>121</v>
      </c>
      <c r="AN218">
        <v>4.8600000000000003</v>
      </c>
      <c r="AO218">
        <v>5.23</v>
      </c>
      <c r="AP218">
        <v>-0.37</v>
      </c>
      <c r="AQ218">
        <v>5.54</v>
      </c>
      <c r="AR218">
        <v>5.19</v>
      </c>
      <c r="AS218" cm="1">
        <f t="array" ref="AS218:BA218">VLOOKUP(A218,plate_discipline_pitchers_2019!A:L,{3,4,5,6,7,8,9,10,11},FALSE)</f>
        <v>0.33500000000000002</v>
      </c>
      <c r="AT218">
        <v>0.71799999999999997</v>
      </c>
      <c r="AU218">
        <v>0.49399999999999999</v>
      </c>
      <c r="AV218">
        <v>0.72599999999999998</v>
      </c>
      <c r="AW218">
        <v>0.89700000000000002</v>
      </c>
      <c r="AX218">
        <v>0.83</v>
      </c>
      <c r="AY218">
        <v>0.41499999999999998</v>
      </c>
      <c r="AZ218">
        <v>0.64900000000000002</v>
      </c>
      <c r="BA218">
        <v>8.4000000000000005E-2</v>
      </c>
      <c r="BB218" cm="1">
        <f t="array" ref="BB218:BP218">VLOOKUP(A218,pitchvalue_pitchers_2019!A:Q,{3,4,5,6,7,8,9,10,11,12,13,14,15,16,17},FALSE)</f>
        <v>-2.6</v>
      </c>
      <c r="BC218">
        <v>1.7</v>
      </c>
      <c r="BD218">
        <v>0</v>
      </c>
      <c r="BE218">
        <v>1.7</v>
      </c>
      <c r="BF218">
        <v>-3.5</v>
      </c>
      <c r="BG218">
        <v>0</v>
      </c>
      <c r="BH218">
        <v>0</v>
      </c>
      <c r="BI218">
        <v>-0.27</v>
      </c>
      <c r="BJ218">
        <v>0.4</v>
      </c>
      <c r="BK218">
        <v>0</v>
      </c>
      <c r="BL218">
        <v>0.88</v>
      </c>
      <c r="BM218">
        <v>-1.72</v>
      </c>
      <c r="BN218">
        <v>0</v>
      </c>
      <c r="BO218">
        <v>0</v>
      </c>
      <c r="BP218">
        <v>15846</v>
      </c>
      <c r="BQ218" cm="1">
        <f t="array" ref="BQ218:CH218">VLOOKUP(A218,battedball_pitchers_2019!A:U,{3,4,5,6,7,8,9,10,11,12,13,14,15,16,17,18,19,20},FALSE)</f>
        <v>0.28000000000000003</v>
      </c>
      <c r="BR218">
        <v>0.68</v>
      </c>
      <c r="BS218">
        <v>0.23200000000000001</v>
      </c>
      <c r="BT218">
        <v>0.312</v>
      </c>
      <c r="BU218">
        <v>0.45600000000000002</v>
      </c>
      <c r="BV218">
        <v>0.124</v>
      </c>
      <c r="BW218">
        <v>0.13700000000000001</v>
      </c>
      <c r="BX218">
        <v>75</v>
      </c>
      <c r="BY218">
        <v>6.17</v>
      </c>
      <c r="BZ218">
        <v>616</v>
      </c>
      <c r="CA218">
        <v>1178</v>
      </c>
      <c r="CB218">
        <v>1794</v>
      </c>
      <c r="CC218">
        <v>0.38100000000000001</v>
      </c>
      <c r="CD218">
        <v>0.32800000000000001</v>
      </c>
      <c r="CE218">
        <v>0.29099999999999998</v>
      </c>
      <c r="CF218">
        <v>0.18099999999999999</v>
      </c>
      <c r="CG218">
        <v>0.45800000000000002</v>
      </c>
      <c r="CH218">
        <v>0.36199999999999999</v>
      </c>
      <c r="CI218" cm="1">
        <f t="array" ref="CI218:CS218">VLOOKUP(A218,verticalmove_pitchers_2019!A:N,{3,4,5,6,7,8,9,10,11,12,13},FALSE)</f>
        <v>109.1</v>
      </c>
      <c r="CJ218">
        <v>10</v>
      </c>
      <c r="CK218">
        <v>0</v>
      </c>
      <c r="CL218">
        <v>0</v>
      </c>
      <c r="CM218">
        <v>0</v>
      </c>
      <c r="CN218">
        <v>6.3</v>
      </c>
      <c r="CO218">
        <v>3.9</v>
      </c>
      <c r="CP218">
        <v>-4.7</v>
      </c>
      <c r="CQ218">
        <v>0</v>
      </c>
      <c r="CR218">
        <v>0</v>
      </c>
      <c r="CS218">
        <v>0</v>
      </c>
      <c r="CT218" cm="1">
        <f t="array" ref="CT218:DD218">VLOOKUP(A218,velocity_pitchers_2019!A:N,{3,4,5,6,7,8,9,10,11,12,13},FALSE)</f>
        <v>109.1</v>
      </c>
      <c r="CU218">
        <v>91.2</v>
      </c>
      <c r="CV218">
        <v>0</v>
      </c>
      <c r="CW218">
        <v>0</v>
      </c>
      <c r="CX218">
        <v>0</v>
      </c>
      <c r="CY218">
        <v>84.2</v>
      </c>
      <c r="CZ218">
        <v>86</v>
      </c>
      <c r="DA218">
        <v>77.400000000000006</v>
      </c>
      <c r="DB218">
        <v>0</v>
      </c>
      <c r="DC218">
        <v>0</v>
      </c>
      <c r="DD218">
        <v>0</v>
      </c>
    </row>
    <row r="219" spans="1:108" x14ac:dyDescent="0.3">
      <c r="A219" t="s">
        <v>167</v>
      </c>
      <c r="B219" t="str" cm="1">
        <f t="array" ref="B219:Y219">VLOOKUP(A219,standard_pitchers_2019!A:Y,{2,3,4,5,6,7,8,9,10,11,12,13,14,15,16,17,18,19,20,21,22,23,24,25},FALSE)</f>
        <v>Red Sox</v>
      </c>
      <c r="C219">
        <v>5</v>
      </c>
      <c r="D219">
        <v>4</v>
      </c>
      <c r="E219">
        <v>3.78</v>
      </c>
      <c r="F219">
        <v>70</v>
      </c>
      <c r="G219">
        <v>0</v>
      </c>
      <c r="H219">
        <v>0</v>
      </c>
      <c r="I219">
        <v>0</v>
      </c>
      <c r="J219">
        <v>4</v>
      </c>
      <c r="K219">
        <v>26</v>
      </c>
      <c r="L219">
        <v>8</v>
      </c>
      <c r="M219">
        <v>64.099999999999994</v>
      </c>
      <c r="N219">
        <v>285</v>
      </c>
      <c r="O219">
        <v>51</v>
      </c>
      <c r="P219">
        <v>29</v>
      </c>
      <c r="Q219">
        <v>27</v>
      </c>
      <c r="R219">
        <v>8</v>
      </c>
      <c r="S219">
        <v>38</v>
      </c>
      <c r="T219">
        <v>2</v>
      </c>
      <c r="U219">
        <v>2</v>
      </c>
      <c r="V219">
        <v>13</v>
      </c>
      <c r="W219">
        <v>1</v>
      </c>
      <c r="X219">
        <v>110</v>
      </c>
      <c r="Y219">
        <v>12863</v>
      </c>
      <c r="Z219" cm="1">
        <f t="array" ref="Z219:AR219">VLOOKUP(A219,advanced_pitchers_2019!A:Y,{3,4,5,6,7,8,9,10,11,12,13,14,15,16,17,18,19,20,21},FALSE)</f>
        <v>15.39</v>
      </c>
      <c r="AA219">
        <v>5.32</v>
      </c>
      <c r="AB219">
        <v>2.89</v>
      </c>
      <c r="AC219">
        <v>1.1200000000000001</v>
      </c>
      <c r="AD219">
        <v>0.38600000000000001</v>
      </c>
      <c r="AE219">
        <v>0.13300000000000001</v>
      </c>
      <c r="AF219">
        <v>0.253</v>
      </c>
      <c r="AG219">
        <v>0.20799999999999999</v>
      </c>
      <c r="AH219">
        <v>1.38</v>
      </c>
      <c r="AI219">
        <v>0.33900000000000002</v>
      </c>
      <c r="AJ219">
        <v>0.77700000000000002</v>
      </c>
      <c r="AK219">
        <v>78</v>
      </c>
      <c r="AL219">
        <v>73</v>
      </c>
      <c r="AM219">
        <v>64</v>
      </c>
      <c r="AN219">
        <v>3.78</v>
      </c>
      <c r="AO219">
        <v>3.28</v>
      </c>
      <c r="AP219">
        <v>0.5</v>
      </c>
      <c r="AQ219">
        <v>2.93</v>
      </c>
      <c r="AR219">
        <v>3.25</v>
      </c>
      <c r="AS219" cm="1">
        <f t="array" ref="AS219:BA219">VLOOKUP(A219,plate_discipline_pitchers_2019!A:L,{3,4,5,6,7,8,9,10,11},FALSE)</f>
        <v>0.32700000000000001</v>
      </c>
      <c r="AT219">
        <v>0.64700000000000002</v>
      </c>
      <c r="AU219">
        <v>0.442</v>
      </c>
      <c r="AV219">
        <v>0.47299999999999998</v>
      </c>
      <c r="AW219">
        <v>0.83199999999999996</v>
      </c>
      <c r="AX219">
        <v>0.66100000000000003</v>
      </c>
      <c r="AY219">
        <v>0.35899999999999999</v>
      </c>
      <c r="AZ219">
        <v>0.58599999999999997</v>
      </c>
      <c r="BA219">
        <v>0.15</v>
      </c>
      <c r="BB219" cm="1">
        <f t="array" ref="BB219:BP219">VLOOKUP(A219,pitchvalue_pitchers_2019!A:Q,{3,4,5,6,7,8,9,10,11,12,13,14,15,16,17},FALSE)</f>
        <v>-2.7</v>
      </c>
      <c r="BC219">
        <v>0</v>
      </c>
      <c r="BD219">
        <v>0</v>
      </c>
      <c r="BE219">
        <v>7.4</v>
      </c>
      <c r="BF219">
        <v>-0.3</v>
      </c>
      <c r="BG219">
        <v>0</v>
      </c>
      <c r="BH219">
        <v>0</v>
      </c>
      <c r="BI219">
        <v>-0.43</v>
      </c>
      <c r="BJ219">
        <v>0</v>
      </c>
      <c r="BK219">
        <v>0</v>
      </c>
      <c r="BL219">
        <v>1.1100000000000001</v>
      </c>
      <c r="BM219">
        <v>-1.17</v>
      </c>
      <c r="BN219">
        <v>0</v>
      </c>
      <c r="BO219">
        <v>0</v>
      </c>
      <c r="BP219">
        <v>12863</v>
      </c>
      <c r="BQ219" cm="1">
        <f t="array" ref="BQ219:CH219">VLOOKUP(A219,battedball_pitchers_2019!A:U,{3,4,5,6,7,8,9,10,11,12,13,14,15,16,17,18,19,20},FALSE)</f>
        <v>0.33900000000000002</v>
      </c>
      <c r="BR219">
        <v>1.51</v>
      </c>
      <c r="BS219">
        <v>0.22</v>
      </c>
      <c r="BT219">
        <v>0.47</v>
      </c>
      <c r="BU219">
        <v>0.311</v>
      </c>
      <c r="BV219">
        <v>7.2999999999999995E-2</v>
      </c>
      <c r="BW219">
        <v>0.19500000000000001</v>
      </c>
      <c r="BX219">
        <v>32</v>
      </c>
      <c r="BY219">
        <v>4.4800000000000004</v>
      </c>
      <c r="BZ219">
        <v>506</v>
      </c>
      <c r="CA219">
        <v>804</v>
      </c>
      <c r="CB219">
        <v>1310</v>
      </c>
      <c r="CC219">
        <v>0.373</v>
      </c>
      <c r="CD219">
        <v>0.32100000000000001</v>
      </c>
      <c r="CE219">
        <v>0.30599999999999999</v>
      </c>
      <c r="CF219">
        <v>0.157</v>
      </c>
      <c r="CG219">
        <v>0.53700000000000003</v>
      </c>
      <c r="CH219">
        <v>0.30599999999999999</v>
      </c>
      <c r="CI219" cm="1">
        <f t="array" ref="CI219:CS219">VLOOKUP(A219,verticalmove_pitchers_2019!A:N,{3,4,5,6,7,8,9,10,11,12,13},FALSE)</f>
        <v>64.099999999999994</v>
      </c>
      <c r="CJ219">
        <v>9.4</v>
      </c>
      <c r="CK219">
        <v>0</v>
      </c>
      <c r="CL219">
        <v>0</v>
      </c>
      <c r="CM219">
        <v>0</v>
      </c>
      <c r="CN219">
        <v>5.3</v>
      </c>
      <c r="CO219">
        <v>-7.2</v>
      </c>
      <c r="CP219">
        <v>-7.8</v>
      </c>
      <c r="CQ219">
        <v>0</v>
      </c>
      <c r="CR219">
        <v>0</v>
      </c>
      <c r="CS219">
        <v>0</v>
      </c>
      <c r="CT219" cm="1">
        <f t="array" ref="CT219:DD219">VLOOKUP(A219,velocity_pitchers_2019!A:N,{3,4,5,6,7,8,9,10,11,12,13},FALSE)</f>
        <v>64.099999999999994</v>
      </c>
      <c r="CU219">
        <v>96.9</v>
      </c>
      <c r="CV219">
        <v>0</v>
      </c>
      <c r="CW219">
        <v>0</v>
      </c>
      <c r="CX219">
        <v>0</v>
      </c>
      <c r="CY219">
        <v>88.4</v>
      </c>
      <c r="CZ219">
        <v>86.2</v>
      </c>
      <c r="DA219">
        <v>85.7</v>
      </c>
      <c r="DB219">
        <v>0</v>
      </c>
      <c r="DC219">
        <v>0</v>
      </c>
      <c r="DD219">
        <v>0</v>
      </c>
    </row>
    <row r="220" spans="1:108" x14ac:dyDescent="0.3">
      <c r="A220" t="s">
        <v>125</v>
      </c>
      <c r="B220" t="str" cm="1">
        <f t="array" ref="B220:Y220">VLOOKUP(A220,standard_pitchers_2019!A:Y,{2,3,4,5,6,7,8,9,10,11,12,13,14,15,16,17,18,19,20,21,22,23,24,25},FALSE)</f>
        <v>Rays</v>
      </c>
      <c r="C220">
        <v>5</v>
      </c>
      <c r="D220">
        <v>8</v>
      </c>
      <c r="E220">
        <v>3.41</v>
      </c>
      <c r="F220">
        <v>65</v>
      </c>
      <c r="G220">
        <v>6</v>
      </c>
      <c r="H220">
        <v>0</v>
      </c>
      <c r="I220">
        <v>0</v>
      </c>
      <c r="J220">
        <v>8</v>
      </c>
      <c r="K220">
        <v>17</v>
      </c>
      <c r="L220">
        <v>2</v>
      </c>
      <c r="M220">
        <v>68.2</v>
      </c>
      <c r="N220">
        <v>290</v>
      </c>
      <c r="O220">
        <v>59</v>
      </c>
      <c r="P220">
        <v>32</v>
      </c>
      <c r="Q220">
        <v>26</v>
      </c>
      <c r="R220">
        <v>8</v>
      </c>
      <c r="S220">
        <v>26</v>
      </c>
      <c r="T220">
        <v>4</v>
      </c>
      <c r="U220">
        <v>5</v>
      </c>
      <c r="V220">
        <v>5</v>
      </c>
      <c r="W220">
        <v>0</v>
      </c>
      <c r="X220">
        <v>81</v>
      </c>
      <c r="Y220">
        <v>17496</v>
      </c>
      <c r="Z220" cm="1">
        <f t="array" ref="Z220:AR220">VLOOKUP(A220,advanced_pitchers_2019!A:Y,{3,4,5,6,7,8,9,10,11,12,13,14,15,16,17,18,19,20,21},FALSE)</f>
        <v>10.62</v>
      </c>
      <c r="AA220">
        <v>3.41</v>
      </c>
      <c r="AB220">
        <v>3.12</v>
      </c>
      <c r="AC220">
        <v>1.05</v>
      </c>
      <c r="AD220">
        <v>0.27900000000000003</v>
      </c>
      <c r="AE220">
        <v>0.09</v>
      </c>
      <c r="AF220">
        <v>0.19</v>
      </c>
      <c r="AG220">
        <v>0.22800000000000001</v>
      </c>
      <c r="AH220">
        <v>1.24</v>
      </c>
      <c r="AI220">
        <v>0.3</v>
      </c>
      <c r="AJ220">
        <v>0.73599999999999999</v>
      </c>
      <c r="AK220">
        <v>77</v>
      </c>
      <c r="AL220">
        <v>84</v>
      </c>
      <c r="AM220">
        <v>81</v>
      </c>
      <c r="AN220">
        <v>3.41</v>
      </c>
      <c r="AO220">
        <v>3.72</v>
      </c>
      <c r="AP220">
        <v>-0.32</v>
      </c>
      <c r="AQ220">
        <v>3.72</v>
      </c>
      <c r="AR220">
        <v>3.58</v>
      </c>
      <c r="AS220" cm="1">
        <f t="array" ref="AS220:BA220">VLOOKUP(A220,plate_discipline_pitchers_2019!A:L,{3,4,5,6,7,8,9,10,11},FALSE)</f>
        <v>0.307</v>
      </c>
      <c r="AT220">
        <v>0.63200000000000001</v>
      </c>
      <c r="AU220">
        <v>0.45300000000000001</v>
      </c>
      <c r="AV220">
        <v>0.46</v>
      </c>
      <c r="AW220">
        <v>0.84</v>
      </c>
      <c r="AX220">
        <v>0.69799999999999995</v>
      </c>
      <c r="AY220">
        <v>0.45</v>
      </c>
      <c r="AZ220">
        <v>0.57599999999999996</v>
      </c>
      <c r="BA220">
        <v>0.13700000000000001</v>
      </c>
      <c r="BB220" cm="1">
        <f t="array" ref="BB220:BP220">VLOOKUP(A220,pitchvalue_pitchers_2019!A:Q,{3,4,5,6,7,8,9,10,11,12,13,14,15,16,17},FALSE)</f>
        <v>-2.7</v>
      </c>
      <c r="BC220">
        <v>10.5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-0.5</v>
      </c>
      <c r="BJ220">
        <v>1.82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17496</v>
      </c>
      <c r="BQ220" cm="1">
        <f t="array" ref="BQ220:CH220">VLOOKUP(A220,battedball_pitchers_2019!A:U,{3,4,5,6,7,8,9,10,11,12,13,14,15,16,17,18,19,20},FALSE)</f>
        <v>0.3</v>
      </c>
      <c r="BR220">
        <v>1.9</v>
      </c>
      <c r="BS220">
        <v>0.13200000000000001</v>
      </c>
      <c r="BT220">
        <v>0.56899999999999995</v>
      </c>
      <c r="BU220">
        <v>0.29899999999999999</v>
      </c>
      <c r="BV220">
        <v>0.17299999999999999</v>
      </c>
      <c r="BW220">
        <v>0.154</v>
      </c>
      <c r="BX220">
        <v>37</v>
      </c>
      <c r="BY220">
        <v>4.8499999999999996</v>
      </c>
      <c r="BZ220">
        <v>400</v>
      </c>
      <c r="CA220">
        <v>719</v>
      </c>
      <c r="CB220">
        <v>1119</v>
      </c>
      <c r="CC220">
        <v>0.44400000000000001</v>
      </c>
      <c r="CD220">
        <v>0.315</v>
      </c>
      <c r="CE220">
        <v>0.24199999999999999</v>
      </c>
      <c r="CF220">
        <v>0.18</v>
      </c>
      <c r="CG220">
        <v>0.46600000000000003</v>
      </c>
      <c r="CH220">
        <v>0.35399999999999998</v>
      </c>
      <c r="CI220" cm="1">
        <f t="array" ref="CI220:CS220">VLOOKUP(A220,verticalmove_pitchers_2019!A:N,{3,4,5,6,7,8,9,10,11,12,13},FALSE)</f>
        <v>68.2</v>
      </c>
      <c r="CJ220">
        <v>6.7</v>
      </c>
      <c r="CK220">
        <v>0</v>
      </c>
      <c r="CL220">
        <v>0</v>
      </c>
      <c r="CM220">
        <v>4.5999999999999996</v>
      </c>
      <c r="CN220">
        <v>0</v>
      </c>
      <c r="CO220">
        <v>0.3</v>
      </c>
      <c r="CP220">
        <v>0</v>
      </c>
      <c r="CQ220">
        <v>0</v>
      </c>
      <c r="CR220">
        <v>0</v>
      </c>
      <c r="CS220">
        <v>0</v>
      </c>
      <c r="CT220" cm="1">
        <f t="array" ref="CT220:DD220">VLOOKUP(A220,velocity_pitchers_2019!A:N,{3,4,5,6,7,8,9,10,11,12,13},FALSE)</f>
        <v>68.2</v>
      </c>
      <c r="CU220">
        <v>98.5</v>
      </c>
      <c r="CV220">
        <v>0</v>
      </c>
      <c r="CW220">
        <v>0</v>
      </c>
      <c r="CX220">
        <v>98.4</v>
      </c>
      <c r="CY220">
        <v>0</v>
      </c>
      <c r="CZ220">
        <v>88.9</v>
      </c>
      <c r="DA220">
        <v>0</v>
      </c>
      <c r="DB220">
        <v>0</v>
      </c>
      <c r="DC220">
        <v>0</v>
      </c>
      <c r="DD220">
        <v>0</v>
      </c>
    </row>
    <row r="221" spans="1:108" x14ac:dyDescent="0.3">
      <c r="A221" t="s">
        <v>308</v>
      </c>
      <c r="B221" t="str" cm="1">
        <f t="array" ref="B221:Y221">VLOOKUP(A221,standard_pitchers_2019!A:Y,{2,3,4,5,6,7,8,9,10,11,12,13,14,15,16,17,18,19,20,21,22,23,24,25},FALSE)</f>
        <v>Athletics</v>
      </c>
      <c r="C221">
        <v>6</v>
      </c>
      <c r="D221">
        <v>5</v>
      </c>
      <c r="E221">
        <v>4.91</v>
      </c>
      <c r="F221">
        <v>57</v>
      </c>
      <c r="G221">
        <v>0</v>
      </c>
      <c r="H221">
        <v>0</v>
      </c>
      <c r="I221">
        <v>0</v>
      </c>
      <c r="J221">
        <v>16</v>
      </c>
      <c r="K221">
        <v>3</v>
      </c>
      <c r="L221">
        <v>5</v>
      </c>
      <c r="M221">
        <v>58.2</v>
      </c>
      <c r="N221">
        <v>266</v>
      </c>
      <c r="O221">
        <v>58</v>
      </c>
      <c r="P221">
        <v>33</v>
      </c>
      <c r="Q221">
        <v>32</v>
      </c>
      <c r="R221">
        <v>9</v>
      </c>
      <c r="S221">
        <v>37</v>
      </c>
      <c r="T221">
        <v>1</v>
      </c>
      <c r="U221">
        <v>1</v>
      </c>
      <c r="V221">
        <v>1</v>
      </c>
      <c r="W221">
        <v>0</v>
      </c>
      <c r="X221">
        <v>59</v>
      </c>
      <c r="Y221">
        <v>12572</v>
      </c>
      <c r="Z221" cm="1">
        <f t="array" ref="Z221:AR221">VLOOKUP(A221,advanced_pitchers_2019!A:Y,{3,4,5,6,7,8,9,10,11,12,13,14,15,16,17,18,19,20,21},FALSE)</f>
        <v>9.0500000000000007</v>
      </c>
      <c r="AA221">
        <v>5.68</v>
      </c>
      <c r="AB221">
        <v>1.59</v>
      </c>
      <c r="AC221">
        <v>1.38</v>
      </c>
      <c r="AD221">
        <v>0.222</v>
      </c>
      <c r="AE221">
        <v>0.13900000000000001</v>
      </c>
      <c r="AF221">
        <v>8.3000000000000004E-2</v>
      </c>
      <c r="AG221">
        <v>0.254</v>
      </c>
      <c r="AH221">
        <v>1.62</v>
      </c>
      <c r="AI221">
        <v>0.30599999999999999</v>
      </c>
      <c r="AJ221">
        <v>0.755</v>
      </c>
      <c r="AK221">
        <v>110</v>
      </c>
      <c r="AL221">
        <v>115</v>
      </c>
      <c r="AM221">
        <v>109</v>
      </c>
      <c r="AN221">
        <v>4.91</v>
      </c>
      <c r="AO221">
        <v>5.14</v>
      </c>
      <c r="AP221">
        <v>-0.23</v>
      </c>
      <c r="AQ221">
        <v>5.01</v>
      </c>
      <c r="AR221">
        <v>5.01</v>
      </c>
      <c r="AS221" cm="1">
        <f t="array" ref="AS221:BA221">VLOOKUP(A221,plate_discipline_pitchers_2019!A:L,{3,4,5,6,7,8,9,10,11},FALSE)</f>
        <v>0.379</v>
      </c>
      <c r="AT221">
        <v>0.68700000000000006</v>
      </c>
      <c r="AU221">
        <v>0.495</v>
      </c>
      <c r="AV221">
        <v>0.61799999999999999</v>
      </c>
      <c r="AW221">
        <v>0.86399999999999999</v>
      </c>
      <c r="AX221">
        <v>0.747</v>
      </c>
      <c r="AY221">
        <v>0.378</v>
      </c>
      <c r="AZ221">
        <v>0.61299999999999999</v>
      </c>
      <c r="BA221">
        <v>0.125</v>
      </c>
      <c r="BB221" cm="1">
        <f t="array" ref="BB221:BP221">VLOOKUP(A221,pitchvalue_pitchers_2019!A:Q,{3,4,5,6,7,8,9,10,11,12,13,14,15,16,17},FALSE)</f>
        <v>-2.7</v>
      </c>
      <c r="BC221">
        <v>-1.9</v>
      </c>
      <c r="BD221">
        <v>1.8</v>
      </c>
      <c r="BE221">
        <v>0</v>
      </c>
      <c r="BF221">
        <v>-0.1</v>
      </c>
      <c r="BG221">
        <v>0</v>
      </c>
      <c r="BH221">
        <v>0</v>
      </c>
      <c r="BI221">
        <v>-0.4</v>
      </c>
      <c r="BJ221">
        <v>-1.39</v>
      </c>
      <c r="BK221">
        <v>0.9</v>
      </c>
      <c r="BL221">
        <v>0</v>
      </c>
      <c r="BM221">
        <v>-5.08</v>
      </c>
      <c r="BN221">
        <v>0</v>
      </c>
      <c r="BO221">
        <v>0</v>
      </c>
      <c r="BP221">
        <v>12572</v>
      </c>
      <c r="BQ221" cm="1">
        <f t="array" ref="BQ221:CH221">VLOOKUP(A221,battedball_pitchers_2019!A:U,{3,4,5,6,7,8,9,10,11,12,13,14,15,16,17,18,19,20},FALSE)</f>
        <v>0.30599999999999999</v>
      </c>
      <c r="BR221">
        <v>1.29</v>
      </c>
      <c r="BS221">
        <v>0.24099999999999999</v>
      </c>
      <c r="BT221">
        <v>0.42799999999999999</v>
      </c>
      <c r="BU221">
        <v>0.33100000000000002</v>
      </c>
      <c r="BV221">
        <v>0.127</v>
      </c>
      <c r="BW221">
        <v>0.16400000000000001</v>
      </c>
      <c r="BX221">
        <v>22</v>
      </c>
      <c r="BY221">
        <v>3.38</v>
      </c>
      <c r="BZ221">
        <v>379</v>
      </c>
      <c r="CA221">
        <v>644</v>
      </c>
      <c r="CB221">
        <v>1023</v>
      </c>
      <c r="CC221">
        <v>0.48499999999999999</v>
      </c>
      <c r="CD221">
        <v>0.27200000000000002</v>
      </c>
      <c r="CE221">
        <v>0.24299999999999999</v>
      </c>
      <c r="CF221">
        <v>0.183</v>
      </c>
      <c r="CG221">
        <v>0.45</v>
      </c>
      <c r="CH221">
        <v>0.36699999999999999</v>
      </c>
      <c r="CI221" cm="1">
        <f t="array" ref="CI221:CS221">VLOOKUP(A221,verticalmove_pitchers_2019!A:N,{3,4,5,6,7,8,9,10,11,12,13},FALSE)</f>
        <v>58.2</v>
      </c>
      <c r="CJ221">
        <v>7.1</v>
      </c>
      <c r="CK221">
        <v>4</v>
      </c>
      <c r="CL221">
        <v>0</v>
      </c>
      <c r="CM221">
        <v>2.6</v>
      </c>
      <c r="CN221">
        <v>2.5</v>
      </c>
      <c r="CO221">
        <v>-2</v>
      </c>
      <c r="CP221">
        <v>0</v>
      </c>
      <c r="CQ221">
        <v>0</v>
      </c>
      <c r="CR221">
        <v>0</v>
      </c>
      <c r="CS221">
        <v>0</v>
      </c>
      <c r="CT221" cm="1">
        <f t="array" ref="CT221:DD221">VLOOKUP(A221,velocity_pitchers_2019!A:N,{3,4,5,6,7,8,9,10,11,12,13},FALSE)</f>
        <v>58.2</v>
      </c>
      <c r="CU221">
        <v>97.2</v>
      </c>
      <c r="CV221">
        <v>93.4</v>
      </c>
      <c r="CW221">
        <v>0</v>
      </c>
      <c r="CX221">
        <v>96.7</v>
      </c>
      <c r="CY221">
        <v>88.4</v>
      </c>
      <c r="CZ221">
        <v>88.6</v>
      </c>
      <c r="DA221">
        <v>0</v>
      </c>
      <c r="DB221">
        <v>0</v>
      </c>
      <c r="DC221">
        <v>0</v>
      </c>
      <c r="DD221">
        <v>0</v>
      </c>
    </row>
    <row r="222" spans="1:108" x14ac:dyDescent="0.3">
      <c r="A222" t="s">
        <v>323</v>
      </c>
      <c r="B222" t="str" cm="1">
        <f t="array" ref="B222:Y222">VLOOKUP(A222,standard_pitchers_2019!A:Y,{2,3,4,5,6,7,8,9,10,11,12,13,14,15,16,17,18,19,20,21,22,23,24,25},FALSE)</f>
        <v>Marlins</v>
      </c>
      <c r="C222">
        <v>4</v>
      </c>
      <c r="D222">
        <v>10</v>
      </c>
      <c r="E222">
        <v>5.21</v>
      </c>
      <c r="F222">
        <v>24</v>
      </c>
      <c r="G222">
        <v>13</v>
      </c>
      <c r="H222">
        <v>0</v>
      </c>
      <c r="I222">
        <v>0</v>
      </c>
      <c r="J222">
        <v>3</v>
      </c>
      <c r="K222">
        <v>0</v>
      </c>
      <c r="L222">
        <v>2</v>
      </c>
      <c r="M222">
        <v>84.2</v>
      </c>
      <c r="N222">
        <v>369</v>
      </c>
      <c r="O222">
        <v>99</v>
      </c>
      <c r="P222">
        <v>53</v>
      </c>
      <c r="Q222">
        <v>49</v>
      </c>
      <c r="R222">
        <v>13</v>
      </c>
      <c r="S222">
        <v>26</v>
      </c>
      <c r="T222">
        <v>3</v>
      </c>
      <c r="U222">
        <v>2</v>
      </c>
      <c r="V222">
        <v>2</v>
      </c>
      <c r="W222">
        <v>0</v>
      </c>
      <c r="X222">
        <v>62</v>
      </c>
      <c r="Y222">
        <v>11589</v>
      </c>
      <c r="Z222" cm="1">
        <f t="array" ref="Z222:AR222">VLOOKUP(A222,advanced_pitchers_2019!A:Y,{3,4,5,6,7,8,9,10,11,12,13,14,15,16,17,18,19,20,21},FALSE)</f>
        <v>6.59</v>
      </c>
      <c r="AA222">
        <v>2.76</v>
      </c>
      <c r="AB222">
        <v>2.38</v>
      </c>
      <c r="AC222">
        <v>1.38</v>
      </c>
      <c r="AD222">
        <v>0.16800000000000001</v>
      </c>
      <c r="AE222">
        <v>7.0000000000000007E-2</v>
      </c>
      <c r="AF222">
        <v>9.8000000000000004E-2</v>
      </c>
      <c r="AG222">
        <v>0.28999999999999998</v>
      </c>
      <c r="AH222">
        <v>1.48</v>
      </c>
      <c r="AI222">
        <v>0.32300000000000001</v>
      </c>
      <c r="AJ222">
        <v>0.68</v>
      </c>
      <c r="AK222">
        <v>124</v>
      </c>
      <c r="AL222">
        <v>110</v>
      </c>
      <c r="AM222">
        <v>104</v>
      </c>
      <c r="AN222">
        <v>5.21</v>
      </c>
      <c r="AO222">
        <v>4.74</v>
      </c>
      <c r="AP222">
        <v>0.47</v>
      </c>
      <c r="AQ222">
        <v>4.5999999999999996</v>
      </c>
      <c r="AR222">
        <v>4.84</v>
      </c>
      <c r="AS222" cm="1">
        <f t="array" ref="AS222:BA222">VLOOKUP(A222,plate_discipline_pitchers_2019!A:L,{3,4,5,6,7,8,9,10,11},FALSE)</f>
        <v>0.36099999999999999</v>
      </c>
      <c r="AT222">
        <v>0.7</v>
      </c>
      <c r="AU222">
        <v>0.48299999999999998</v>
      </c>
      <c r="AV222">
        <v>0.70299999999999996</v>
      </c>
      <c r="AW222">
        <v>0.88400000000000001</v>
      </c>
      <c r="AX222">
        <v>0.79800000000000004</v>
      </c>
      <c r="AY222">
        <v>0.36</v>
      </c>
      <c r="AZ222">
        <v>0.56399999999999995</v>
      </c>
      <c r="BA222">
        <v>9.8000000000000004E-2</v>
      </c>
      <c r="BB222" cm="1">
        <f t="array" ref="BB222:BP222">VLOOKUP(A222,pitchvalue_pitchers_2019!A:Q,{3,4,5,6,7,8,9,10,11,12,13,14,15,16,17},FALSE)</f>
        <v>-2.7</v>
      </c>
      <c r="BC222">
        <v>-6</v>
      </c>
      <c r="BD222">
        <v>0</v>
      </c>
      <c r="BE222">
        <v>0</v>
      </c>
      <c r="BF222">
        <v>2.2999999999999998</v>
      </c>
      <c r="BG222">
        <v>0</v>
      </c>
      <c r="BH222">
        <v>0</v>
      </c>
      <c r="BI222">
        <v>-0.31</v>
      </c>
      <c r="BJ222">
        <v>-1.66</v>
      </c>
      <c r="BK222">
        <v>0</v>
      </c>
      <c r="BL222">
        <v>0</v>
      </c>
      <c r="BM222">
        <v>1.57</v>
      </c>
      <c r="BN222">
        <v>0</v>
      </c>
      <c r="BO222">
        <v>0</v>
      </c>
      <c r="BP222">
        <v>11589</v>
      </c>
      <c r="BQ222" cm="1">
        <f t="array" ref="BQ222:CH222">VLOOKUP(A222,battedball_pitchers_2019!A:U,{3,4,5,6,7,8,9,10,11,12,13,14,15,16,17,18,19,20},FALSE)</f>
        <v>0.32300000000000001</v>
      </c>
      <c r="BR222">
        <v>1.75</v>
      </c>
      <c r="BS222">
        <v>0.214</v>
      </c>
      <c r="BT222">
        <v>0.5</v>
      </c>
      <c r="BU222">
        <v>0.28599999999999998</v>
      </c>
      <c r="BV222">
        <v>8.8999999999999996E-2</v>
      </c>
      <c r="BW222">
        <v>0.16500000000000001</v>
      </c>
      <c r="BX222">
        <v>26</v>
      </c>
      <c r="BY222">
        <v>2.76</v>
      </c>
      <c r="BZ222">
        <v>506</v>
      </c>
      <c r="CA222">
        <v>866</v>
      </c>
      <c r="CB222">
        <v>1372</v>
      </c>
      <c r="CC222">
        <v>0.46600000000000003</v>
      </c>
      <c r="CD222">
        <v>0.35099999999999998</v>
      </c>
      <c r="CE222">
        <v>0.183</v>
      </c>
      <c r="CF222">
        <v>0.13600000000000001</v>
      </c>
      <c r="CG222">
        <v>0.43</v>
      </c>
      <c r="CH222">
        <v>0.434</v>
      </c>
      <c r="CI222" cm="1">
        <f t="array" ref="CI222:CS222">VLOOKUP(A222,verticalmove_pitchers_2019!A:N,{3,4,5,6,7,8,9,10,11,12,13},FALSE)</f>
        <v>84.2</v>
      </c>
      <c r="CJ222">
        <v>6</v>
      </c>
      <c r="CK222">
        <v>4.4000000000000004</v>
      </c>
      <c r="CL222">
        <v>0</v>
      </c>
      <c r="CM222">
        <v>4.5999999999999996</v>
      </c>
      <c r="CN222">
        <v>4.2</v>
      </c>
      <c r="CO222">
        <v>2.2999999999999998</v>
      </c>
      <c r="CP222">
        <v>3.4</v>
      </c>
      <c r="CQ222">
        <v>0</v>
      </c>
      <c r="CR222">
        <v>0</v>
      </c>
      <c r="CS222">
        <v>0</v>
      </c>
      <c r="CT222" cm="1">
        <f t="array" ref="CT222:DD222">VLOOKUP(A222,velocity_pitchers_2019!A:N,{3,4,5,6,7,8,9,10,11,12,13},FALSE)</f>
        <v>84.2</v>
      </c>
      <c r="CU222">
        <v>95.2</v>
      </c>
      <c r="CV222">
        <v>89.7</v>
      </c>
      <c r="CW222">
        <v>0</v>
      </c>
      <c r="CX222">
        <v>96.3</v>
      </c>
      <c r="CY222">
        <v>90.5</v>
      </c>
      <c r="CZ222">
        <v>85.9</v>
      </c>
      <c r="DA222">
        <v>97</v>
      </c>
      <c r="DB222">
        <v>0</v>
      </c>
      <c r="DC222">
        <v>0</v>
      </c>
      <c r="DD222">
        <v>0</v>
      </c>
    </row>
    <row r="223" spans="1:108" x14ac:dyDescent="0.3">
      <c r="A223" t="s">
        <v>328</v>
      </c>
      <c r="B223" t="str" cm="1">
        <f t="array" ref="B223:Y223">VLOOKUP(A223,standard_pitchers_2019!A:Y,{2,3,4,5,6,7,8,9,10,11,12,13,14,15,16,17,18,19,20,21,22,23,24,25},FALSE)</f>
        <v>Brewers</v>
      </c>
      <c r="C223">
        <v>7</v>
      </c>
      <c r="D223">
        <v>3</v>
      </c>
      <c r="E223">
        <v>5.29</v>
      </c>
      <c r="F223">
        <v>39</v>
      </c>
      <c r="G223">
        <v>8</v>
      </c>
      <c r="H223">
        <v>0</v>
      </c>
      <c r="I223">
        <v>0</v>
      </c>
      <c r="J223">
        <v>1</v>
      </c>
      <c r="K223">
        <v>5</v>
      </c>
      <c r="L223">
        <v>1</v>
      </c>
      <c r="M223">
        <v>85</v>
      </c>
      <c r="N223">
        <v>382</v>
      </c>
      <c r="O223">
        <v>87</v>
      </c>
      <c r="P223">
        <v>58</v>
      </c>
      <c r="Q223">
        <v>50</v>
      </c>
      <c r="R223">
        <v>15</v>
      </c>
      <c r="S223">
        <v>37</v>
      </c>
      <c r="T223">
        <v>1</v>
      </c>
      <c r="U223">
        <v>2</v>
      </c>
      <c r="V223">
        <v>3</v>
      </c>
      <c r="W223">
        <v>0</v>
      </c>
      <c r="X223">
        <v>115</v>
      </c>
      <c r="Y223">
        <v>18679</v>
      </c>
      <c r="Z223" cm="1">
        <f t="array" ref="Z223:AR223">VLOOKUP(A223,advanced_pitchers_2019!A:Y,{3,4,5,6,7,8,9,10,11,12,13,14,15,16,17,18,19,20,21},FALSE)</f>
        <v>12.18</v>
      </c>
      <c r="AA223">
        <v>3.92</v>
      </c>
      <c r="AB223">
        <v>3.11</v>
      </c>
      <c r="AC223">
        <v>1.59</v>
      </c>
      <c r="AD223">
        <v>0.30099999999999999</v>
      </c>
      <c r="AE223">
        <v>9.7000000000000003E-2</v>
      </c>
      <c r="AF223">
        <v>0.20399999999999999</v>
      </c>
      <c r="AG223">
        <v>0.254</v>
      </c>
      <c r="AH223">
        <v>1.46</v>
      </c>
      <c r="AI223">
        <v>0.33800000000000002</v>
      </c>
      <c r="AJ223">
        <v>0.64800000000000002</v>
      </c>
      <c r="AK223">
        <v>119</v>
      </c>
      <c r="AL223">
        <v>93</v>
      </c>
      <c r="AM223">
        <v>94</v>
      </c>
      <c r="AN223">
        <v>5.29</v>
      </c>
      <c r="AO223">
        <v>4.18</v>
      </c>
      <c r="AP223">
        <v>1.1200000000000001</v>
      </c>
      <c r="AQ223">
        <v>4.1500000000000004</v>
      </c>
      <c r="AR223">
        <v>3.8</v>
      </c>
      <c r="AS223" cm="1">
        <f t="array" ref="AS223:BA223">VLOOKUP(A223,plate_discipline_pitchers_2019!A:L,{3,4,5,6,7,8,9,10,11},FALSE)</f>
        <v>0.317</v>
      </c>
      <c r="AT223">
        <v>0.70799999999999996</v>
      </c>
      <c r="AU223">
        <v>0.49099999999999999</v>
      </c>
      <c r="AV223">
        <v>0.65100000000000002</v>
      </c>
      <c r="AW223">
        <v>0.78200000000000003</v>
      </c>
      <c r="AX223">
        <v>0.73499999999999999</v>
      </c>
      <c r="AY223">
        <v>0.44600000000000001</v>
      </c>
      <c r="AZ223">
        <v>0.62</v>
      </c>
      <c r="BA223">
        <v>0.13</v>
      </c>
      <c r="BB223" cm="1">
        <f t="array" ref="BB223:BP223">VLOOKUP(A223,pitchvalue_pitchers_2019!A:Q,{3,4,5,6,7,8,9,10,11,12,13,14,15,16,17},FALSE)</f>
        <v>-2.8</v>
      </c>
      <c r="BC223">
        <v>0</v>
      </c>
      <c r="BD223">
        <v>0</v>
      </c>
      <c r="BE223">
        <v>-1.2</v>
      </c>
      <c r="BF223">
        <v>-1.8</v>
      </c>
      <c r="BG223">
        <v>0</v>
      </c>
      <c r="BH223">
        <v>0</v>
      </c>
      <c r="BI223">
        <v>-0.23</v>
      </c>
      <c r="BJ223">
        <v>0</v>
      </c>
      <c r="BK223">
        <v>0</v>
      </c>
      <c r="BL223">
        <v>-0.37</v>
      </c>
      <c r="BM223">
        <v>-10.49</v>
      </c>
      <c r="BN223">
        <v>0</v>
      </c>
      <c r="BO223">
        <v>0</v>
      </c>
      <c r="BP223">
        <v>18679</v>
      </c>
      <c r="BQ223" cm="1">
        <f t="array" ref="BQ223:CH223">VLOOKUP(A223,battedball_pitchers_2019!A:U,{3,4,5,6,7,8,9,10,11,12,13,14,15,16,17,18,19,20},FALSE)</f>
        <v>0.33800000000000002</v>
      </c>
      <c r="BR223">
        <v>0.73</v>
      </c>
      <c r="BS223">
        <v>0.24299999999999999</v>
      </c>
      <c r="BT223">
        <v>0.32</v>
      </c>
      <c r="BU223">
        <v>0.437</v>
      </c>
      <c r="BV223">
        <v>0.155</v>
      </c>
      <c r="BW223">
        <v>0.155</v>
      </c>
      <c r="BX223">
        <v>59</v>
      </c>
      <c r="BY223">
        <v>6.25</v>
      </c>
      <c r="BZ223">
        <v>557</v>
      </c>
      <c r="CA223">
        <v>1042</v>
      </c>
      <c r="CB223">
        <v>1599</v>
      </c>
      <c r="CC223">
        <v>0.35099999999999998</v>
      </c>
      <c r="CD223">
        <v>0.36</v>
      </c>
      <c r="CE223">
        <v>0.28899999999999998</v>
      </c>
      <c r="CF223">
        <v>0.17499999999999999</v>
      </c>
      <c r="CG223">
        <v>0.439</v>
      </c>
      <c r="CH223">
        <v>0.38600000000000001</v>
      </c>
      <c r="CI223" cm="1">
        <f t="array" ref="CI223:CS223">VLOOKUP(A223,verticalmove_pitchers_2019!A:N,{3,4,5,6,7,8,9,10,11,12,13},FALSE)</f>
        <v>85</v>
      </c>
      <c r="CJ223">
        <v>9</v>
      </c>
      <c r="CK223">
        <v>0</v>
      </c>
      <c r="CL223">
        <v>0</v>
      </c>
      <c r="CM223">
        <v>0</v>
      </c>
      <c r="CN223">
        <v>4.7</v>
      </c>
      <c r="CO223">
        <v>9</v>
      </c>
      <c r="CP223">
        <v>-6.8</v>
      </c>
      <c r="CQ223">
        <v>0</v>
      </c>
      <c r="CR223">
        <v>0</v>
      </c>
      <c r="CS223">
        <v>0</v>
      </c>
      <c r="CT223" cm="1">
        <f t="array" ref="CT223:DD223">VLOOKUP(A223,velocity_pitchers_2019!A:N,{3,4,5,6,7,8,9,10,11,12,13},FALSE)</f>
        <v>85</v>
      </c>
      <c r="CU223">
        <v>94.1</v>
      </c>
      <c r="CV223">
        <v>0</v>
      </c>
      <c r="CW223">
        <v>0</v>
      </c>
      <c r="CX223">
        <v>0</v>
      </c>
      <c r="CY223">
        <v>89.6</v>
      </c>
      <c r="CZ223">
        <v>93.4</v>
      </c>
      <c r="DA223">
        <v>77.599999999999994</v>
      </c>
      <c r="DB223">
        <v>0</v>
      </c>
      <c r="DC223">
        <v>0</v>
      </c>
      <c r="DD223">
        <v>0</v>
      </c>
    </row>
    <row r="224" spans="1:108" x14ac:dyDescent="0.3">
      <c r="A224" t="s">
        <v>158</v>
      </c>
      <c r="B224" t="str" cm="1">
        <f t="array" ref="B224:Y224">VLOOKUP(A224,standard_pitchers_2019!A:Y,{2,3,4,5,6,7,8,9,10,11,12,13,14,15,16,17,18,19,20,21,22,23,24,25},FALSE)</f>
        <v>Tigers</v>
      </c>
      <c r="C224">
        <v>6</v>
      </c>
      <c r="D224">
        <v>6</v>
      </c>
      <c r="E224">
        <v>3.72</v>
      </c>
      <c r="F224">
        <v>73</v>
      </c>
      <c r="G224">
        <v>1</v>
      </c>
      <c r="H224">
        <v>0</v>
      </c>
      <c r="I224">
        <v>0</v>
      </c>
      <c r="J224">
        <v>0</v>
      </c>
      <c r="K224">
        <v>15</v>
      </c>
      <c r="L224">
        <v>3</v>
      </c>
      <c r="M224">
        <v>67.2</v>
      </c>
      <c r="N224">
        <v>288</v>
      </c>
      <c r="O224">
        <v>62</v>
      </c>
      <c r="P224">
        <v>32</v>
      </c>
      <c r="Q224">
        <v>28</v>
      </c>
      <c r="R224">
        <v>8</v>
      </c>
      <c r="S224">
        <v>24</v>
      </c>
      <c r="T224">
        <v>2</v>
      </c>
      <c r="U224">
        <v>5</v>
      </c>
      <c r="V224">
        <v>4</v>
      </c>
      <c r="W224">
        <v>0</v>
      </c>
      <c r="X224">
        <v>73</v>
      </c>
      <c r="Y224">
        <v>14814</v>
      </c>
      <c r="Z224" cm="1">
        <f t="array" ref="Z224:AR224">VLOOKUP(A224,advanced_pitchers_2019!A:Y,{3,4,5,6,7,8,9,10,11,12,13,14,15,16,17,18,19,20,21},FALSE)</f>
        <v>9.7100000000000009</v>
      </c>
      <c r="AA224">
        <v>3.19</v>
      </c>
      <c r="AB224">
        <v>3.04</v>
      </c>
      <c r="AC224">
        <v>1.06</v>
      </c>
      <c r="AD224">
        <v>0.253</v>
      </c>
      <c r="AE224">
        <v>8.3000000000000004E-2</v>
      </c>
      <c r="AF224">
        <v>0.17</v>
      </c>
      <c r="AG224">
        <v>0.23899999999999999</v>
      </c>
      <c r="AH224">
        <v>1.27</v>
      </c>
      <c r="AI224">
        <v>0.30299999999999999</v>
      </c>
      <c r="AJ224">
        <v>0.73899999999999999</v>
      </c>
      <c r="AK224">
        <v>80</v>
      </c>
      <c r="AL224">
        <v>84</v>
      </c>
      <c r="AM224">
        <v>90</v>
      </c>
      <c r="AN224">
        <v>3.72</v>
      </c>
      <c r="AO224">
        <v>3.88</v>
      </c>
      <c r="AP224">
        <v>-0.15</v>
      </c>
      <c r="AQ224">
        <v>4.1100000000000003</v>
      </c>
      <c r="AR224">
        <v>3.87</v>
      </c>
      <c r="AS224" cm="1">
        <f t="array" ref="AS224:BA224">VLOOKUP(A224,plate_discipline_pitchers_2019!A:L,{3,4,5,6,7,8,9,10,11},FALSE)</f>
        <v>0.312</v>
      </c>
      <c r="AT224">
        <v>0.68400000000000005</v>
      </c>
      <c r="AU224">
        <v>0.46100000000000002</v>
      </c>
      <c r="AV224">
        <v>0.57599999999999996</v>
      </c>
      <c r="AW224">
        <v>0.82</v>
      </c>
      <c r="AX224">
        <v>0.72</v>
      </c>
      <c r="AY224">
        <v>0.39900000000000002</v>
      </c>
      <c r="AZ224">
        <v>0.60799999999999998</v>
      </c>
      <c r="BA224">
        <v>0.129</v>
      </c>
      <c r="BB224" cm="1">
        <f t="array" ref="BB224:BP224">VLOOKUP(A224,pitchvalue_pitchers_2019!A:Q,{3,4,5,6,7,8,9,10,11,12,13,14,15,16,17},FALSE)</f>
        <v>-2.9</v>
      </c>
      <c r="BC224">
        <v>0</v>
      </c>
      <c r="BD224">
        <v>0</v>
      </c>
      <c r="BE224">
        <v>4.2</v>
      </c>
      <c r="BF224">
        <v>0.6</v>
      </c>
      <c r="BG224">
        <v>0</v>
      </c>
      <c r="BH224">
        <v>0</v>
      </c>
      <c r="BI224">
        <v>-0.51</v>
      </c>
      <c r="BJ224">
        <v>0</v>
      </c>
      <c r="BK224">
        <v>0</v>
      </c>
      <c r="BL224">
        <v>1.43</v>
      </c>
      <c r="BM224">
        <v>0.19</v>
      </c>
      <c r="BN224">
        <v>0</v>
      </c>
      <c r="BO224">
        <v>0</v>
      </c>
      <c r="BP224">
        <v>14814</v>
      </c>
      <c r="BQ224" cm="1">
        <f t="array" ref="BQ224:CH224">VLOOKUP(A224,battedball_pitchers_2019!A:U,{3,4,5,6,7,8,9,10,11,12,13,14,15,16,17,18,19,20},FALSE)</f>
        <v>0.30299999999999999</v>
      </c>
      <c r="BR224">
        <v>1.43</v>
      </c>
      <c r="BS224">
        <v>0.19800000000000001</v>
      </c>
      <c r="BT224">
        <v>0.47299999999999998</v>
      </c>
      <c r="BU224">
        <v>0.33</v>
      </c>
      <c r="BV224">
        <v>0.1</v>
      </c>
      <c r="BW224">
        <v>0.13300000000000001</v>
      </c>
      <c r="BX224">
        <v>35</v>
      </c>
      <c r="BY224">
        <v>4.66</v>
      </c>
      <c r="BZ224">
        <v>442</v>
      </c>
      <c r="CA224">
        <v>715</v>
      </c>
      <c r="CB224">
        <v>1157</v>
      </c>
      <c r="CC224">
        <v>0.40899999999999997</v>
      </c>
      <c r="CD224">
        <v>0.376</v>
      </c>
      <c r="CE224">
        <v>0.215</v>
      </c>
      <c r="CF224">
        <v>0.156</v>
      </c>
      <c r="CG224">
        <v>0.435</v>
      </c>
      <c r="CH224">
        <v>0.40899999999999997</v>
      </c>
      <c r="CI224" cm="1">
        <f t="array" ref="CI224:CS224">VLOOKUP(A224,verticalmove_pitchers_2019!A:N,{3,4,5,6,7,8,9,10,11,12,13},FALSE)</f>
        <v>67.2</v>
      </c>
      <c r="CJ224">
        <v>8.6999999999999993</v>
      </c>
      <c r="CK224">
        <v>0</v>
      </c>
      <c r="CL224">
        <v>0</v>
      </c>
      <c r="CM224">
        <v>6.1</v>
      </c>
      <c r="CN224">
        <v>0.7</v>
      </c>
      <c r="CO224">
        <v>0.9</v>
      </c>
      <c r="CP224">
        <v>0</v>
      </c>
      <c r="CQ224">
        <v>0</v>
      </c>
      <c r="CR224">
        <v>0</v>
      </c>
      <c r="CS224">
        <v>0</v>
      </c>
      <c r="CT224" cm="1">
        <f t="array" ref="CT224:DD224">VLOOKUP(A224,velocity_pitchers_2019!A:N,{3,4,5,6,7,8,9,10,11,12,13},FALSE)</f>
        <v>67.2</v>
      </c>
      <c r="CU224">
        <v>95.3</v>
      </c>
      <c r="CV224">
        <v>0</v>
      </c>
      <c r="CW224">
        <v>0</v>
      </c>
      <c r="CX224">
        <v>94.1</v>
      </c>
      <c r="CY224">
        <v>88.4</v>
      </c>
      <c r="CZ224">
        <v>82.7</v>
      </c>
      <c r="DA224">
        <v>0</v>
      </c>
      <c r="DB224">
        <v>0</v>
      </c>
      <c r="DC224">
        <v>0</v>
      </c>
      <c r="DD224">
        <v>0</v>
      </c>
    </row>
    <row r="225" spans="1:108" x14ac:dyDescent="0.3">
      <c r="A225" t="s">
        <v>357</v>
      </c>
      <c r="B225" t="str" cm="1">
        <f t="array" ref="B225:Y225">VLOOKUP(A225,standard_pitchers_2019!A:Y,{2,3,4,5,6,7,8,9,10,11,12,13,14,15,16,17,18,19,20,21,22,23,24,25},FALSE)</f>
        <v>Mariners</v>
      </c>
      <c r="C225">
        <v>1</v>
      </c>
      <c r="D225">
        <v>5</v>
      </c>
      <c r="E225">
        <v>5.74</v>
      </c>
      <c r="F225">
        <v>27</v>
      </c>
      <c r="G225">
        <v>8</v>
      </c>
      <c r="H225">
        <v>0</v>
      </c>
      <c r="I225">
        <v>0</v>
      </c>
      <c r="J225">
        <v>2</v>
      </c>
      <c r="K225">
        <v>1</v>
      </c>
      <c r="L225">
        <v>0</v>
      </c>
      <c r="M225">
        <v>58</v>
      </c>
      <c r="N225">
        <v>245</v>
      </c>
      <c r="O225">
        <v>56</v>
      </c>
      <c r="P225">
        <v>41</v>
      </c>
      <c r="Q225">
        <v>37</v>
      </c>
      <c r="R225">
        <v>17</v>
      </c>
      <c r="S225">
        <v>12</v>
      </c>
      <c r="T225">
        <v>1</v>
      </c>
      <c r="U225">
        <v>2</v>
      </c>
      <c r="V225">
        <v>2</v>
      </c>
      <c r="W225">
        <v>0</v>
      </c>
      <c r="X225">
        <v>52</v>
      </c>
      <c r="Y225">
        <v>16587</v>
      </c>
      <c r="Z225" cm="1">
        <f t="array" ref="Z225:AR225">VLOOKUP(A225,advanced_pitchers_2019!A:Y,{3,4,5,6,7,8,9,10,11,12,13,14,15,16,17,18,19,20,21},FALSE)</f>
        <v>8.07</v>
      </c>
      <c r="AA225">
        <v>1.86</v>
      </c>
      <c r="AB225">
        <v>4.33</v>
      </c>
      <c r="AC225">
        <v>2.64</v>
      </c>
      <c r="AD225">
        <v>0.21199999999999999</v>
      </c>
      <c r="AE225">
        <v>4.9000000000000002E-2</v>
      </c>
      <c r="AF225">
        <v>0.16300000000000001</v>
      </c>
      <c r="AG225">
        <v>0.24199999999999999</v>
      </c>
      <c r="AH225">
        <v>1.17</v>
      </c>
      <c r="AI225">
        <v>0.24099999999999999</v>
      </c>
      <c r="AJ225">
        <v>0.628</v>
      </c>
      <c r="AK225">
        <v>129</v>
      </c>
      <c r="AL225">
        <v>132</v>
      </c>
      <c r="AM225">
        <v>102</v>
      </c>
      <c r="AN225">
        <v>5.74</v>
      </c>
      <c r="AO225">
        <v>5.96</v>
      </c>
      <c r="AP225">
        <v>-0.21</v>
      </c>
      <c r="AQ225">
        <v>4.68</v>
      </c>
      <c r="AR225">
        <v>4.29</v>
      </c>
      <c r="AS225" cm="1">
        <f t="array" ref="AS225:BA225">VLOOKUP(A225,plate_discipline_pitchers_2019!A:L,{3,4,5,6,7,8,9,10,11},FALSE)</f>
        <v>0.30499999999999999</v>
      </c>
      <c r="AT225">
        <v>0.69899999999999995</v>
      </c>
      <c r="AU225">
        <v>0.48799999999999999</v>
      </c>
      <c r="AV225">
        <v>0.748</v>
      </c>
      <c r="AW225">
        <v>0.83799999999999997</v>
      </c>
      <c r="AX225">
        <v>0.80800000000000005</v>
      </c>
      <c r="AY225">
        <v>0.46300000000000002</v>
      </c>
      <c r="AZ225">
        <v>0.60799999999999998</v>
      </c>
      <c r="BA225">
        <v>9.4E-2</v>
      </c>
      <c r="BB225" cm="1">
        <f t="array" ref="BB225:BP225">VLOOKUP(A225,pitchvalue_pitchers_2019!A:Q,{3,4,5,6,7,8,9,10,11,12,13,14,15,16,17},FALSE)</f>
        <v>-3</v>
      </c>
      <c r="BC225">
        <v>0.7</v>
      </c>
      <c r="BD225">
        <v>0</v>
      </c>
      <c r="BE225">
        <v>0</v>
      </c>
      <c r="BF225">
        <v>-4.5</v>
      </c>
      <c r="BG225">
        <v>0</v>
      </c>
      <c r="BH225">
        <v>0</v>
      </c>
      <c r="BI225">
        <v>-0.45</v>
      </c>
      <c r="BJ225">
        <v>0.41</v>
      </c>
      <c r="BK225">
        <v>0</v>
      </c>
      <c r="BL225">
        <v>0</v>
      </c>
      <c r="BM225">
        <v>-4.72</v>
      </c>
      <c r="BN225">
        <v>-0.12</v>
      </c>
      <c r="BO225">
        <v>0</v>
      </c>
      <c r="BP225">
        <v>16587</v>
      </c>
      <c r="BQ225" cm="1">
        <f t="array" ref="BQ225:CH225">VLOOKUP(A225,battedball_pitchers_2019!A:U,{3,4,5,6,7,8,9,10,11,12,13,14,15,16,17,18,19,20},FALSE)</f>
        <v>0.24099999999999999</v>
      </c>
      <c r="BR225">
        <v>0.91</v>
      </c>
      <c r="BS225">
        <v>0.20300000000000001</v>
      </c>
      <c r="BT225">
        <v>0.379</v>
      </c>
      <c r="BU225">
        <v>0.41799999999999998</v>
      </c>
      <c r="BV225">
        <v>0.122</v>
      </c>
      <c r="BW225">
        <v>0.23</v>
      </c>
      <c r="BX225">
        <v>28</v>
      </c>
      <c r="BY225">
        <v>4.34</v>
      </c>
      <c r="BZ225">
        <v>339</v>
      </c>
      <c r="CA225">
        <v>632</v>
      </c>
      <c r="CB225">
        <v>971</v>
      </c>
      <c r="CC225">
        <v>0.39700000000000002</v>
      </c>
      <c r="CD225">
        <v>0.32400000000000001</v>
      </c>
      <c r="CE225">
        <v>0.27900000000000003</v>
      </c>
      <c r="CF225">
        <v>0.106</v>
      </c>
      <c r="CG225">
        <v>0.55900000000000005</v>
      </c>
      <c r="CH225">
        <v>0.33500000000000002</v>
      </c>
      <c r="CI225" cm="1">
        <f t="array" ref="CI225:CS225">VLOOKUP(A225,verticalmove_pitchers_2019!A:N,{3,4,5,6,7,8,9,10,11,12,13},FALSE)</f>
        <v>58</v>
      </c>
      <c r="CJ225">
        <v>10.199999999999999</v>
      </c>
      <c r="CK225">
        <v>0</v>
      </c>
      <c r="CL225">
        <v>0</v>
      </c>
      <c r="CM225">
        <v>0</v>
      </c>
      <c r="CN225">
        <v>6.1</v>
      </c>
      <c r="CO225">
        <v>1.8</v>
      </c>
      <c r="CP225">
        <v>0</v>
      </c>
      <c r="CQ225">
        <v>0</v>
      </c>
      <c r="CR225">
        <v>0</v>
      </c>
      <c r="CS225">
        <v>0</v>
      </c>
      <c r="CT225" cm="1">
        <f t="array" ref="CT225:DD225">VLOOKUP(A225,velocity_pitchers_2019!A:N,{3,4,5,6,7,8,9,10,11,12,13},FALSE)</f>
        <v>58</v>
      </c>
      <c r="CU225">
        <v>93.1</v>
      </c>
      <c r="CV225">
        <v>0</v>
      </c>
      <c r="CW225">
        <v>0</v>
      </c>
      <c r="CX225">
        <v>0</v>
      </c>
      <c r="CY225">
        <v>86.2</v>
      </c>
      <c r="CZ225">
        <v>85.7</v>
      </c>
      <c r="DA225">
        <v>0</v>
      </c>
      <c r="DB225">
        <v>0</v>
      </c>
      <c r="DC225">
        <v>0</v>
      </c>
      <c r="DD225">
        <v>0</v>
      </c>
    </row>
    <row r="226" spans="1:108" x14ac:dyDescent="0.3">
      <c r="A226" t="s">
        <v>170</v>
      </c>
      <c r="B226" t="str" cm="1">
        <f t="array" ref="B226:Y226">VLOOKUP(A226,standard_pitchers_2019!A:Y,{2,3,4,5,6,7,8,9,10,11,12,13,14,15,16,17,18,19,20,21,22,23,24,25},FALSE)</f>
        <v>Twins</v>
      </c>
      <c r="C226">
        <v>4</v>
      </c>
      <c r="D226">
        <v>2</v>
      </c>
      <c r="E226">
        <v>3.81</v>
      </c>
      <c r="F226">
        <v>61</v>
      </c>
      <c r="G226">
        <v>0</v>
      </c>
      <c r="H226">
        <v>0</v>
      </c>
      <c r="I226">
        <v>0</v>
      </c>
      <c r="J226">
        <v>1</v>
      </c>
      <c r="K226">
        <v>12</v>
      </c>
      <c r="L226">
        <v>3</v>
      </c>
      <c r="M226">
        <v>54.1</v>
      </c>
      <c r="N226">
        <v>225</v>
      </c>
      <c r="O226">
        <v>54</v>
      </c>
      <c r="P226">
        <v>25</v>
      </c>
      <c r="Q226">
        <v>23</v>
      </c>
      <c r="R226">
        <v>7</v>
      </c>
      <c r="S226">
        <v>10</v>
      </c>
      <c r="T226">
        <v>0</v>
      </c>
      <c r="U226">
        <v>1</v>
      </c>
      <c r="V226">
        <v>5</v>
      </c>
      <c r="W226">
        <v>0</v>
      </c>
      <c r="X226">
        <v>50</v>
      </c>
      <c r="Y226">
        <v>12680</v>
      </c>
      <c r="Z226" cm="1">
        <f t="array" ref="Z226:AR226">VLOOKUP(A226,advanced_pitchers_2019!A:Y,{3,4,5,6,7,8,9,10,11,12,13,14,15,16,17,18,19,20,21},FALSE)</f>
        <v>8.2799999999999994</v>
      </c>
      <c r="AA226">
        <v>1.66</v>
      </c>
      <c r="AB226">
        <v>5</v>
      </c>
      <c r="AC226">
        <v>1.1599999999999999</v>
      </c>
      <c r="AD226">
        <v>0.222</v>
      </c>
      <c r="AE226">
        <v>4.3999999999999997E-2</v>
      </c>
      <c r="AF226">
        <v>0.17799999999999999</v>
      </c>
      <c r="AG226">
        <v>0.252</v>
      </c>
      <c r="AH226">
        <v>1.18</v>
      </c>
      <c r="AI226">
        <v>0.29899999999999999</v>
      </c>
      <c r="AJ226">
        <v>0.72499999999999998</v>
      </c>
      <c r="AK226">
        <v>82</v>
      </c>
      <c r="AL226">
        <v>80</v>
      </c>
      <c r="AM226">
        <v>91</v>
      </c>
      <c r="AN226">
        <v>3.81</v>
      </c>
      <c r="AO226">
        <v>3.66</v>
      </c>
      <c r="AP226">
        <v>0.15</v>
      </c>
      <c r="AQ226">
        <v>4.18</v>
      </c>
      <c r="AR226">
        <v>3.87</v>
      </c>
      <c r="AS226" cm="1">
        <f t="array" ref="AS226:BA226">VLOOKUP(A226,plate_discipline_pitchers_2019!A:L,{3,4,5,6,7,8,9,10,11},FALSE)</f>
        <v>0.311</v>
      </c>
      <c r="AT226">
        <v>0.66700000000000004</v>
      </c>
      <c r="AU226">
        <v>0.48399999999999999</v>
      </c>
      <c r="AV226">
        <v>0.59</v>
      </c>
      <c r="AW226">
        <v>0.84299999999999997</v>
      </c>
      <c r="AX226">
        <v>0.76</v>
      </c>
      <c r="AY226">
        <v>0.48499999999999999</v>
      </c>
      <c r="AZ226">
        <v>0.64</v>
      </c>
      <c r="BA226">
        <v>0.11600000000000001</v>
      </c>
      <c r="BB226" cm="1">
        <f t="array" ref="BB226:BP226">VLOOKUP(A226,pitchvalue_pitchers_2019!A:Q,{3,4,5,6,7,8,9,10,11,12,13,14,15,16,17},FALSE)</f>
        <v>-3</v>
      </c>
      <c r="BC226">
        <v>0</v>
      </c>
      <c r="BD226">
        <v>0</v>
      </c>
      <c r="BE226">
        <v>5.2</v>
      </c>
      <c r="BF226">
        <v>1</v>
      </c>
      <c r="BG226">
        <v>0</v>
      </c>
      <c r="BH226">
        <v>0</v>
      </c>
      <c r="BI226">
        <v>-0.88</v>
      </c>
      <c r="BJ226">
        <v>0</v>
      </c>
      <c r="BK226">
        <v>0</v>
      </c>
      <c r="BL226">
        <v>1.01</v>
      </c>
      <c r="BM226">
        <v>10.58</v>
      </c>
      <c r="BN226">
        <v>0</v>
      </c>
      <c r="BO226">
        <v>0</v>
      </c>
      <c r="BP226">
        <v>12680</v>
      </c>
      <c r="BQ226" cm="1">
        <f t="array" ref="BQ226:CH226">VLOOKUP(A226,battedball_pitchers_2019!A:U,{3,4,5,6,7,8,9,10,11,12,13,14,15,16,17,18,19,20},FALSE)</f>
        <v>0.29899999999999999</v>
      </c>
      <c r="BR226">
        <v>1.03</v>
      </c>
      <c r="BS226">
        <v>0.24199999999999999</v>
      </c>
      <c r="BT226">
        <v>0.38500000000000001</v>
      </c>
      <c r="BU226">
        <v>0.373</v>
      </c>
      <c r="BV226">
        <v>0.16700000000000001</v>
      </c>
      <c r="BW226">
        <v>0.11700000000000001</v>
      </c>
      <c r="BX226">
        <v>53</v>
      </c>
      <c r="BY226">
        <v>8.7799999999999994</v>
      </c>
      <c r="BZ226">
        <v>271</v>
      </c>
      <c r="CA226">
        <v>597</v>
      </c>
      <c r="CB226">
        <v>868</v>
      </c>
      <c r="CC226">
        <v>0.503</v>
      </c>
      <c r="CD226">
        <v>0.28799999999999998</v>
      </c>
      <c r="CE226">
        <v>0.20899999999999999</v>
      </c>
      <c r="CF226">
        <v>0.17799999999999999</v>
      </c>
      <c r="CG226">
        <v>0.38</v>
      </c>
      <c r="CH226">
        <v>0.442</v>
      </c>
      <c r="CI226" cm="1">
        <f t="array" ref="CI226:CS226">VLOOKUP(A226,verticalmove_pitchers_2019!A:N,{3,4,5,6,7,8,9,10,11,12,13},FALSE)</f>
        <v>54.1</v>
      </c>
      <c r="CJ226">
        <v>4.8</v>
      </c>
      <c r="CK226">
        <v>0</v>
      </c>
      <c r="CL226">
        <v>0</v>
      </c>
      <c r="CM226">
        <v>0</v>
      </c>
      <c r="CN226">
        <v>1.3</v>
      </c>
      <c r="CO226">
        <v>-4.8</v>
      </c>
      <c r="CP226">
        <v>-8</v>
      </c>
      <c r="CQ226">
        <v>0</v>
      </c>
      <c r="CR226">
        <v>0</v>
      </c>
      <c r="CS226">
        <v>0</v>
      </c>
      <c r="CT226" cm="1">
        <f t="array" ref="CT226:DD226">VLOOKUP(A226,velocity_pitchers_2019!A:N,{3,4,5,6,7,8,9,10,11,12,13},FALSE)</f>
        <v>54.1</v>
      </c>
      <c r="CU226">
        <v>89.7</v>
      </c>
      <c r="CV226">
        <v>0</v>
      </c>
      <c r="CW226">
        <v>0</v>
      </c>
      <c r="CX226">
        <v>0</v>
      </c>
      <c r="CY226">
        <v>76.599999999999994</v>
      </c>
      <c r="CZ226">
        <v>75.8</v>
      </c>
      <c r="DA226">
        <v>70</v>
      </c>
      <c r="DB226">
        <v>0</v>
      </c>
      <c r="DC226">
        <v>0</v>
      </c>
      <c r="DD226">
        <v>0</v>
      </c>
    </row>
    <row r="227" spans="1:108" x14ac:dyDescent="0.3">
      <c r="A227" t="s">
        <v>251</v>
      </c>
      <c r="B227" t="str" cm="1">
        <f t="array" ref="B227:Y227">VLOOKUP(A227,standard_pitchers_2019!A:Y,{2,3,4,5,6,7,8,9,10,11,12,13,14,15,16,17,18,19,20,21,22,23,24,25},FALSE)</f>
        <v>- - -</v>
      </c>
      <c r="C227">
        <v>11</v>
      </c>
      <c r="D227">
        <v>13</v>
      </c>
      <c r="E227">
        <v>4.4800000000000004</v>
      </c>
      <c r="F227">
        <v>34</v>
      </c>
      <c r="G227">
        <v>34</v>
      </c>
      <c r="H227">
        <v>1</v>
      </c>
      <c r="I227">
        <v>1</v>
      </c>
      <c r="J227">
        <v>0</v>
      </c>
      <c r="K227">
        <v>0</v>
      </c>
      <c r="L227">
        <v>0</v>
      </c>
      <c r="M227">
        <v>213</v>
      </c>
      <c r="N227">
        <v>911</v>
      </c>
      <c r="O227">
        <v>184</v>
      </c>
      <c r="P227">
        <v>118</v>
      </c>
      <c r="Q227">
        <v>106</v>
      </c>
      <c r="R227">
        <v>34</v>
      </c>
      <c r="S227">
        <v>82</v>
      </c>
      <c r="T227">
        <v>0</v>
      </c>
      <c r="U227">
        <v>19</v>
      </c>
      <c r="V227">
        <v>10</v>
      </c>
      <c r="W227">
        <v>0</v>
      </c>
      <c r="X227">
        <v>253</v>
      </c>
      <c r="Y227">
        <v>12703</v>
      </c>
      <c r="Z227" cm="1">
        <f t="array" ref="Z227:AR227">VLOOKUP(A227,advanced_pitchers_2019!A:Y,{3,4,5,6,7,8,9,10,11,12,13,14,15,16,17,18,19,20,21},FALSE)</f>
        <v>10.69</v>
      </c>
      <c r="AA227">
        <v>3.46</v>
      </c>
      <c r="AB227">
        <v>3.09</v>
      </c>
      <c r="AC227">
        <v>1.44</v>
      </c>
      <c r="AD227">
        <v>0.27800000000000002</v>
      </c>
      <c r="AE227">
        <v>0.09</v>
      </c>
      <c r="AF227">
        <v>0.188</v>
      </c>
      <c r="AG227">
        <v>0.22700000000000001</v>
      </c>
      <c r="AH227">
        <v>1.25</v>
      </c>
      <c r="AI227">
        <v>0.28699999999999998</v>
      </c>
      <c r="AJ227">
        <v>0.70299999999999996</v>
      </c>
      <c r="AK227">
        <v>96</v>
      </c>
      <c r="AL227">
        <v>95</v>
      </c>
      <c r="AM227">
        <v>96</v>
      </c>
      <c r="AN227">
        <v>4.4800000000000004</v>
      </c>
      <c r="AO227">
        <v>4.34</v>
      </c>
      <c r="AP227">
        <v>0.14000000000000001</v>
      </c>
      <c r="AQ227">
        <v>4.33</v>
      </c>
      <c r="AR227">
        <v>4.1399999999999997</v>
      </c>
      <c r="AS227" cm="1">
        <f t="array" ref="AS227:BA227">VLOOKUP(A227,plate_discipline_pitchers_2019!A:L,{3,4,5,6,7,8,9,10,11},FALSE)</f>
        <v>0.313</v>
      </c>
      <c r="AT227">
        <v>0.65600000000000003</v>
      </c>
      <c r="AU227">
        <v>0.45100000000000001</v>
      </c>
      <c r="AV227">
        <v>0.56200000000000006</v>
      </c>
      <c r="AW227">
        <v>0.84899999999999998</v>
      </c>
      <c r="AX227">
        <v>0.73</v>
      </c>
      <c r="AY227">
        <v>0.40200000000000002</v>
      </c>
      <c r="AZ227">
        <v>0.59599999999999997</v>
      </c>
      <c r="BA227">
        <v>0.122</v>
      </c>
      <c r="BB227" cm="1">
        <f t="array" ref="BB227:BP227">VLOOKUP(A227,pitchvalue_pitchers_2019!A:Q,{3,4,5,6,7,8,9,10,11,12,13,14,15,16,17},FALSE)</f>
        <v>-3.1</v>
      </c>
      <c r="BC227">
        <v>-1</v>
      </c>
      <c r="BD227">
        <v>1.8</v>
      </c>
      <c r="BE227">
        <v>6.3</v>
      </c>
      <c r="BF227">
        <v>-3.1</v>
      </c>
      <c r="BG227">
        <v>0</v>
      </c>
      <c r="BH227">
        <v>0</v>
      </c>
      <c r="BI227">
        <v>-0.2</v>
      </c>
      <c r="BJ227">
        <v>-0.2</v>
      </c>
      <c r="BK227">
        <v>0.3</v>
      </c>
      <c r="BL227">
        <v>0.86</v>
      </c>
      <c r="BM227">
        <v>-1.1299999999999999</v>
      </c>
      <c r="BN227">
        <v>0</v>
      </c>
      <c r="BO227">
        <v>0</v>
      </c>
      <c r="BP227">
        <v>12703</v>
      </c>
      <c r="BQ227" cm="1">
        <f t="array" ref="BQ227:CH227">VLOOKUP(A227,battedball_pitchers_2019!A:U,{3,4,5,6,7,8,9,10,11,12,13,14,15,16,17,18,19,20},FALSE)</f>
        <v>0.28699999999999998</v>
      </c>
      <c r="BR227">
        <v>0.93</v>
      </c>
      <c r="BS227">
        <v>0.22</v>
      </c>
      <c r="BT227">
        <v>0.376</v>
      </c>
      <c r="BU227">
        <v>0.40400000000000003</v>
      </c>
      <c r="BV227">
        <v>0.122</v>
      </c>
      <c r="BW227">
        <v>0.153</v>
      </c>
      <c r="BX227">
        <v>110</v>
      </c>
      <c r="BY227">
        <v>4.6500000000000004</v>
      </c>
      <c r="BZ227">
        <v>1369</v>
      </c>
      <c r="CA227">
        <v>2318</v>
      </c>
      <c r="CB227">
        <v>3687</v>
      </c>
      <c r="CC227">
        <v>0.42</v>
      </c>
      <c r="CD227">
        <v>0.34599999999999997</v>
      </c>
      <c r="CE227">
        <v>0.23300000000000001</v>
      </c>
      <c r="CF227">
        <v>0.17199999999999999</v>
      </c>
      <c r="CG227">
        <v>0.41499999999999998</v>
      </c>
      <c r="CH227">
        <v>0.41299999999999998</v>
      </c>
      <c r="CI227" cm="1">
        <f t="array" ref="CI227:CS227">VLOOKUP(A227,verticalmove_pitchers_2019!A:N,{3,4,5,6,7,8,9,10,11,12,13},FALSE)</f>
        <v>213</v>
      </c>
      <c r="CJ227">
        <v>9.3000000000000007</v>
      </c>
      <c r="CK227">
        <v>-1.6</v>
      </c>
      <c r="CL227">
        <v>0</v>
      </c>
      <c r="CM227">
        <v>6</v>
      </c>
      <c r="CN227">
        <v>4.4000000000000004</v>
      </c>
      <c r="CO227">
        <v>-2.2000000000000002</v>
      </c>
      <c r="CP227">
        <v>-11.7</v>
      </c>
      <c r="CQ227">
        <v>0</v>
      </c>
      <c r="CR227">
        <v>0</v>
      </c>
      <c r="CS227">
        <v>0</v>
      </c>
      <c r="CT227" cm="1">
        <f t="array" ref="CT227:DD227">VLOOKUP(A227,velocity_pitchers_2019!A:N,{3,4,5,6,7,8,9,10,11,12,13},FALSE)</f>
        <v>213</v>
      </c>
      <c r="CU227">
        <v>94.8</v>
      </c>
      <c r="CV227">
        <v>84.9</v>
      </c>
      <c r="CW227">
        <v>0</v>
      </c>
      <c r="CX227">
        <v>95.2</v>
      </c>
      <c r="CY227">
        <v>86.4</v>
      </c>
      <c r="CZ227">
        <v>79.8</v>
      </c>
      <c r="DA227">
        <v>79.400000000000006</v>
      </c>
      <c r="DB227">
        <v>0</v>
      </c>
      <c r="DC227">
        <v>0</v>
      </c>
      <c r="DD227">
        <v>0</v>
      </c>
    </row>
    <row r="228" spans="1:108" x14ac:dyDescent="0.3">
      <c r="A228" t="s">
        <v>250</v>
      </c>
      <c r="B228" t="str" cm="1">
        <f t="array" ref="B228:Y228">VLOOKUP(A228,standard_pitchers_2019!A:Y,{2,3,4,5,6,7,8,9,10,11,12,13,14,15,16,17,18,19,20,21,22,23,24,25},FALSE)</f>
        <v>Royals</v>
      </c>
      <c r="C228">
        <v>4</v>
      </c>
      <c r="D228">
        <v>2</v>
      </c>
      <c r="E228">
        <v>4.4800000000000004</v>
      </c>
      <c r="F228">
        <v>56</v>
      </c>
      <c r="G228">
        <v>0</v>
      </c>
      <c r="H228">
        <v>0</v>
      </c>
      <c r="I228">
        <v>0</v>
      </c>
      <c r="J228">
        <v>1</v>
      </c>
      <c r="K228">
        <v>6</v>
      </c>
      <c r="L228">
        <v>4</v>
      </c>
      <c r="M228">
        <v>60.1</v>
      </c>
      <c r="N228">
        <v>268</v>
      </c>
      <c r="O228">
        <v>68</v>
      </c>
      <c r="P228">
        <v>31</v>
      </c>
      <c r="Q228">
        <v>30</v>
      </c>
      <c r="R228">
        <v>4</v>
      </c>
      <c r="S228">
        <v>21</v>
      </c>
      <c r="T228">
        <v>6</v>
      </c>
      <c r="U228">
        <v>2</v>
      </c>
      <c r="V228">
        <v>2</v>
      </c>
      <c r="W228">
        <v>0</v>
      </c>
      <c r="X228">
        <v>38</v>
      </c>
      <c r="Y228">
        <v>15240</v>
      </c>
      <c r="Z228" cm="1">
        <f t="array" ref="Z228:AR228">VLOOKUP(A228,advanced_pitchers_2019!A:Y,{3,4,5,6,7,8,9,10,11,12,13,14,15,16,17,18,19,20,21},FALSE)</f>
        <v>5.67</v>
      </c>
      <c r="AA228">
        <v>3.13</v>
      </c>
      <c r="AB228">
        <v>1.81</v>
      </c>
      <c r="AC228">
        <v>0.6</v>
      </c>
      <c r="AD228">
        <v>0.14199999999999999</v>
      </c>
      <c r="AE228">
        <v>7.8E-2</v>
      </c>
      <c r="AF228">
        <v>6.3E-2</v>
      </c>
      <c r="AG228">
        <v>0.27800000000000002</v>
      </c>
      <c r="AH228">
        <v>1.48</v>
      </c>
      <c r="AI228">
        <v>0.315</v>
      </c>
      <c r="AJ228">
        <v>0.70299999999999996</v>
      </c>
      <c r="AK228">
        <v>95</v>
      </c>
      <c r="AL228">
        <v>88</v>
      </c>
      <c r="AM228">
        <v>99</v>
      </c>
      <c r="AN228">
        <v>4.4800000000000004</v>
      </c>
      <c r="AO228">
        <v>3.96</v>
      </c>
      <c r="AP228">
        <v>0.52</v>
      </c>
      <c r="AQ228">
        <v>4.55</v>
      </c>
      <c r="AR228">
        <v>4.53</v>
      </c>
      <c r="AS228" cm="1">
        <f t="array" ref="AS228:BA228">VLOOKUP(A228,plate_discipline_pitchers_2019!A:L,{3,4,5,6,7,8,9,10,11},FALSE)</f>
        <v>0.36399999999999999</v>
      </c>
      <c r="AT228">
        <v>0.71699999999999997</v>
      </c>
      <c r="AU228">
        <v>0.51700000000000002</v>
      </c>
      <c r="AV228">
        <v>0.68300000000000005</v>
      </c>
      <c r="AW228">
        <v>0.89600000000000002</v>
      </c>
      <c r="AX228">
        <v>0.81100000000000005</v>
      </c>
      <c r="AY228">
        <v>0.432</v>
      </c>
      <c r="AZ228">
        <v>0.65300000000000002</v>
      </c>
      <c r="BA228">
        <v>9.8000000000000004E-2</v>
      </c>
      <c r="BB228" cm="1">
        <f t="array" ref="BB228:BP228">VLOOKUP(A228,pitchvalue_pitchers_2019!A:Q,{3,4,5,6,7,8,9,10,11,12,13,14,15,16,17},FALSE)</f>
        <v>-3.2</v>
      </c>
      <c r="BC228">
        <v>1.3</v>
      </c>
      <c r="BD228">
        <v>1.6</v>
      </c>
      <c r="BE228">
        <v>0</v>
      </c>
      <c r="BF228">
        <v>0.6</v>
      </c>
      <c r="BG228">
        <v>0</v>
      </c>
      <c r="BH228">
        <v>0</v>
      </c>
      <c r="BI228">
        <v>-0.6</v>
      </c>
      <c r="BJ228">
        <v>2.31</v>
      </c>
      <c r="BK228">
        <v>1.53</v>
      </c>
      <c r="BL228">
        <v>0</v>
      </c>
      <c r="BM228">
        <v>0.31</v>
      </c>
      <c r="BN228">
        <v>0</v>
      </c>
      <c r="BO228">
        <v>0</v>
      </c>
      <c r="BP228">
        <v>15240</v>
      </c>
      <c r="BQ228" cm="1">
        <f t="array" ref="BQ228:CH228">VLOOKUP(A228,battedball_pitchers_2019!A:U,{3,4,5,6,7,8,9,10,11,12,13,14,15,16,17,18,19,20},FALSE)</f>
        <v>0.315</v>
      </c>
      <c r="BR228">
        <v>2.7</v>
      </c>
      <c r="BS228">
        <v>0.20100000000000001</v>
      </c>
      <c r="BT228">
        <v>0.58299999999999996</v>
      </c>
      <c r="BU228">
        <v>0.216</v>
      </c>
      <c r="BV228">
        <v>9.0999999999999998E-2</v>
      </c>
      <c r="BW228">
        <v>9.0999999999999998E-2</v>
      </c>
      <c r="BX228">
        <v>39</v>
      </c>
      <c r="BY228">
        <v>5.82</v>
      </c>
      <c r="BZ228">
        <v>295</v>
      </c>
      <c r="CA228">
        <v>606</v>
      </c>
      <c r="CB228">
        <v>901</v>
      </c>
      <c r="CC228">
        <v>0.435</v>
      </c>
      <c r="CD228">
        <v>0.36699999999999999</v>
      </c>
      <c r="CE228">
        <v>0.19800000000000001</v>
      </c>
      <c r="CF228">
        <v>0.188</v>
      </c>
      <c r="CG228">
        <v>0.41499999999999998</v>
      </c>
      <c r="CH228">
        <v>0.39600000000000002</v>
      </c>
      <c r="CI228" cm="1">
        <f t="array" ref="CI228:CS228">VLOOKUP(A228,verticalmove_pitchers_2019!A:N,{3,4,5,6,7,8,9,10,11,12,13},FALSE)</f>
        <v>60.1</v>
      </c>
      <c r="CJ228">
        <v>7.2</v>
      </c>
      <c r="CK228">
        <v>0</v>
      </c>
      <c r="CL228">
        <v>0</v>
      </c>
      <c r="CM228">
        <v>2.4</v>
      </c>
      <c r="CN228">
        <v>2</v>
      </c>
      <c r="CO228">
        <v>2.8</v>
      </c>
      <c r="CP228">
        <v>0.9</v>
      </c>
      <c r="CQ228">
        <v>0</v>
      </c>
      <c r="CR228">
        <v>0</v>
      </c>
      <c r="CS228">
        <v>0</v>
      </c>
      <c r="CT228" cm="1">
        <f t="array" ref="CT228:DD228">VLOOKUP(A228,velocity_pitchers_2019!A:N,{3,4,5,6,7,8,9,10,11,12,13},FALSE)</f>
        <v>60.1</v>
      </c>
      <c r="CU228">
        <v>91.9</v>
      </c>
      <c r="CV228">
        <v>0</v>
      </c>
      <c r="CW228">
        <v>0</v>
      </c>
      <c r="CX228">
        <v>91.5</v>
      </c>
      <c r="CY228">
        <v>84.3</v>
      </c>
      <c r="CZ228">
        <v>86.7</v>
      </c>
      <c r="DA228">
        <v>83.2</v>
      </c>
      <c r="DB228">
        <v>0</v>
      </c>
      <c r="DC228">
        <v>0</v>
      </c>
      <c r="DD228">
        <v>0</v>
      </c>
    </row>
    <row r="229" spans="1:108" x14ac:dyDescent="0.3">
      <c r="A229" t="s">
        <v>257</v>
      </c>
      <c r="B229" t="str" cm="1">
        <f t="array" ref="B229:Y229">VLOOKUP(A229,standard_pitchers_2019!A:Y,{2,3,4,5,6,7,8,9,10,11,12,13,14,15,16,17,18,19,20,21,22,23,24,25},FALSE)</f>
        <v>Rockies</v>
      </c>
      <c r="C229">
        <v>6</v>
      </c>
      <c r="D229">
        <v>4</v>
      </c>
      <c r="E229">
        <v>4.53</v>
      </c>
      <c r="F229">
        <v>56</v>
      </c>
      <c r="G229">
        <v>0</v>
      </c>
      <c r="H229">
        <v>0</v>
      </c>
      <c r="I229">
        <v>0</v>
      </c>
      <c r="J229">
        <v>5</v>
      </c>
      <c r="K229">
        <v>7</v>
      </c>
      <c r="L229">
        <v>3</v>
      </c>
      <c r="M229">
        <v>57.2</v>
      </c>
      <c r="N229">
        <v>245</v>
      </c>
      <c r="O229">
        <v>56</v>
      </c>
      <c r="P229">
        <v>34</v>
      </c>
      <c r="Q229">
        <v>29</v>
      </c>
      <c r="R229">
        <v>7</v>
      </c>
      <c r="S229">
        <v>19</v>
      </c>
      <c r="T229">
        <v>0</v>
      </c>
      <c r="U229">
        <v>2</v>
      </c>
      <c r="V229">
        <v>4</v>
      </c>
      <c r="W229">
        <v>0</v>
      </c>
      <c r="X229">
        <v>63</v>
      </c>
      <c r="Y229">
        <v>12774</v>
      </c>
      <c r="Z229" cm="1">
        <f t="array" ref="Z229:AR229">VLOOKUP(A229,advanced_pitchers_2019!A:Y,{3,4,5,6,7,8,9,10,11,12,13,14,15,16,17,18,19,20,21},FALSE)</f>
        <v>9.83</v>
      </c>
      <c r="AA229">
        <v>2.97</v>
      </c>
      <c r="AB229">
        <v>3.32</v>
      </c>
      <c r="AC229">
        <v>1.0900000000000001</v>
      </c>
      <c r="AD229">
        <v>0.25700000000000001</v>
      </c>
      <c r="AE229">
        <v>7.8E-2</v>
      </c>
      <c r="AF229">
        <v>0.18</v>
      </c>
      <c r="AG229">
        <v>0.25</v>
      </c>
      <c r="AH229">
        <v>1.3</v>
      </c>
      <c r="AI229">
        <v>0.318</v>
      </c>
      <c r="AJ229">
        <v>0.64</v>
      </c>
      <c r="AK229">
        <v>90</v>
      </c>
      <c r="AL229">
        <v>79</v>
      </c>
      <c r="AM229">
        <v>87</v>
      </c>
      <c r="AN229">
        <v>4.53</v>
      </c>
      <c r="AO229">
        <v>3.7</v>
      </c>
      <c r="AP229">
        <v>0.83</v>
      </c>
      <c r="AQ229">
        <v>3.85</v>
      </c>
      <c r="AR229">
        <v>3.7</v>
      </c>
      <c r="AS229" cm="1">
        <f t="array" ref="AS229:BA229">VLOOKUP(A229,plate_discipline_pitchers_2019!A:L,{3,4,5,6,7,8,9,10,11},FALSE)</f>
        <v>0.35699999999999998</v>
      </c>
      <c r="AT229">
        <v>0.73799999999999999</v>
      </c>
      <c r="AU229">
        <v>0.51400000000000001</v>
      </c>
      <c r="AV229">
        <v>0.53800000000000003</v>
      </c>
      <c r="AW229">
        <v>0.84799999999999998</v>
      </c>
      <c r="AX229">
        <v>0.72099999999999997</v>
      </c>
      <c r="AY229">
        <v>0.41299999999999998</v>
      </c>
      <c r="AZ229">
        <v>0.64500000000000002</v>
      </c>
      <c r="BA229">
        <v>0.14299999999999999</v>
      </c>
      <c r="BB229" cm="1">
        <f t="array" ref="BB229:BP229">VLOOKUP(A229,pitchvalue_pitchers_2019!A:Q,{3,4,5,6,7,8,9,10,11,12,13,14,15,16,17},FALSE)</f>
        <v>-3.3</v>
      </c>
      <c r="BC229">
        <v>4.7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-0.65</v>
      </c>
      <c r="BJ229">
        <v>1.21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12774</v>
      </c>
      <c r="BQ229" cm="1">
        <f t="array" ref="BQ229:CH229">VLOOKUP(A229,battedball_pitchers_2019!A:U,{3,4,5,6,7,8,9,10,11,12,13,14,15,16,17,18,19,20},FALSE)</f>
        <v>0.318</v>
      </c>
      <c r="BR229">
        <v>1.58</v>
      </c>
      <c r="BS229">
        <v>0.19400000000000001</v>
      </c>
      <c r="BT229">
        <v>0.49399999999999999</v>
      </c>
      <c r="BU229">
        <v>0.313</v>
      </c>
      <c r="BV229">
        <v>0.1</v>
      </c>
      <c r="BW229">
        <v>0.14000000000000001</v>
      </c>
      <c r="BX229">
        <v>23</v>
      </c>
      <c r="BY229">
        <v>3.59</v>
      </c>
      <c r="BZ229">
        <v>310</v>
      </c>
      <c r="CA229">
        <v>578</v>
      </c>
      <c r="CB229">
        <v>888</v>
      </c>
      <c r="CC229">
        <v>0.41599999999999998</v>
      </c>
      <c r="CD229">
        <v>0.32300000000000001</v>
      </c>
      <c r="CE229">
        <v>0.26100000000000001</v>
      </c>
      <c r="CF229">
        <v>0.17399999999999999</v>
      </c>
      <c r="CG229">
        <v>0.46</v>
      </c>
      <c r="CH229">
        <v>0.36599999999999999</v>
      </c>
      <c r="CI229" cm="1">
        <f t="array" ref="CI229:CS229">VLOOKUP(A229,verticalmove_pitchers_2019!A:N,{3,4,5,6,7,8,9,10,11,12,13},FALSE)</f>
        <v>57.2</v>
      </c>
      <c r="CJ229">
        <v>7.4</v>
      </c>
      <c r="CK229">
        <v>8.8000000000000007</v>
      </c>
      <c r="CL229">
        <v>0</v>
      </c>
      <c r="CM229">
        <v>5</v>
      </c>
      <c r="CN229">
        <v>0</v>
      </c>
      <c r="CO229">
        <v>-0.6</v>
      </c>
      <c r="CP229">
        <v>0</v>
      </c>
      <c r="CQ229">
        <v>0</v>
      </c>
      <c r="CR229">
        <v>0</v>
      </c>
      <c r="CS229">
        <v>0</v>
      </c>
      <c r="CT229" cm="1">
        <f t="array" ref="CT229:DD229">VLOOKUP(A229,velocity_pitchers_2019!A:N,{3,4,5,6,7,8,9,10,11,12,13},FALSE)</f>
        <v>57.2</v>
      </c>
      <c r="CU229">
        <v>97.1</v>
      </c>
      <c r="CV229">
        <v>97.1</v>
      </c>
      <c r="CW229">
        <v>0</v>
      </c>
      <c r="CX229">
        <v>96.7</v>
      </c>
      <c r="CY229">
        <v>0</v>
      </c>
      <c r="CZ229">
        <v>88.1</v>
      </c>
      <c r="DA229">
        <v>0</v>
      </c>
      <c r="DB229">
        <v>0</v>
      </c>
      <c r="DC229">
        <v>0</v>
      </c>
      <c r="DD229">
        <v>0</v>
      </c>
    </row>
    <row r="230" spans="1:108" x14ac:dyDescent="0.3">
      <c r="A230" t="s">
        <v>199</v>
      </c>
      <c r="B230" t="str" cm="1">
        <f t="array" ref="B230:Y230">VLOOKUP(A230,standard_pitchers_2019!A:Y,{2,3,4,5,6,7,8,9,10,11,12,13,14,15,16,17,18,19,20,21,22,23,24,25},FALSE)</f>
        <v>Yankees</v>
      </c>
      <c r="C230">
        <v>18</v>
      </c>
      <c r="D230">
        <v>4</v>
      </c>
      <c r="E230">
        <v>4.03</v>
      </c>
      <c r="F230">
        <v>27</v>
      </c>
      <c r="G230">
        <v>24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143</v>
      </c>
      <c r="N230">
        <v>594</v>
      </c>
      <c r="O230">
        <v>125</v>
      </c>
      <c r="P230">
        <v>69</v>
      </c>
      <c r="Q230">
        <v>64</v>
      </c>
      <c r="R230">
        <v>30</v>
      </c>
      <c r="S230">
        <v>39</v>
      </c>
      <c r="T230">
        <v>0</v>
      </c>
      <c r="U230">
        <v>5</v>
      </c>
      <c r="V230">
        <v>5</v>
      </c>
      <c r="W230">
        <v>0</v>
      </c>
      <c r="X230">
        <v>153</v>
      </c>
      <c r="Y230">
        <v>17149</v>
      </c>
      <c r="Z230" cm="1">
        <f t="array" ref="Z230:AR230">VLOOKUP(A230,advanced_pitchers_2019!A:Y,{3,4,5,6,7,8,9,10,11,12,13,14,15,16,17,18,19,20,21},FALSE)</f>
        <v>9.6300000000000008</v>
      </c>
      <c r="AA230">
        <v>2.4500000000000002</v>
      </c>
      <c r="AB230">
        <v>3.92</v>
      </c>
      <c r="AC230">
        <v>1.89</v>
      </c>
      <c r="AD230">
        <v>0.25800000000000001</v>
      </c>
      <c r="AE230">
        <v>6.6000000000000003E-2</v>
      </c>
      <c r="AF230">
        <v>0.192</v>
      </c>
      <c r="AG230">
        <v>0.22700000000000001</v>
      </c>
      <c r="AH230">
        <v>1.1499999999999999</v>
      </c>
      <c r="AI230">
        <v>0.25900000000000001</v>
      </c>
      <c r="AJ230">
        <v>0.78700000000000003</v>
      </c>
      <c r="AK230">
        <v>87</v>
      </c>
      <c r="AL230">
        <v>101</v>
      </c>
      <c r="AM230">
        <v>92</v>
      </c>
      <c r="AN230">
        <v>4.03</v>
      </c>
      <c r="AO230">
        <v>4.72</v>
      </c>
      <c r="AP230">
        <v>-0.7</v>
      </c>
      <c r="AQ230">
        <v>4.22</v>
      </c>
      <c r="AR230">
        <v>4.0599999999999996</v>
      </c>
      <c r="AS230" cm="1">
        <f t="array" ref="AS230:BA230">VLOOKUP(A230,plate_discipline_pitchers_2019!A:L,{3,4,5,6,7,8,9,10,11},FALSE)</f>
        <v>0.35199999999999998</v>
      </c>
      <c r="AT230">
        <v>0.68700000000000006</v>
      </c>
      <c r="AU230">
        <v>0.49199999999999999</v>
      </c>
      <c r="AV230">
        <v>0.59699999999999998</v>
      </c>
      <c r="AW230">
        <v>0.83499999999999996</v>
      </c>
      <c r="AX230">
        <v>0.73599999999999999</v>
      </c>
      <c r="AY230">
        <v>0.41899999999999998</v>
      </c>
      <c r="AZ230">
        <v>0.62</v>
      </c>
      <c r="BA230">
        <v>0.13</v>
      </c>
      <c r="BB230" cm="1">
        <f t="array" ref="BB230:BP230">VLOOKUP(A230,pitchvalue_pitchers_2019!A:Q,{3,4,5,6,7,8,9,10,11,12,13,14,15,16,17},FALSE)</f>
        <v>-3.3</v>
      </c>
      <c r="BC230">
        <v>0</v>
      </c>
      <c r="BD230">
        <v>0</v>
      </c>
      <c r="BE230">
        <v>4.5999999999999996</v>
      </c>
      <c r="BF230">
        <v>3.6</v>
      </c>
      <c r="BG230">
        <v>0</v>
      </c>
      <c r="BH230">
        <v>0</v>
      </c>
      <c r="BI230">
        <v>-0.33</v>
      </c>
      <c r="BJ230">
        <v>0</v>
      </c>
      <c r="BK230">
        <v>0</v>
      </c>
      <c r="BL230">
        <v>0.56999999999999995</v>
      </c>
      <c r="BM230">
        <v>0.83</v>
      </c>
      <c r="BN230">
        <v>0</v>
      </c>
      <c r="BO230">
        <v>0</v>
      </c>
      <c r="BP230">
        <v>17149</v>
      </c>
      <c r="BQ230" cm="1">
        <f t="array" ref="BQ230:CH230">VLOOKUP(A230,battedball_pitchers_2019!A:U,{3,4,5,6,7,8,9,10,11,12,13,14,15,16,17,18,19,20},FALSE)</f>
        <v>0.25900000000000001</v>
      </c>
      <c r="BR230">
        <v>0.94</v>
      </c>
      <c r="BS230">
        <v>0.21299999999999999</v>
      </c>
      <c r="BT230">
        <v>0.38100000000000001</v>
      </c>
      <c r="BU230">
        <v>0.40600000000000003</v>
      </c>
      <c r="BV230">
        <v>0.113</v>
      </c>
      <c r="BW230">
        <v>0.188</v>
      </c>
      <c r="BX230">
        <v>121</v>
      </c>
      <c r="BY230">
        <v>7.62</v>
      </c>
      <c r="BZ230">
        <v>761</v>
      </c>
      <c r="CA230">
        <v>1486</v>
      </c>
      <c r="CB230">
        <v>2247</v>
      </c>
      <c r="CC230">
        <v>0.47499999999999998</v>
      </c>
      <c r="CD230">
        <v>0.30599999999999999</v>
      </c>
      <c r="CE230">
        <v>0.22</v>
      </c>
      <c r="CF230">
        <v>0.17899999999999999</v>
      </c>
      <c r="CG230">
        <v>0.40899999999999997</v>
      </c>
      <c r="CH230">
        <v>0.41199999999999998</v>
      </c>
      <c r="CI230" cm="1">
        <f t="array" ref="CI230:CS230">VLOOKUP(A230,verticalmove_pitchers_2019!A:N,{3,4,5,6,7,8,9,10,11,12,13},FALSE)</f>
        <v>143</v>
      </c>
      <c r="CJ230">
        <v>8.3000000000000007</v>
      </c>
      <c r="CK230">
        <v>0</v>
      </c>
      <c r="CL230">
        <v>0</v>
      </c>
      <c r="CM230">
        <v>4.5999999999999996</v>
      </c>
      <c r="CN230">
        <v>4.9000000000000004</v>
      </c>
      <c r="CO230">
        <v>0</v>
      </c>
      <c r="CP230">
        <v>-3.3</v>
      </c>
      <c r="CQ230">
        <v>0</v>
      </c>
      <c r="CR230">
        <v>0</v>
      </c>
      <c r="CS230">
        <v>0</v>
      </c>
      <c r="CT230" cm="1">
        <f t="array" ref="CT230:DD230">VLOOKUP(A230,velocity_pitchers_2019!A:N,{3,4,5,6,7,8,9,10,11,12,13},FALSE)</f>
        <v>143</v>
      </c>
      <c r="CU230">
        <v>93.6</v>
      </c>
      <c r="CV230">
        <v>0</v>
      </c>
      <c r="CW230">
        <v>0</v>
      </c>
      <c r="CX230">
        <v>94.1</v>
      </c>
      <c r="CY230">
        <v>87.2</v>
      </c>
      <c r="CZ230">
        <v>0</v>
      </c>
      <c r="DA230">
        <v>81.8</v>
      </c>
      <c r="DB230">
        <v>0</v>
      </c>
      <c r="DC230">
        <v>0</v>
      </c>
      <c r="DD230">
        <v>0</v>
      </c>
    </row>
    <row r="231" spans="1:108" x14ac:dyDescent="0.3">
      <c r="A231" t="s">
        <v>395</v>
      </c>
      <c r="B231" t="str" cm="1">
        <f t="array" ref="B231:Y231">VLOOKUP(A231,standard_pitchers_2019!A:Y,{2,3,4,5,6,7,8,9,10,11,12,13,14,15,16,17,18,19,20,21,22,23,24,25},FALSE)</f>
        <v>White Sox</v>
      </c>
      <c r="C231">
        <v>1</v>
      </c>
      <c r="D231">
        <v>8</v>
      </c>
      <c r="E231">
        <v>7.98</v>
      </c>
      <c r="F231">
        <v>18</v>
      </c>
      <c r="G231">
        <v>12</v>
      </c>
      <c r="H231">
        <v>0</v>
      </c>
      <c r="I231">
        <v>0</v>
      </c>
      <c r="J231">
        <v>0</v>
      </c>
      <c r="K231">
        <v>0</v>
      </c>
      <c r="L231">
        <v>1</v>
      </c>
      <c r="M231">
        <v>58.2</v>
      </c>
      <c r="N231">
        <v>280</v>
      </c>
      <c r="O231">
        <v>75</v>
      </c>
      <c r="P231">
        <v>54</v>
      </c>
      <c r="Q231">
        <v>52</v>
      </c>
      <c r="R231">
        <v>12</v>
      </c>
      <c r="S231">
        <v>28</v>
      </c>
      <c r="T231">
        <v>2</v>
      </c>
      <c r="U231">
        <v>3</v>
      </c>
      <c r="V231">
        <v>3</v>
      </c>
      <c r="W231">
        <v>0</v>
      </c>
      <c r="X231">
        <v>41</v>
      </c>
      <c r="Y231">
        <v>14825</v>
      </c>
      <c r="Z231" cm="1">
        <f t="array" ref="Z231:AR231">VLOOKUP(A231,advanced_pitchers_2019!A:Y,{3,4,5,6,7,8,9,10,11,12,13,14,15,16,17,18,19,20,21},FALSE)</f>
        <v>6.29</v>
      </c>
      <c r="AA231">
        <v>4.3</v>
      </c>
      <c r="AB231">
        <v>1.46</v>
      </c>
      <c r="AC231">
        <v>1.84</v>
      </c>
      <c r="AD231">
        <v>0.14599999999999999</v>
      </c>
      <c r="AE231">
        <v>0.1</v>
      </c>
      <c r="AF231">
        <v>4.5999999999999999E-2</v>
      </c>
      <c r="AG231">
        <v>0.30099999999999999</v>
      </c>
      <c r="AH231">
        <v>1.76</v>
      </c>
      <c r="AI231">
        <v>0.32100000000000001</v>
      </c>
      <c r="AJ231">
        <v>0.58299999999999996</v>
      </c>
      <c r="AK231">
        <v>177</v>
      </c>
      <c r="AL231">
        <v>130</v>
      </c>
      <c r="AM231">
        <v>122</v>
      </c>
      <c r="AN231">
        <v>7.98</v>
      </c>
      <c r="AO231">
        <v>6.06</v>
      </c>
      <c r="AP231">
        <v>1.92</v>
      </c>
      <c r="AQ231">
        <v>5.61</v>
      </c>
      <c r="AR231">
        <v>5.67</v>
      </c>
      <c r="AS231" cm="1">
        <f t="array" ref="AS231:BA231">VLOOKUP(A231,plate_discipline_pitchers_2019!A:L,{3,4,5,6,7,8,9,10,11},FALSE)</f>
        <v>0.27100000000000002</v>
      </c>
      <c r="AT231">
        <v>0.66700000000000004</v>
      </c>
      <c r="AU231">
        <v>0.45300000000000001</v>
      </c>
      <c r="AV231">
        <v>0.70499999999999996</v>
      </c>
      <c r="AW231">
        <v>0.89800000000000002</v>
      </c>
      <c r="AX231">
        <v>0.83499999999999996</v>
      </c>
      <c r="AY231">
        <v>0.46</v>
      </c>
      <c r="AZ231">
        <v>0.60699999999999998</v>
      </c>
      <c r="BA231">
        <v>7.4999999999999997E-2</v>
      </c>
      <c r="BB231" cm="1">
        <f t="array" ref="BB231:BP231">VLOOKUP(A231,pitchvalue_pitchers_2019!A:Q,{3,4,5,6,7,8,9,10,11,12,13,14,15,16,17},FALSE)</f>
        <v>-3.4</v>
      </c>
      <c r="BC231">
        <v>-3.9</v>
      </c>
      <c r="BD231">
        <v>-5.6</v>
      </c>
      <c r="BE231">
        <v>0</v>
      </c>
      <c r="BF231">
        <v>0</v>
      </c>
      <c r="BG231">
        <v>-0.8</v>
      </c>
      <c r="BH231">
        <v>0</v>
      </c>
      <c r="BI231">
        <v>-0.66</v>
      </c>
      <c r="BJ231">
        <v>-3.83</v>
      </c>
      <c r="BK231">
        <v>-2.5099999999999998</v>
      </c>
      <c r="BL231">
        <v>0</v>
      </c>
      <c r="BM231">
        <v>0</v>
      </c>
      <c r="BN231">
        <v>-0.46</v>
      </c>
      <c r="BO231">
        <v>0</v>
      </c>
      <c r="BP231">
        <v>14825</v>
      </c>
      <c r="BQ231" cm="1">
        <f t="array" ref="BQ231:CH231">VLOOKUP(A231,battedball_pitchers_2019!A:U,{3,4,5,6,7,8,9,10,11,12,13,14,15,16,17,18,19,20},FALSE)</f>
        <v>0.32100000000000001</v>
      </c>
      <c r="BR231">
        <v>1.31</v>
      </c>
      <c r="BS231">
        <v>0.26100000000000001</v>
      </c>
      <c r="BT231">
        <v>0.41899999999999998</v>
      </c>
      <c r="BU231">
        <v>0.32</v>
      </c>
      <c r="BV231">
        <v>9.1999999999999998E-2</v>
      </c>
      <c r="BW231">
        <v>0.185</v>
      </c>
      <c r="BX231">
        <v>31</v>
      </c>
      <c r="BY231">
        <v>4.76</v>
      </c>
      <c r="BZ231">
        <v>376</v>
      </c>
      <c r="CA231">
        <v>643</v>
      </c>
      <c r="CB231">
        <v>1019</v>
      </c>
      <c r="CC231">
        <v>0.41799999999999998</v>
      </c>
      <c r="CD231">
        <v>0.32200000000000001</v>
      </c>
      <c r="CE231">
        <v>0.26</v>
      </c>
      <c r="CF231">
        <v>0.159</v>
      </c>
      <c r="CG231">
        <v>0.52400000000000002</v>
      </c>
      <c r="CH231">
        <v>0.317</v>
      </c>
      <c r="CI231" cm="1">
        <f t="array" ref="CI231:CS231">VLOOKUP(A231,verticalmove_pitchers_2019!A:N,{3,4,5,6,7,8,9,10,11,12,13},FALSE)</f>
        <v>58.2</v>
      </c>
      <c r="CJ231">
        <v>8.1999999999999993</v>
      </c>
      <c r="CK231">
        <v>5</v>
      </c>
      <c r="CL231">
        <v>0</v>
      </c>
      <c r="CM231">
        <v>7.1</v>
      </c>
      <c r="CN231">
        <v>2.2000000000000002</v>
      </c>
      <c r="CO231">
        <v>0.3</v>
      </c>
      <c r="CP231">
        <v>-3.4</v>
      </c>
      <c r="CQ231">
        <v>0</v>
      </c>
      <c r="CR231">
        <v>0</v>
      </c>
      <c r="CS231">
        <v>0</v>
      </c>
      <c r="CT231" cm="1">
        <f t="array" ref="CT231:DD231">VLOOKUP(A231,velocity_pitchers_2019!A:N,{3,4,5,6,7,8,9,10,11,12,13},FALSE)</f>
        <v>58.2</v>
      </c>
      <c r="CU231">
        <v>94.7</v>
      </c>
      <c r="CV231">
        <v>91.2</v>
      </c>
      <c r="CW231">
        <v>0</v>
      </c>
      <c r="CX231">
        <v>94.7</v>
      </c>
      <c r="CY231">
        <v>86</v>
      </c>
      <c r="CZ231">
        <v>85.9</v>
      </c>
      <c r="DA231">
        <v>82.3</v>
      </c>
      <c r="DB231">
        <v>0</v>
      </c>
      <c r="DC231">
        <v>0</v>
      </c>
      <c r="DD231">
        <v>0</v>
      </c>
    </row>
    <row r="232" spans="1:108" x14ac:dyDescent="0.3">
      <c r="A232" t="s">
        <v>371</v>
      </c>
      <c r="B232" t="str" cm="1">
        <f t="array" ref="B232:Y232">VLOOKUP(A232,standard_pitchers_2019!A:Y,{2,3,4,5,6,7,8,9,10,11,12,13,14,15,16,17,18,19,20,21,22,23,24,25},FALSE)</f>
        <v>Royals</v>
      </c>
      <c r="C232">
        <v>4</v>
      </c>
      <c r="D232">
        <v>11</v>
      </c>
      <c r="E232">
        <v>6.02</v>
      </c>
      <c r="F232">
        <v>31</v>
      </c>
      <c r="G232">
        <v>23</v>
      </c>
      <c r="H232">
        <v>1</v>
      </c>
      <c r="I232">
        <v>1</v>
      </c>
      <c r="J232">
        <v>0</v>
      </c>
      <c r="K232">
        <v>0</v>
      </c>
      <c r="L232">
        <v>0</v>
      </c>
      <c r="M232">
        <v>136</v>
      </c>
      <c r="N232">
        <v>606</v>
      </c>
      <c r="O232">
        <v>164</v>
      </c>
      <c r="P232">
        <v>96</v>
      </c>
      <c r="Q232">
        <v>91</v>
      </c>
      <c r="R232">
        <v>30</v>
      </c>
      <c r="S232">
        <v>41</v>
      </c>
      <c r="T232">
        <v>1</v>
      </c>
      <c r="U232">
        <v>6</v>
      </c>
      <c r="V232">
        <v>6</v>
      </c>
      <c r="W232">
        <v>2</v>
      </c>
      <c r="X232">
        <v>81</v>
      </c>
      <c r="Y232">
        <v>15200</v>
      </c>
      <c r="Z232" cm="1">
        <f t="array" ref="Z232:AR232">VLOOKUP(A232,advanced_pitchers_2019!A:Y,{3,4,5,6,7,8,9,10,11,12,13,14,15,16,17,18,19,20,21},FALSE)</f>
        <v>5.36</v>
      </c>
      <c r="AA232">
        <v>2.71</v>
      </c>
      <c r="AB232">
        <v>1.98</v>
      </c>
      <c r="AC232">
        <v>1.99</v>
      </c>
      <c r="AD232">
        <v>0.13400000000000001</v>
      </c>
      <c r="AE232">
        <v>6.8000000000000005E-2</v>
      </c>
      <c r="AF232">
        <v>6.6000000000000003E-2</v>
      </c>
      <c r="AG232">
        <v>0.29299999999999998</v>
      </c>
      <c r="AH232">
        <v>1.51</v>
      </c>
      <c r="AI232">
        <v>0.29899999999999999</v>
      </c>
      <c r="AJ232">
        <v>0.68</v>
      </c>
      <c r="AK232">
        <v>128</v>
      </c>
      <c r="AL232">
        <v>132</v>
      </c>
      <c r="AM232">
        <v>127</v>
      </c>
      <c r="AN232">
        <v>6.02</v>
      </c>
      <c r="AO232">
        <v>5.93</v>
      </c>
      <c r="AP232">
        <v>0.09</v>
      </c>
      <c r="AQ232">
        <v>5.81</v>
      </c>
      <c r="AR232">
        <v>5.59</v>
      </c>
      <c r="AS232" cm="1">
        <f t="array" ref="AS232:BA232">VLOOKUP(A232,plate_discipline_pitchers_2019!A:L,{3,4,5,6,7,8,9,10,11},FALSE)</f>
        <v>0.27800000000000002</v>
      </c>
      <c r="AT232">
        <v>0.72499999999999998</v>
      </c>
      <c r="AU232">
        <v>0.47699999999999998</v>
      </c>
      <c r="AV232">
        <v>0.70599999999999996</v>
      </c>
      <c r="AW232">
        <v>0.90900000000000003</v>
      </c>
      <c r="AX232">
        <v>0.84299999999999997</v>
      </c>
      <c r="AY232">
        <v>0.44600000000000001</v>
      </c>
      <c r="AZ232">
        <v>0.61699999999999999</v>
      </c>
      <c r="BA232">
        <v>7.4999999999999997E-2</v>
      </c>
      <c r="BB232" cm="1">
        <f t="array" ref="BB232:BP232">VLOOKUP(A232,pitchvalue_pitchers_2019!A:Q,{3,4,5,6,7,8,9,10,11,12,13,14,15,16,17},FALSE)</f>
        <v>-3.5</v>
      </c>
      <c r="BC232">
        <v>-3.8</v>
      </c>
      <c r="BD232">
        <v>0</v>
      </c>
      <c r="BE232">
        <v>-13.2</v>
      </c>
      <c r="BF232">
        <v>-4.2</v>
      </c>
      <c r="BG232">
        <v>0</v>
      </c>
      <c r="BH232">
        <v>0</v>
      </c>
      <c r="BI232">
        <v>-0.26</v>
      </c>
      <c r="BJ232">
        <v>-2.1</v>
      </c>
      <c r="BK232">
        <v>0</v>
      </c>
      <c r="BL232">
        <v>-3.14</v>
      </c>
      <c r="BM232">
        <v>-1.43</v>
      </c>
      <c r="BN232">
        <v>0</v>
      </c>
      <c r="BO232">
        <v>0</v>
      </c>
      <c r="BP232">
        <v>15200</v>
      </c>
      <c r="BQ232" cm="1">
        <f t="array" ref="BQ232:CH232">VLOOKUP(A232,battedball_pitchers_2019!A:U,{3,4,5,6,7,8,9,10,11,12,13,14,15,16,17,18,19,20},FALSE)</f>
        <v>0.29899999999999999</v>
      </c>
      <c r="BR232">
        <v>0.94</v>
      </c>
      <c r="BS232">
        <v>0.23499999999999999</v>
      </c>
      <c r="BT232">
        <v>0.37</v>
      </c>
      <c r="BU232">
        <v>0.39500000000000002</v>
      </c>
      <c r="BV232">
        <v>4.8000000000000001E-2</v>
      </c>
      <c r="BW232">
        <v>0.16</v>
      </c>
      <c r="BX232">
        <v>76</v>
      </c>
      <c r="BY232">
        <v>5.03</v>
      </c>
      <c r="BZ232">
        <v>831</v>
      </c>
      <c r="CA232">
        <v>1444</v>
      </c>
      <c r="CB232">
        <v>2275</v>
      </c>
      <c r="CC232">
        <v>0.33700000000000002</v>
      </c>
      <c r="CD232">
        <v>0.36599999999999999</v>
      </c>
      <c r="CE232">
        <v>0.29699999999999999</v>
      </c>
      <c r="CF232">
        <v>0.123</v>
      </c>
      <c r="CG232">
        <v>0.46</v>
      </c>
      <c r="CH232">
        <v>0.41599999999999998</v>
      </c>
      <c r="CI232" cm="1">
        <f t="array" ref="CI232:CS232">VLOOKUP(A232,verticalmove_pitchers_2019!A:N,{3,4,5,6,7,8,9,10,11,12,13},FALSE)</f>
        <v>136</v>
      </c>
      <c r="CJ232">
        <v>7.9</v>
      </c>
      <c r="CK232">
        <v>0</v>
      </c>
      <c r="CL232">
        <v>0</v>
      </c>
      <c r="CM232">
        <v>6.6</v>
      </c>
      <c r="CN232">
        <v>5.8</v>
      </c>
      <c r="CO232">
        <v>-0.6</v>
      </c>
      <c r="CP232">
        <v>-6.8</v>
      </c>
      <c r="CQ232">
        <v>0</v>
      </c>
      <c r="CR232">
        <v>0</v>
      </c>
      <c r="CS232">
        <v>0</v>
      </c>
      <c r="CT232" cm="1">
        <f t="array" ref="CT232:DD232">VLOOKUP(A232,velocity_pitchers_2019!A:N,{3,4,5,6,7,8,9,10,11,12,13},FALSE)</f>
        <v>136</v>
      </c>
      <c r="CU232">
        <v>93.7</v>
      </c>
      <c r="CV232">
        <v>0</v>
      </c>
      <c r="CW232">
        <v>0</v>
      </c>
      <c r="CX232">
        <v>94</v>
      </c>
      <c r="CY232">
        <v>86</v>
      </c>
      <c r="CZ232">
        <v>83</v>
      </c>
      <c r="DA232">
        <v>79.7</v>
      </c>
      <c r="DB232">
        <v>0</v>
      </c>
      <c r="DC232">
        <v>0</v>
      </c>
      <c r="DD232">
        <v>0</v>
      </c>
    </row>
    <row r="233" spans="1:108" x14ac:dyDescent="0.3">
      <c r="A233" t="s">
        <v>244</v>
      </c>
      <c r="B233" t="str" cm="1">
        <f t="array" ref="B233:Y233">VLOOKUP(A233,standard_pitchers_2019!A:Y,{2,3,4,5,6,7,8,9,10,11,12,13,14,15,16,17,18,19,20,21,22,23,24,25},FALSE)</f>
        <v>Cardinals</v>
      </c>
      <c r="C233">
        <v>5</v>
      </c>
      <c r="D233">
        <v>6</v>
      </c>
      <c r="E233">
        <v>4.45</v>
      </c>
      <c r="F233">
        <v>73</v>
      </c>
      <c r="G233">
        <v>0</v>
      </c>
      <c r="H233">
        <v>0</v>
      </c>
      <c r="I233">
        <v>0</v>
      </c>
      <c r="J233">
        <v>6</v>
      </c>
      <c r="K233">
        <v>28</v>
      </c>
      <c r="L233">
        <v>5</v>
      </c>
      <c r="M233">
        <v>54.2</v>
      </c>
      <c r="N233">
        <v>236</v>
      </c>
      <c r="O233">
        <v>45</v>
      </c>
      <c r="P233">
        <v>32</v>
      </c>
      <c r="Q233">
        <v>27</v>
      </c>
      <c r="R233">
        <v>11</v>
      </c>
      <c r="S233">
        <v>27</v>
      </c>
      <c r="T233">
        <v>1</v>
      </c>
      <c r="U233">
        <v>8</v>
      </c>
      <c r="V233">
        <v>4</v>
      </c>
      <c r="W233">
        <v>0</v>
      </c>
      <c r="X233">
        <v>70</v>
      </c>
      <c r="Y233">
        <v>6785</v>
      </c>
      <c r="Z233" cm="1">
        <f t="array" ref="Z233:AR233">VLOOKUP(A233,advanced_pitchers_2019!A:Y,{3,4,5,6,7,8,9,10,11,12,13,14,15,16,17,18,19,20,21},FALSE)</f>
        <v>11.52</v>
      </c>
      <c r="AA233">
        <v>4.45</v>
      </c>
      <c r="AB233">
        <v>2.59</v>
      </c>
      <c r="AC233">
        <v>1.81</v>
      </c>
      <c r="AD233">
        <v>0.29699999999999999</v>
      </c>
      <c r="AE233">
        <v>0.114</v>
      </c>
      <c r="AF233">
        <v>0.182</v>
      </c>
      <c r="AG233">
        <v>0.224</v>
      </c>
      <c r="AH233">
        <v>1.32</v>
      </c>
      <c r="AI233">
        <v>0.28299999999999997</v>
      </c>
      <c r="AJ233">
        <v>0.74299999999999999</v>
      </c>
      <c r="AK233">
        <v>105</v>
      </c>
      <c r="AL233">
        <v>120</v>
      </c>
      <c r="AM233">
        <v>100</v>
      </c>
      <c r="AN233">
        <v>4.45</v>
      </c>
      <c r="AO233">
        <v>5.19</v>
      </c>
      <c r="AP233">
        <v>-0.74</v>
      </c>
      <c r="AQ233">
        <v>4.43</v>
      </c>
      <c r="AR233">
        <v>3.87</v>
      </c>
      <c r="AS233" cm="1">
        <f t="array" ref="AS233:BA233">VLOOKUP(A233,plate_discipline_pitchers_2019!A:L,{3,4,5,6,7,8,9,10,11},FALSE)</f>
        <v>0.30399999999999999</v>
      </c>
      <c r="AT233">
        <v>0.61399999999999999</v>
      </c>
      <c r="AU233">
        <v>0.438</v>
      </c>
      <c r="AV233">
        <v>0.53600000000000003</v>
      </c>
      <c r="AW233">
        <v>0.80600000000000005</v>
      </c>
      <c r="AX233">
        <v>0.7</v>
      </c>
      <c r="AY233">
        <v>0.432</v>
      </c>
      <c r="AZ233">
        <v>0.58099999999999996</v>
      </c>
      <c r="BA233">
        <v>0.13200000000000001</v>
      </c>
      <c r="BB233" cm="1">
        <f t="array" ref="BB233:BP233">VLOOKUP(A233,pitchvalue_pitchers_2019!A:Q,{3,4,5,6,7,8,9,10,11,12,13,14,15,16,17},FALSE)</f>
        <v>-3.7</v>
      </c>
      <c r="BC233">
        <v>6.6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-0.98</v>
      </c>
      <c r="BJ233">
        <v>1.1000000000000001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6785</v>
      </c>
      <c r="BQ233" cm="1">
        <f t="array" ref="BQ233:CH233">VLOOKUP(A233,battedball_pitchers_2019!A:U,{3,4,5,6,7,8,9,10,11,12,13,14,15,16,17,18,19,20},FALSE)</f>
        <v>0.28299999999999997</v>
      </c>
      <c r="BR233">
        <v>0.94</v>
      </c>
      <c r="BS233">
        <v>0.23300000000000001</v>
      </c>
      <c r="BT233">
        <v>0.372</v>
      </c>
      <c r="BU233">
        <v>0.39500000000000002</v>
      </c>
      <c r="BV233">
        <v>0.11799999999999999</v>
      </c>
      <c r="BW233">
        <v>0.216</v>
      </c>
      <c r="BX233">
        <v>28</v>
      </c>
      <c r="BY233">
        <v>4.6100000000000003</v>
      </c>
      <c r="BZ233">
        <v>360</v>
      </c>
      <c r="CA233">
        <v>612</v>
      </c>
      <c r="CB233">
        <v>972</v>
      </c>
      <c r="CC233">
        <v>0.38900000000000001</v>
      </c>
      <c r="CD233">
        <v>0.32100000000000001</v>
      </c>
      <c r="CE233">
        <v>0.28999999999999998</v>
      </c>
      <c r="CF233">
        <v>0.16</v>
      </c>
      <c r="CG233">
        <v>0.38200000000000001</v>
      </c>
      <c r="CH233">
        <v>0.45800000000000002</v>
      </c>
      <c r="CI233" cm="1">
        <f t="array" ref="CI233:CS233">VLOOKUP(A233,verticalmove_pitchers_2019!A:N,{3,4,5,6,7,8,9,10,11,12,13},FALSE)</f>
        <v>54.2</v>
      </c>
      <c r="CJ233">
        <v>7.6</v>
      </c>
      <c r="CK233">
        <v>0</v>
      </c>
      <c r="CL233">
        <v>0</v>
      </c>
      <c r="CM233">
        <v>2.7</v>
      </c>
      <c r="CN233">
        <v>0</v>
      </c>
      <c r="CO233">
        <v>-1</v>
      </c>
      <c r="CP233">
        <v>0</v>
      </c>
      <c r="CQ233">
        <v>0</v>
      </c>
      <c r="CR233">
        <v>0</v>
      </c>
      <c r="CS233">
        <v>0</v>
      </c>
      <c r="CT233" cm="1">
        <f t="array" ref="CT233:DD233">VLOOKUP(A233,velocity_pitchers_2019!A:N,{3,4,5,6,7,8,9,10,11,12,13},FALSE)</f>
        <v>54.2</v>
      </c>
      <c r="CU233">
        <v>92.8</v>
      </c>
      <c r="CV233">
        <v>0</v>
      </c>
      <c r="CW233">
        <v>0</v>
      </c>
      <c r="CX233">
        <v>94.4</v>
      </c>
      <c r="CY233">
        <v>0</v>
      </c>
      <c r="CZ233">
        <v>82.7</v>
      </c>
      <c r="DA233">
        <v>0</v>
      </c>
      <c r="DB233">
        <v>0</v>
      </c>
      <c r="DC233">
        <v>0</v>
      </c>
      <c r="DD233">
        <v>0</v>
      </c>
    </row>
    <row r="234" spans="1:108" x14ac:dyDescent="0.3">
      <c r="A234" t="s">
        <v>380</v>
      </c>
      <c r="B234" t="str" cm="1">
        <f t="array" ref="B234:Y234">VLOOKUP(A234,standard_pitchers_2019!A:Y,{2,3,4,5,6,7,8,9,10,11,12,13,14,15,16,17,18,19,20,21,22,23,24,25},FALSE)</f>
        <v>Marlins</v>
      </c>
      <c r="C234">
        <v>2</v>
      </c>
      <c r="D234">
        <v>11</v>
      </c>
      <c r="E234">
        <v>6.53</v>
      </c>
      <c r="F234">
        <v>60</v>
      </c>
      <c r="G234">
        <v>0</v>
      </c>
      <c r="H234">
        <v>0</v>
      </c>
      <c r="I234">
        <v>0</v>
      </c>
      <c r="J234">
        <v>2</v>
      </c>
      <c r="K234">
        <v>6</v>
      </c>
      <c r="L234">
        <v>2</v>
      </c>
      <c r="M234">
        <v>60.2</v>
      </c>
      <c r="N234">
        <v>283</v>
      </c>
      <c r="O234">
        <v>76</v>
      </c>
      <c r="P234">
        <v>45</v>
      </c>
      <c r="Q234">
        <v>44</v>
      </c>
      <c r="R234">
        <v>10</v>
      </c>
      <c r="S234">
        <v>29</v>
      </c>
      <c r="T234">
        <v>6</v>
      </c>
      <c r="U234">
        <v>3</v>
      </c>
      <c r="V234">
        <v>2</v>
      </c>
      <c r="W234">
        <v>0</v>
      </c>
      <c r="X234">
        <v>53</v>
      </c>
      <c r="Y234">
        <v>14457</v>
      </c>
      <c r="Z234" cm="1">
        <f t="array" ref="Z234:AR234">VLOOKUP(A234,advanced_pitchers_2019!A:Y,{3,4,5,6,7,8,9,10,11,12,13,14,15,16,17,18,19,20,21},FALSE)</f>
        <v>7.86</v>
      </c>
      <c r="AA234">
        <v>4.3</v>
      </c>
      <c r="AB234">
        <v>1.83</v>
      </c>
      <c r="AC234">
        <v>1.48</v>
      </c>
      <c r="AD234">
        <v>0.187</v>
      </c>
      <c r="AE234">
        <v>0.10199999999999999</v>
      </c>
      <c r="AF234">
        <v>8.5000000000000006E-2</v>
      </c>
      <c r="AG234">
        <v>0.30299999999999999</v>
      </c>
      <c r="AH234">
        <v>1.73</v>
      </c>
      <c r="AI234">
        <v>0.35099999999999998</v>
      </c>
      <c r="AJ234">
        <v>0.67</v>
      </c>
      <c r="AK234">
        <v>156</v>
      </c>
      <c r="AL234">
        <v>121</v>
      </c>
      <c r="AM234">
        <v>122</v>
      </c>
      <c r="AN234">
        <v>6.53</v>
      </c>
      <c r="AO234">
        <v>5.19</v>
      </c>
      <c r="AP234">
        <v>1.34</v>
      </c>
      <c r="AQ234">
        <v>5.41</v>
      </c>
      <c r="AR234">
        <v>4.97</v>
      </c>
      <c r="AS234" cm="1">
        <f t="array" ref="AS234:BA234">VLOOKUP(A234,plate_discipline_pitchers_2019!A:L,{3,4,5,6,7,8,9,10,11},FALSE)</f>
        <v>0.313</v>
      </c>
      <c r="AT234">
        <v>0.754</v>
      </c>
      <c r="AU234">
        <v>0.50700000000000001</v>
      </c>
      <c r="AV234">
        <v>0.64</v>
      </c>
      <c r="AW234">
        <v>0.875</v>
      </c>
      <c r="AX234">
        <v>0.79400000000000004</v>
      </c>
      <c r="AY234">
        <v>0.44</v>
      </c>
      <c r="AZ234">
        <v>0.629</v>
      </c>
      <c r="BA234">
        <v>0.105</v>
      </c>
      <c r="BB234" cm="1">
        <f t="array" ref="BB234:BP234">VLOOKUP(A234,pitchvalue_pitchers_2019!A:Q,{3,4,5,6,7,8,9,10,11,12,13,14,15,16,17},FALSE)</f>
        <v>-3.8</v>
      </c>
      <c r="BC234">
        <v>1</v>
      </c>
      <c r="BD234">
        <v>0</v>
      </c>
      <c r="BE234">
        <v>0</v>
      </c>
      <c r="BF234">
        <v>-9.8000000000000007</v>
      </c>
      <c r="BG234">
        <v>0</v>
      </c>
      <c r="BH234">
        <v>0</v>
      </c>
      <c r="BI234">
        <v>-0.57999999999999996</v>
      </c>
      <c r="BJ234">
        <v>0.42</v>
      </c>
      <c r="BK234">
        <v>0</v>
      </c>
      <c r="BL234">
        <v>0</v>
      </c>
      <c r="BM234">
        <v>-5.49</v>
      </c>
      <c r="BN234">
        <v>0</v>
      </c>
      <c r="BO234">
        <v>0</v>
      </c>
      <c r="BP234">
        <v>14457</v>
      </c>
      <c r="BQ234" cm="1">
        <f t="array" ref="BQ234:CH234">VLOOKUP(A234,battedball_pitchers_2019!A:U,{3,4,5,6,7,8,9,10,11,12,13,14,15,16,17,18,19,20},FALSE)</f>
        <v>0.35099999999999998</v>
      </c>
      <c r="BR234">
        <v>1</v>
      </c>
      <c r="BS234">
        <v>0.24199999999999999</v>
      </c>
      <c r="BT234">
        <v>0.379</v>
      </c>
      <c r="BU234">
        <v>0.379</v>
      </c>
      <c r="BV234">
        <v>8.3000000000000004E-2</v>
      </c>
      <c r="BW234">
        <v>0.13900000000000001</v>
      </c>
      <c r="BX234">
        <v>19</v>
      </c>
      <c r="BY234">
        <v>2.82</v>
      </c>
      <c r="BZ234">
        <v>382</v>
      </c>
      <c r="CA234">
        <v>679</v>
      </c>
      <c r="CB234">
        <v>1061</v>
      </c>
      <c r="CC234">
        <v>0.32500000000000001</v>
      </c>
      <c r="CD234">
        <v>0.38100000000000001</v>
      </c>
      <c r="CE234">
        <v>0.29399999999999998</v>
      </c>
      <c r="CF234">
        <v>0.14699999999999999</v>
      </c>
      <c r="CG234">
        <v>0.45700000000000002</v>
      </c>
      <c r="CH234">
        <v>0.39600000000000002</v>
      </c>
      <c r="CI234" cm="1">
        <f t="array" ref="CI234:CS234">VLOOKUP(A234,verticalmove_pitchers_2019!A:N,{3,4,5,6,7,8,9,10,11,12,13},FALSE)</f>
        <v>60.2</v>
      </c>
      <c r="CJ234">
        <v>7.4</v>
      </c>
      <c r="CK234">
        <v>5.0999999999999996</v>
      </c>
      <c r="CL234">
        <v>0</v>
      </c>
      <c r="CM234">
        <v>4.7</v>
      </c>
      <c r="CN234">
        <v>4.4000000000000004</v>
      </c>
      <c r="CO234">
        <v>-0.4</v>
      </c>
      <c r="CP234">
        <v>-2.8</v>
      </c>
      <c r="CQ234">
        <v>0</v>
      </c>
      <c r="CR234">
        <v>0</v>
      </c>
      <c r="CS234">
        <v>0</v>
      </c>
      <c r="CT234" cm="1">
        <f t="array" ref="CT234:DD234">VLOOKUP(A234,velocity_pitchers_2019!A:N,{3,4,5,6,7,8,9,10,11,12,13},FALSE)</f>
        <v>60.2</v>
      </c>
      <c r="CU234">
        <v>95.7</v>
      </c>
      <c r="CV234">
        <v>87.2</v>
      </c>
      <c r="CW234">
        <v>0</v>
      </c>
      <c r="CX234">
        <v>95.4</v>
      </c>
      <c r="CY234">
        <v>86.8</v>
      </c>
      <c r="CZ234">
        <v>85.9</v>
      </c>
      <c r="DA234">
        <v>83.2</v>
      </c>
      <c r="DB234">
        <v>0</v>
      </c>
      <c r="DC234">
        <v>0</v>
      </c>
      <c r="DD234">
        <v>0</v>
      </c>
    </row>
    <row r="235" spans="1:108" x14ac:dyDescent="0.3">
      <c r="A235" t="s">
        <v>384</v>
      </c>
      <c r="B235" t="str" cm="1">
        <f t="array" ref="B235:Y235">VLOOKUP(A235,standard_pitchers_2019!A:Y,{2,3,4,5,6,7,8,9,10,11,12,13,14,15,16,17,18,19,20,21,22,23,24,25},FALSE)</f>
        <v>White Sox</v>
      </c>
      <c r="C235">
        <v>3</v>
      </c>
      <c r="D235">
        <v>5</v>
      </c>
      <c r="E235">
        <v>6.59</v>
      </c>
      <c r="F235">
        <v>18</v>
      </c>
      <c r="G235">
        <v>12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69.2</v>
      </c>
      <c r="N235">
        <v>315</v>
      </c>
      <c r="O235">
        <v>86</v>
      </c>
      <c r="P235">
        <v>54</v>
      </c>
      <c r="Q235">
        <v>51</v>
      </c>
      <c r="R235">
        <v>20</v>
      </c>
      <c r="S235">
        <v>27</v>
      </c>
      <c r="T235">
        <v>3</v>
      </c>
      <c r="U235">
        <v>3</v>
      </c>
      <c r="V235">
        <v>1</v>
      </c>
      <c r="W235">
        <v>0</v>
      </c>
      <c r="X235">
        <v>46</v>
      </c>
      <c r="Y235">
        <v>2859</v>
      </c>
      <c r="Z235" cm="1">
        <f t="array" ref="Z235:AR235">VLOOKUP(A235,advanced_pitchers_2019!A:Y,{3,4,5,6,7,8,9,10,11,12,13,14,15,16,17,18,19,20,21},FALSE)</f>
        <v>5.94</v>
      </c>
      <c r="AA235">
        <v>3.49</v>
      </c>
      <c r="AB235">
        <v>1.7</v>
      </c>
      <c r="AC235">
        <v>2.58</v>
      </c>
      <c r="AD235">
        <v>0.14599999999999999</v>
      </c>
      <c r="AE235">
        <v>8.5999999999999993E-2</v>
      </c>
      <c r="AF235">
        <v>0.06</v>
      </c>
      <c r="AG235">
        <v>0.30199999999999999</v>
      </c>
      <c r="AH235">
        <v>1.62</v>
      </c>
      <c r="AI235">
        <v>0.30099999999999999</v>
      </c>
      <c r="AJ235">
        <v>0.70499999999999996</v>
      </c>
      <c r="AK235">
        <v>146</v>
      </c>
      <c r="AL235">
        <v>149</v>
      </c>
      <c r="AM235">
        <v>120</v>
      </c>
      <c r="AN235">
        <v>6.59</v>
      </c>
      <c r="AO235">
        <v>6.92</v>
      </c>
      <c r="AP235">
        <v>-0.33</v>
      </c>
      <c r="AQ235">
        <v>5.5</v>
      </c>
      <c r="AR235">
        <v>5.36</v>
      </c>
      <c r="AS235" cm="1">
        <f t="array" ref="AS235:BA235">VLOOKUP(A235,plate_discipline_pitchers_2019!A:L,{3,4,5,6,7,8,9,10,11},FALSE)</f>
        <v>0.29299999999999998</v>
      </c>
      <c r="AT235">
        <v>0.68500000000000005</v>
      </c>
      <c r="AU235">
        <v>0.46800000000000003</v>
      </c>
      <c r="AV235">
        <v>0.77</v>
      </c>
      <c r="AW235">
        <v>0.91</v>
      </c>
      <c r="AX235">
        <v>0.86199999999999999</v>
      </c>
      <c r="AY235">
        <v>0.44800000000000001</v>
      </c>
      <c r="AZ235">
        <v>0.58399999999999996</v>
      </c>
      <c r="BA235">
        <v>6.5000000000000002E-2</v>
      </c>
      <c r="BB235" cm="1">
        <f t="array" ref="BB235:BP235">VLOOKUP(A235,pitchvalue_pitchers_2019!A:Q,{3,4,5,6,7,8,9,10,11,12,13,14,15,16,17},FALSE)</f>
        <v>-3.9</v>
      </c>
      <c r="BC235">
        <v>0</v>
      </c>
      <c r="BD235">
        <v>-8.1</v>
      </c>
      <c r="BE235">
        <v>-0.9</v>
      </c>
      <c r="BF235">
        <v>-5.9</v>
      </c>
      <c r="BG235">
        <v>0</v>
      </c>
      <c r="BH235">
        <v>0</v>
      </c>
      <c r="BI235">
        <v>-0.65</v>
      </c>
      <c r="BJ235">
        <v>0</v>
      </c>
      <c r="BK235">
        <v>-3.68</v>
      </c>
      <c r="BL235">
        <v>-0.53</v>
      </c>
      <c r="BM235">
        <v>-3.29</v>
      </c>
      <c r="BN235">
        <v>0</v>
      </c>
      <c r="BO235">
        <v>0</v>
      </c>
      <c r="BP235">
        <v>2859</v>
      </c>
      <c r="BQ235" cm="1">
        <f t="array" ref="BQ235:CH235">VLOOKUP(A235,battedball_pitchers_2019!A:U,{3,4,5,6,7,8,9,10,11,12,13,14,15,16,17,18,19,20},FALSE)</f>
        <v>0.30099999999999999</v>
      </c>
      <c r="BR235">
        <v>1.51</v>
      </c>
      <c r="BS235">
        <v>0.13600000000000001</v>
      </c>
      <c r="BT235">
        <v>0.51900000000000002</v>
      </c>
      <c r="BU235">
        <v>0.34499999999999997</v>
      </c>
      <c r="BV235">
        <v>6.2E-2</v>
      </c>
      <c r="BW235">
        <v>0.247</v>
      </c>
      <c r="BX235">
        <v>38</v>
      </c>
      <c r="BY235">
        <v>4.91</v>
      </c>
      <c r="BZ235">
        <v>429</v>
      </c>
      <c r="CA235">
        <v>728</v>
      </c>
      <c r="CB235">
        <v>1157</v>
      </c>
      <c r="CC235">
        <v>0.54</v>
      </c>
      <c r="CD235">
        <v>0.30099999999999999</v>
      </c>
      <c r="CE235">
        <v>0.159</v>
      </c>
      <c r="CF235">
        <v>0.14199999999999999</v>
      </c>
      <c r="CG235">
        <v>0.49399999999999999</v>
      </c>
      <c r="CH235">
        <v>0.36399999999999999</v>
      </c>
      <c r="CI235" cm="1">
        <f t="array" ref="CI235:CS235">VLOOKUP(A235,verticalmove_pitchers_2019!A:N,{3,4,5,6,7,8,9,10,11,12,13},FALSE)</f>
        <v>69.2</v>
      </c>
      <c r="CJ235">
        <v>8</v>
      </c>
      <c r="CK235">
        <v>3.1</v>
      </c>
      <c r="CL235">
        <v>0</v>
      </c>
      <c r="CM235">
        <v>3.9</v>
      </c>
      <c r="CN235">
        <v>3</v>
      </c>
      <c r="CO235">
        <v>1.7</v>
      </c>
      <c r="CP235">
        <v>-4.5</v>
      </c>
      <c r="CQ235">
        <v>0</v>
      </c>
      <c r="CR235">
        <v>0</v>
      </c>
      <c r="CS235">
        <v>0</v>
      </c>
      <c r="CT235" cm="1">
        <f t="array" ref="CT235:DD235">VLOOKUP(A235,velocity_pitchers_2019!A:N,{3,4,5,6,7,8,9,10,11,12,13},FALSE)</f>
        <v>69.2</v>
      </c>
      <c r="CU235">
        <v>91.7</v>
      </c>
      <c r="CV235">
        <v>88.5</v>
      </c>
      <c r="CW235">
        <v>0</v>
      </c>
      <c r="CX235">
        <v>90.8</v>
      </c>
      <c r="CY235">
        <v>84.9</v>
      </c>
      <c r="CZ235">
        <v>85.2</v>
      </c>
      <c r="DA235">
        <v>78.400000000000006</v>
      </c>
      <c r="DB235">
        <v>0</v>
      </c>
      <c r="DC235">
        <v>0</v>
      </c>
      <c r="DD235">
        <v>0</v>
      </c>
    </row>
    <row r="236" spans="1:108" x14ac:dyDescent="0.3">
      <c r="A236" t="s">
        <v>130</v>
      </c>
      <c r="B236" t="str" cm="1">
        <f t="array" ref="B236:Y236">VLOOKUP(A236,standard_pitchers_2019!A:Y,{2,3,4,5,6,7,8,9,10,11,12,13,14,15,16,17,18,19,20,21,22,23,24,25},FALSE)</f>
        <v>- - -</v>
      </c>
      <c r="C236">
        <v>2</v>
      </c>
      <c r="D236">
        <v>1</v>
      </c>
      <c r="E236">
        <v>3.43</v>
      </c>
      <c r="F236">
        <v>65</v>
      </c>
      <c r="G236">
        <v>0</v>
      </c>
      <c r="H236">
        <v>0</v>
      </c>
      <c r="I236">
        <v>0</v>
      </c>
      <c r="J236">
        <v>20</v>
      </c>
      <c r="K236">
        <v>17</v>
      </c>
      <c r="L236">
        <v>3</v>
      </c>
      <c r="M236">
        <v>60.1</v>
      </c>
      <c r="N236">
        <v>249</v>
      </c>
      <c r="O236">
        <v>50</v>
      </c>
      <c r="P236">
        <v>27</v>
      </c>
      <c r="Q236">
        <v>23</v>
      </c>
      <c r="R236">
        <v>7</v>
      </c>
      <c r="S236">
        <v>17</v>
      </c>
      <c r="T236">
        <v>3</v>
      </c>
      <c r="U236">
        <v>2</v>
      </c>
      <c r="V236">
        <v>3</v>
      </c>
      <c r="W236">
        <v>1</v>
      </c>
      <c r="X236">
        <v>60</v>
      </c>
      <c r="Y236">
        <v>9817</v>
      </c>
      <c r="Z236" cm="1">
        <f t="array" ref="Z236:AR236">VLOOKUP(A236,advanced_pitchers_2019!A:Y,{3,4,5,6,7,8,9,10,11,12,13,14,15,16,17,18,19,20,21},FALSE)</f>
        <v>8.9499999999999993</v>
      </c>
      <c r="AA236">
        <v>2.54</v>
      </c>
      <c r="AB236">
        <v>3.53</v>
      </c>
      <c r="AC236">
        <v>1.04</v>
      </c>
      <c r="AD236">
        <v>0.24099999999999999</v>
      </c>
      <c r="AE236">
        <v>6.8000000000000005E-2</v>
      </c>
      <c r="AF236">
        <v>0.17299999999999999</v>
      </c>
      <c r="AG236">
        <v>0.217</v>
      </c>
      <c r="AH236">
        <v>1.1100000000000001</v>
      </c>
      <c r="AI236">
        <v>0.26400000000000001</v>
      </c>
      <c r="AJ236">
        <v>0.70899999999999996</v>
      </c>
      <c r="AK236">
        <v>79</v>
      </c>
      <c r="AL236">
        <v>83</v>
      </c>
      <c r="AM236">
        <v>105</v>
      </c>
      <c r="AN236">
        <v>3.43</v>
      </c>
      <c r="AO236">
        <v>3.68</v>
      </c>
      <c r="AP236">
        <v>-0.25</v>
      </c>
      <c r="AQ236">
        <v>4.68</v>
      </c>
      <c r="AR236">
        <v>3.98</v>
      </c>
      <c r="AS236" cm="1">
        <f t="array" ref="AS236:BA236">VLOOKUP(A236,plate_discipline_pitchers_2019!A:L,{3,4,5,6,7,8,9,10,11},FALSE)</f>
        <v>0.40500000000000003</v>
      </c>
      <c r="AT236">
        <v>0.63600000000000001</v>
      </c>
      <c r="AU236">
        <v>0.48799999999999999</v>
      </c>
      <c r="AV236">
        <v>0.61099999999999999</v>
      </c>
      <c r="AW236">
        <v>0.82499999999999996</v>
      </c>
      <c r="AX236">
        <v>0.71199999999999997</v>
      </c>
      <c r="AY236">
        <v>0.36199999999999999</v>
      </c>
      <c r="AZ236">
        <v>0.64700000000000002</v>
      </c>
      <c r="BA236">
        <v>0.14099999999999999</v>
      </c>
      <c r="BB236" cm="1">
        <f t="array" ref="BB236:BP236">VLOOKUP(A236,pitchvalue_pitchers_2019!A:Q,{3,4,5,6,7,8,9,10,11,12,13,14,15,16,17},FALSE)</f>
        <v>-3.9</v>
      </c>
      <c r="BC236">
        <v>13.6</v>
      </c>
      <c r="BD236">
        <v>0</v>
      </c>
      <c r="BE236">
        <v>0</v>
      </c>
      <c r="BF236">
        <v>-1.3</v>
      </c>
      <c r="BG236">
        <v>0</v>
      </c>
      <c r="BH236">
        <v>0</v>
      </c>
      <c r="BI236">
        <v>-1.6</v>
      </c>
      <c r="BJ236">
        <v>2.29</v>
      </c>
      <c r="BK236">
        <v>0</v>
      </c>
      <c r="BL236">
        <v>0</v>
      </c>
      <c r="BM236">
        <v>-0.83</v>
      </c>
      <c r="BN236">
        <v>0</v>
      </c>
      <c r="BO236">
        <v>0</v>
      </c>
      <c r="BP236">
        <v>9817</v>
      </c>
      <c r="BQ236" cm="1">
        <f t="array" ref="BQ236:CH236">VLOOKUP(A236,battedball_pitchers_2019!A:U,{3,4,5,6,7,8,9,10,11,12,13,14,15,16,17,18,19,20},FALSE)</f>
        <v>0.26400000000000001</v>
      </c>
      <c r="BR236">
        <v>0.8</v>
      </c>
      <c r="BS236">
        <v>0.189</v>
      </c>
      <c r="BT236">
        <v>0.36099999999999999</v>
      </c>
      <c r="BU236">
        <v>0.45</v>
      </c>
      <c r="BV236">
        <v>0.14499999999999999</v>
      </c>
      <c r="BW236">
        <v>9.1999999999999998E-2</v>
      </c>
      <c r="BX236">
        <v>19</v>
      </c>
      <c r="BY236">
        <v>2.83</v>
      </c>
      <c r="BZ236">
        <v>335</v>
      </c>
      <c r="CA236">
        <v>660</v>
      </c>
      <c r="CB236">
        <v>995</v>
      </c>
      <c r="CC236">
        <v>0.45900000000000002</v>
      </c>
      <c r="CD236">
        <v>0.33500000000000002</v>
      </c>
      <c r="CE236">
        <v>0.20599999999999999</v>
      </c>
      <c r="CF236">
        <v>0.20599999999999999</v>
      </c>
      <c r="CG236">
        <v>0.47599999999999998</v>
      </c>
      <c r="CH236">
        <v>0.318</v>
      </c>
      <c r="CI236" cm="1">
        <f t="array" ref="CI236:CS236">VLOOKUP(A236,verticalmove_pitchers_2019!A:N,{3,4,5,6,7,8,9,10,11,12,13},FALSE)</f>
        <v>60.1</v>
      </c>
      <c r="CJ236">
        <v>6</v>
      </c>
      <c r="CK236">
        <v>0</v>
      </c>
      <c r="CL236">
        <v>0</v>
      </c>
      <c r="CM236">
        <v>1</v>
      </c>
      <c r="CN236">
        <v>0.5</v>
      </c>
      <c r="CO236">
        <v>3.8</v>
      </c>
      <c r="CP236">
        <v>0</v>
      </c>
      <c r="CQ236">
        <v>0</v>
      </c>
      <c r="CR236">
        <v>0</v>
      </c>
      <c r="CS236">
        <v>0</v>
      </c>
      <c r="CT236" cm="1">
        <f t="array" ref="CT236:DD236">VLOOKUP(A236,velocity_pitchers_2019!A:N,{3,4,5,6,7,8,9,10,11,12,13},FALSE)</f>
        <v>60.1</v>
      </c>
      <c r="CU236">
        <v>86.7</v>
      </c>
      <c r="CV236">
        <v>0</v>
      </c>
      <c r="CW236">
        <v>0</v>
      </c>
      <c r="CX236">
        <v>86.4</v>
      </c>
      <c r="CY236">
        <v>80.400000000000006</v>
      </c>
      <c r="CZ236">
        <v>77.599999999999994</v>
      </c>
      <c r="DA236">
        <v>0</v>
      </c>
      <c r="DB236">
        <v>0</v>
      </c>
      <c r="DC236">
        <v>0</v>
      </c>
      <c r="DD236">
        <v>0</v>
      </c>
    </row>
    <row r="237" spans="1:108" x14ac:dyDescent="0.3">
      <c r="A237" t="s">
        <v>267</v>
      </c>
      <c r="B237" t="str" cm="1">
        <f t="array" ref="B237:Y237">VLOOKUP(A237,standard_pitchers_2019!A:Y,{2,3,4,5,6,7,8,9,10,11,12,13,14,15,16,17,18,19,20,21,22,23,24,25},FALSE)</f>
        <v>Angels</v>
      </c>
      <c r="C237">
        <v>5</v>
      </c>
      <c r="D237">
        <v>6</v>
      </c>
      <c r="E237">
        <v>4.58</v>
      </c>
      <c r="F237">
        <v>18</v>
      </c>
      <c r="G237">
        <v>17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90.1</v>
      </c>
      <c r="N237">
        <v>384</v>
      </c>
      <c r="O237">
        <v>80</v>
      </c>
      <c r="P237">
        <v>46</v>
      </c>
      <c r="Q237">
        <v>46</v>
      </c>
      <c r="R237">
        <v>14</v>
      </c>
      <c r="S237">
        <v>30</v>
      </c>
      <c r="T237">
        <v>0</v>
      </c>
      <c r="U237">
        <v>8</v>
      </c>
      <c r="V237">
        <v>9</v>
      </c>
      <c r="W237">
        <v>1</v>
      </c>
      <c r="X237">
        <v>96</v>
      </c>
      <c r="Y237">
        <v>19867</v>
      </c>
      <c r="Z237" cm="1">
        <f t="array" ref="Z237:AR237">VLOOKUP(A237,advanced_pitchers_2019!A:Y,{3,4,5,6,7,8,9,10,11,12,13,14,15,16,17,18,19,20,21},FALSE)</f>
        <v>9.56</v>
      </c>
      <c r="AA237">
        <v>2.99</v>
      </c>
      <c r="AB237">
        <v>3.2</v>
      </c>
      <c r="AC237">
        <v>1.39</v>
      </c>
      <c r="AD237">
        <v>0.25</v>
      </c>
      <c r="AE237">
        <v>7.8E-2</v>
      </c>
      <c r="AF237">
        <v>0.17199999999999999</v>
      </c>
      <c r="AG237">
        <v>0.23100000000000001</v>
      </c>
      <c r="AH237">
        <v>1.22</v>
      </c>
      <c r="AI237">
        <v>0.28000000000000003</v>
      </c>
      <c r="AJ237">
        <v>0.73199999999999998</v>
      </c>
      <c r="AK237">
        <v>102</v>
      </c>
      <c r="AL237">
        <v>95</v>
      </c>
      <c r="AM237">
        <v>104</v>
      </c>
      <c r="AN237">
        <v>4.58</v>
      </c>
      <c r="AO237">
        <v>4.37</v>
      </c>
      <c r="AP237">
        <v>0.22</v>
      </c>
      <c r="AQ237">
        <v>4.75</v>
      </c>
      <c r="AR237">
        <v>4.33</v>
      </c>
      <c r="AS237" cm="1">
        <f t="array" ref="AS237:BA237">VLOOKUP(A237,plate_discipline_pitchers_2019!A:L,{3,4,5,6,7,8,9,10,11},FALSE)</f>
        <v>0.31900000000000001</v>
      </c>
      <c r="AT237">
        <v>0.66700000000000004</v>
      </c>
      <c r="AU237">
        <v>0.45200000000000001</v>
      </c>
      <c r="AV237">
        <v>0.503</v>
      </c>
      <c r="AW237">
        <v>0.84299999999999997</v>
      </c>
      <c r="AX237">
        <v>0.69499999999999995</v>
      </c>
      <c r="AY237">
        <v>0.38300000000000001</v>
      </c>
      <c r="AZ237">
        <v>0.57799999999999996</v>
      </c>
      <c r="BA237">
        <v>0.13800000000000001</v>
      </c>
      <c r="BB237" cm="1">
        <f t="array" ref="BB237:BP237">VLOOKUP(A237,pitchvalue_pitchers_2019!A:Q,{3,4,5,6,7,8,9,10,11,12,13,14,15,16,17},FALSE)</f>
        <v>-4</v>
      </c>
      <c r="BC237">
        <v>2.2999999999999998</v>
      </c>
      <c r="BD237">
        <v>0</v>
      </c>
      <c r="BE237">
        <v>2.1</v>
      </c>
      <c r="BF237">
        <v>1</v>
      </c>
      <c r="BG237">
        <v>0</v>
      </c>
      <c r="BH237">
        <v>0</v>
      </c>
      <c r="BI237">
        <v>-0.61</v>
      </c>
      <c r="BJ237">
        <v>0.51</v>
      </c>
      <c r="BK237">
        <v>0</v>
      </c>
      <c r="BL237">
        <v>0.85</v>
      </c>
      <c r="BM237">
        <v>0.49</v>
      </c>
      <c r="BN237">
        <v>0</v>
      </c>
      <c r="BO237">
        <v>0</v>
      </c>
      <c r="BP237">
        <v>19867</v>
      </c>
      <c r="BQ237" cm="1">
        <f t="array" ref="BQ237:CH237">VLOOKUP(A237,battedball_pitchers_2019!A:U,{3,4,5,6,7,8,9,10,11,12,13,14,15,16,17,18,19,20},FALSE)</f>
        <v>0.28000000000000003</v>
      </c>
      <c r="BR237">
        <v>0.84</v>
      </c>
      <c r="BS237">
        <v>0.18</v>
      </c>
      <c r="BT237">
        <v>0.376</v>
      </c>
      <c r="BU237">
        <v>0.44500000000000001</v>
      </c>
      <c r="BV237">
        <v>5.5E-2</v>
      </c>
      <c r="BW237">
        <v>0.128</v>
      </c>
      <c r="BX237">
        <v>60</v>
      </c>
      <c r="BY237">
        <v>5.98</v>
      </c>
      <c r="BZ237">
        <v>592</v>
      </c>
      <c r="CA237">
        <v>960</v>
      </c>
      <c r="CB237">
        <v>1552</v>
      </c>
      <c r="CC237">
        <v>0.308</v>
      </c>
      <c r="CD237">
        <v>0.42399999999999999</v>
      </c>
      <c r="CE237">
        <v>0.26800000000000002</v>
      </c>
      <c r="CF237">
        <v>0.16</v>
      </c>
      <c r="CG237">
        <v>0.42399999999999999</v>
      </c>
      <c r="CH237">
        <v>0.41599999999999998</v>
      </c>
      <c r="CI237" cm="1">
        <f t="array" ref="CI237:CS237">VLOOKUP(A237,verticalmove_pitchers_2019!A:N,{3,4,5,6,7,8,9,10,11,12,13},FALSE)</f>
        <v>90.1</v>
      </c>
      <c r="CJ237">
        <v>9.3000000000000007</v>
      </c>
      <c r="CK237">
        <v>0</v>
      </c>
      <c r="CL237">
        <v>5.3</v>
      </c>
      <c r="CM237">
        <v>0</v>
      </c>
      <c r="CN237">
        <v>4.4000000000000004</v>
      </c>
      <c r="CO237">
        <v>3.1</v>
      </c>
      <c r="CP237">
        <v>-4</v>
      </c>
      <c r="CQ237">
        <v>0</v>
      </c>
      <c r="CR237">
        <v>0</v>
      </c>
      <c r="CS237">
        <v>0</v>
      </c>
      <c r="CT237" cm="1">
        <f t="array" ref="CT237:DD237">VLOOKUP(A237,velocity_pitchers_2019!A:N,{3,4,5,6,7,8,9,10,11,12,13},FALSE)</f>
        <v>90.1</v>
      </c>
      <c r="CU237">
        <v>94.1</v>
      </c>
      <c r="CV237">
        <v>0</v>
      </c>
      <c r="CW237">
        <v>88.1</v>
      </c>
      <c r="CX237">
        <v>0</v>
      </c>
      <c r="CY237">
        <v>89.3</v>
      </c>
      <c r="CZ237">
        <v>89.2</v>
      </c>
      <c r="DA237">
        <v>82.2</v>
      </c>
      <c r="DB237">
        <v>0</v>
      </c>
      <c r="DC237">
        <v>0</v>
      </c>
      <c r="DD237">
        <v>0</v>
      </c>
    </row>
    <row r="238" spans="1:108" x14ac:dyDescent="0.3">
      <c r="A238" t="s">
        <v>327</v>
      </c>
      <c r="B238" t="str" cm="1">
        <f t="array" ref="B238:Y238">VLOOKUP(A238,standard_pitchers_2019!A:Y,{2,3,4,5,6,7,8,9,10,11,12,13,14,15,16,17,18,19,20,21,22,23,24,25},FALSE)</f>
        <v>Indians</v>
      </c>
      <c r="C238">
        <v>6</v>
      </c>
      <c r="D238">
        <v>7</v>
      </c>
      <c r="E238">
        <v>5.29</v>
      </c>
      <c r="F238">
        <v>23</v>
      </c>
      <c r="G238">
        <v>12</v>
      </c>
      <c r="H238">
        <v>1</v>
      </c>
      <c r="I238">
        <v>1</v>
      </c>
      <c r="J238">
        <v>1</v>
      </c>
      <c r="K238">
        <v>0</v>
      </c>
      <c r="L238">
        <v>1</v>
      </c>
      <c r="M238">
        <v>80</v>
      </c>
      <c r="N238">
        <v>341</v>
      </c>
      <c r="O238">
        <v>92</v>
      </c>
      <c r="P238">
        <v>48</v>
      </c>
      <c r="Q238">
        <v>47</v>
      </c>
      <c r="R238">
        <v>18</v>
      </c>
      <c r="S238">
        <v>16</v>
      </c>
      <c r="T238">
        <v>1</v>
      </c>
      <c r="U238">
        <v>2</v>
      </c>
      <c r="V238">
        <v>2</v>
      </c>
      <c r="W238">
        <v>0</v>
      </c>
      <c r="X238">
        <v>96</v>
      </c>
      <c r="Y238">
        <v>6632</v>
      </c>
      <c r="Z238" cm="1">
        <f t="array" ref="Z238:AR238">VLOOKUP(A238,advanced_pitchers_2019!A:Y,{3,4,5,6,7,8,9,10,11,12,13,14,15,16,17,18,19,20,21},FALSE)</f>
        <v>10.8</v>
      </c>
      <c r="AA238">
        <v>1.8</v>
      </c>
      <c r="AB238">
        <v>6</v>
      </c>
      <c r="AC238">
        <v>2.0299999999999998</v>
      </c>
      <c r="AD238">
        <v>0.28199999999999997</v>
      </c>
      <c r="AE238">
        <v>4.7E-2</v>
      </c>
      <c r="AF238">
        <v>0.23499999999999999</v>
      </c>
      <c r="AG238">
        <v>0.28499999999999998</v>
      </c>
      <c r="AH238">
        <v>1.35</v>
      </c>
      <c r="AI238">
        <v>0.35399999999999998</v>
      </c>
      <c r="AJ238">
        <v>0.73099999999999998</v>
      </c>
      <c r="AK238">
        <v>110</v>
      </c>
      <c r="AL238">
        <v>96</v>
      </c>
      <c r="AM238">
        <v>77</v>
      </c>
      <c r="AN238">
        <v>5.29</v>
      </c>
      <c r="AO238">
        <v>4.41</v>
      </c>
      <c r="AP238">
        <v>0.87</v>
      </c>
      <c r="AQ238">
        <v>3.5</v>
      </c>
      <c r="AR238">
        <v>3.53</v>
      </c>
      <c r="AS238" cm="1">
        <f t="array" ref="AS238:BA238">VLOOKUP(A238,plate_discipline_pitchers_2019!A:L,{3,4,5,6,7,8,9,10,11},FALSE)</f>
        <v>0.36399999999999999</v>
      </c>
      <c r="AT238">
        <v>0.72099999999999997</v>
      </c>
      <c r="AU238">
        <v>0.51600000000000001</v>
      </c>
      <c r="AV238">
        <v>0.52100000000000002</v>
      </c>
      <c r="AW238">
        <v>0.84099999999999997</v>
      </c>
      <c r="AX238">
        <v>0.71099999999999997</v>
      </c>
      <c r="AY238">
        <v>0.42499999999999999</v>
      </c>
      <c r="AZ238">
        <v>0.65400000000000003</v>
      </c>
      <c r="BA238">
        <v>0.14899999999999999</v>
      </c>
      <c r="BB238" cm="1">
        <f t="array" ref="BB238:BP238">VLOOKUP(A238,pitchvalue_pitchers_2019!A:Q,{3,4,5,6,7,8,9,10,11,12,13,14,15,16,17},FALSE)</f>
        <v>-4</v>
      </c>
      <c r="BC238">
        <v>3.5</v>
      </c>
      <c r="BD238">
        <v>0</v>
      </c>
      <c r="BE238">
        <v>-5.0999999999999996</v>
      </c>
      <c r="BF238">
        <v>-2.5</v>
      </c>
      <c r="BG238">
        <v>0</v>
      </c>
      <c r="BH238">
        <v>0</v>
      </c>
      <c r="BI238">
        <v>-0.68</v>
      </c>
      <c r="BJ238">
        <v>0.88</v>
      </c>
      <c r="BK238">
        <v>0</v>
      </c>
      <c r="BL238">
        <v>-9.65</v>
      </c>
      <c r="BM238">
        <v>-1.08</v>
      </c>
      <c r="BN238">
        <v>0</v>
      </c>
      <c r="BO238">
        <v>0</v>
      </c>
      <c r="BP238">
        <v>6632</v>
      </c>
      <c r="BQ238" cm="1">
        <f t="array" ref="BQ238:CH238">VLOOKUP(A238,battedball_pitchers_2019!A:U,{3,4,5,6,7,8,9,10,11,12,13,14,15,16,17,18,19,20},FALSE)</f>
        <v>0.35399999999999998</v>
      </c>
      <c r="BR238">
        <v>1.1200000000000001</v>
      </c>
      <c r="BS238">
        <v>0.22900000000000001</v>
      </c>
      <c r="BT238">
        <v>0.40799999999999997</v>
      </c>
      <c r="BU238">
        <v>0.36299999999999999</v>
      </c>
      <c r="BV238">
        <v>7.3999999999999996E-2</v>
      </c>
      <c r="BW238">
        <v>0.222</v>
      </c>
      <c r="BX238">
        <v>40</v>
      </c>
      <c r="BY238">
        <v>4.5</v>
      </c>
      <c r="BZ238">
        <v>419</v>
      </c>
      <c r="CA238">
        <v>855</v>
      </c>
      <c r="CB238">
        <v>1274</v>
      </c>
      <c r="CC238">
        <v>0.47099999999999997</v>
      </c>
      <c r="CD238">
        <v>0.313</v>
      </c>
      <c r="CE238">
        <v>0.216</v>
      </c>
      <c r="CF238">
        <v>0.159</v>
      </c>
      <c r="CG238">
        <v>0.441</v>
      </c>
      <c r="CH238">
        <v>0.40100000000000002</v>
      </c>
      <c r="CI238" cm="1">
        <f t="array" ref="CI238:CS238">VLOOKUP(A238,verticalmove_pitchers_2019!A:N,{3,4,5,6,7,8,9,10,11,12,13},FALSE)</f>
        <v>80</v>
      </c>
      <c r="CJ238">
        <v>7.6</v>
      </c>
      <c r="CK238">
        <v>0</v>
      </c>
      <c r="CL238">
        <v>0</v>
      </c>
      <c r="CM238">
        <v>4.4000000000000004</v>
      </c>
      <c r="CN238">
        <v>-0.2</v>
      </c>
      <c r="CO238">
        <v>-1</v>
      </c>
      <c r="CP238">
        <v>-4.3</v>
      </c>
      <c r="CQ238">
        <v>0</v>
      </c>
      <c r="CR238">
        <v>0</v>
      </c>
      <c r="CS238">
        <v>0</v>
      </c>
      <c r="CT238" cm="1">
        <f t="array" ref="CT238:DD238">VLOOKUP(A238,velocity_pitchers_2019!A:N,{3,4,5,6,7,8,9,10,11,12,13},FALSE)</f>
        <v>80</v>
      </c>
      <c r="CU238">
        <v>94.1</v>
      </c>
      <c r="CV238">
        <v>0</v>
      </c>
      <c r="CW238">
        <v>0</v>
      </c>
      <c r="CX238">
        <v>93</v>
      </c>
      <c r="CY238">
        <v>88.1</v>
      </c>
      <c r="CZ238">
        <v>85.1</v>
      </c>
      <c r="DA238">
        <v>82.6</v>
      </c>
      <c r="DB238">
        <v>0</v>
      </c>
      <c r="DC238">
        <v>0</v>
      </c>
      <c r="DD238">
        <v>0</v>
      </c>
    </row>
    <row r="239" spans="1:108" x14ac:dyDescent="0.3">
      <c r="A239" t="s">
        <v>373</v>
      </c>
      <c r="B239" t="str" cm="1">
        <f t="array" ref="B239:Y239">VLOOKUP(A239,standard_pitchers_2019!A:Y,{2,3,4,5,6,7,8,9,10,11,12,13,14,15,16,17,18,19,20,21,22,23,24,25},FALSE)</f>
        <v>- - -</v>
      </c>
      <c r="C239">
        <v>2</v>
      </c>
      <c r="D239">
        <v>5</v>
      </c>
      <c r="E239">
        <v>6.08</v>
      </c>
      <c r="F239">
        <v>51</v>
      </c>
      <c r="G239">
        <v>8</v>
      </c>
      <c r="H239">
        <v>1</v>
      </c>
      <c r="I239">
        <v>0</v>
      </c>
      <c r="J239">
        <v>0</v>
      </c>
      <c r="K239">
        <v>2</v>
      </c>
      <c r="L239">
        <v>1</v>
      </c>
      <c r="M239">
        <v>84.1</v>
      </c>
      <c r="N239">
        <v>376</v>
      </c>
      <c r="O239">
        <v>82</v>
      </c>
      <c r="P239">
        <v>61</v>
      </c>
      <c r="Q239">
        <v>57</v>
      </c>
      <c r="R239">
        <v>20</v>
      </c>
      <c r="S239">
        <v>45</v>
      </c>
      <c r="T239">
        <v>2</v>
      </c>
      <c r="U239">
        <v>4</v>
      </c>
      <c r="V239">
        <v>1</v>
      </c>
      <c r="W239">
        <v>0</v>
      </c>
      <c r="X239">
        <v>82</v>
      </c>
      <c r="Y239">
        <v>4141</v>
      </c>
      <c r="Z239" cm="1">
        <f t="array" ref="Z239:AR239">VLOOKUP(A239,advanced_pitchers_2019!A:Y,{3,4,5,6,7,8,9,10,11,12,13,14,15,16,17,18,19,20,21},FALSE)</f>
        <v>8.75</v>
      </c>
      <c r="AA239">
        <v>4.8</v>
      </c>
      <c r="AB239">
        <v>1.82</v>
      </c>
      <c r="AC239">
        <v>2.13</v>
      </c>
      <c r="AD239">
        <v>0.218</v>
      </c>
      <c r="AE239">
        <v>0.12</v>
      </c>
      <c r="AF239">
        <v>9.8000000000000004E-2</v>
      </c>
      <c r="AG239">
        <v>0.251</v>
      </c>
      <c r="AH239">
        <v>1.51</v>
      </c>
      <c r="AI239">
        <v>0.27600000000000002</v>
      </c>
      <c r="AJ239">
        <v>0.68</v>
      </c>
      <c r="AK239">
        <v>144</v>
      </c>
      <c r="AL239">
        <v>144</v>
      </c>
      <c r="AM239">
        <v>119</v>
      </c>
      <c r="AN239">
        <v>6.08</v>
      </c>
      <c r="AO239">
        <v>6.1</v>
      </c>
      <c r="AP239">
        <v>-0.01</v>
      </c>
      <c r="AQ239">
        <v>5.25</v>
      </c>
      <c r="AR239">
        <v>4.9800000000000004</v>
      </c>
      <c r="AS239" cm="1">
        <f t="array" ref="AS239:BA239">VLOOKUP(A239,plate_discipline_pitchers_2019!A:L,{3,4,5,6,7,8,9,10,11},FALSE)</f>
        <v>0.30199999999999999</v>
      </c>
      <c r="AT239">
        <v>0.67600000000000005</v>
      </c>
      <c r="AU239">
        <v>0.45400000000000001</v>
      </c>
      <c r="AV239">
        <v>0.63500000000000001</v>
      </c>
      <c r="AW239">
        <v>0.83399999999999996</v>
      </c>
      <c r="AX239">
        <v>0.75600000000000001</v>
      </c>
      <c r="AY239">
        <v>0.40699999999999997</v>
      </c>
      <c r="AZ239">
        <v>0.63800000000000001</v>
      </c>
      <c r="BA239">
        <v>0.111</v>
      </c>
      <c r="BB239" cm="1">
        <f t="array" ref="BB239:BP239">VLOOKUP(A239,pitchvalue_pitchers_2019!A:Q,{3,4,5,6,7,8,9,10,11,12,13,14,15,16,17},FALSE)</f>
        <v>-4</v>
      </c>
      <c r="BC239">
        <v>-7</v>
      </c>
      <c r="BD239">
        <v>0</v>
      </c>
      <c r="BE239">
        <v>3.2</v>
      </c>
      <c r="BF239">
        <v>-2.5</v>
      </c>
      <c r="BG239">
        <v>0.3</v>
      </c>
      <c r="BH239">
        <v>0</v>
      </c>
      <c r="BI239">
        <v>-0.44</v>
      </c>
      <c r="BJ239">
        <v>-1.99</v>
      </c>
      <c r="BK239">
        <v>0</v>
      </c>
      <c r="BL239">
        <v>2.0499999999999998</v>
      </c>
      <c r="BM239">
        <v>-19.04</v>
      </c>
      <c r="BN239">
        <v>0.71</v>
      </c>
      <c r="BO239">
        <v>0</v>
      </c>
      <c r="BP239">
        <v>4141</v>
      </c>
      <c r="BQ239" cm="1">
        <f t="array" ref="BQ239:CH239">VLOOKUP(A239,battedball_pitchers_2019!A:U,{3,4,5,6,7,8,9,10,11,12,13,14,15,16,17,18,19,20},FALSE)</f>
        <v>0.27600000000000002</v>
      </c>
      <c r="BR239">
        <v>1.01</v>
      </c>
      <c r="BS239">
        <v>0.19400000000000001</v>
      </c>
      <c r="BT239">
        <v>0.40500000000000003</v>
      </c>
      <c r="BU239">
        <v>0.40100000000000002</v>
      </c>
      <c r="BV239">
        <v>7.3999999999999996E-2</v>
      </c>
      <c r="BW239">
        <v>0.21099999999999999</v>
      </c>
      <c r="BX239">
        <v>31</v>
      </c>
      <c r="BY239">
        <v>3.31</v>
      </c>
      <c r="BZ239">
        <v>553</v>
      </c>
      <c r="CA239">
        <v>934</v>
      </c>
      <c r="CB239">
        <v>1487</v>
      </c>
      <c r="CC239">
        <v>0.42</v>
      </c>
      <c r="CD239">
        <v>0.35899999999999999</v>
      </c>
      <c r="CE239">
        <v>0.22</v>
      </c>
      <c r="CF239">
        <v>0.151</v>
      </c>
      <c r="CG239">
        <v>0.41199999999999998</v>
      </c>
      <c r="CH239">
        <v>0.437</v>
      </c>
      <c r="CI239" cm="1">
        <f t="array" ref="CI239:CS239">VLOOKUP(A239,verticalmove_pitchers_2019!A:N,{3,4,5,6,7,8,9,10,11,12,13},FALSE)</f>
        <v>84.1</v>
      </c>
      <c r="CJ239">
        <v>8.1999999999999993</v>
      </c>
      <c r="CK239">
        <v>0</v>
      </c>
      <c r="CL239">
        <v>0</v>
      </c>
      <c r="CM239">
        <v>6.4</v>
      </c>
      <c r="CN239">
        <v>6.1</v>
      </c>
      <c r="CO239">
        <v>1.6</v>
      </c>
      <c r="CP239">
        <v>-1.2</v>
      </c>
      <c r="CQ239">
        <v>0</v>
      </c>
      <c r="CR239">
        <v>0</v>
      </c>
      <c r="CS239">
        <v>0</v>
      </c>
      <c r="CT239" cm="1">
        <f t="array" ref="CT239:DD239">VLOOKUP(A239,velocity_pitchers_2019!A:N,{3,4,5,6,7,8,9,10,11,12,13},FALSE)</f>
        <v>84.1</v>
      </c>
      <c r="CU239">
        <v>92.3</v>
      </c>
      <c r="CV239">
        <v>0</v>
      </c>
      <c r="CW239">
        <v>0</v>
      </c>
      <c r="CX239">
        <v>93.1</v>
      </c>
      <c r="CY239">
        <v>84.3</v>
      </c>
      <c r="CZ239">
        <v>81</v>
      </c>
      <c r="DA239">
        <v>78.099999999999994</v>
      </c>
      <c r="DB239">
        <v>0</v>
      </c>
      <c r="DC239">
        <v>0</v>
      </c>
      <c r="DD239">
        <v>0</v>
      </c>
    </row>
    <row r="240" spans="1:108" x14ac:dyDescent="0.3">
      <c r="A240" t="s">
        <v>217</v>
      </c>
      <c r="B240" t="str" cm="1">
        <f t="array" ref="B240:Y240">VLOOKUP(A240,standard_pitchers_2019!A:Y,{2,3,4,5,6,7,8,9,10,11,12,13,14,15,16,17,18,19,20,21,22,23,24,25},FALSE)</f>
        <v>Reds</v>
      </c>
      <c r="C240">
        <v>3</v>
      </c>
      <c r="D240">
        <v>12</v>
      </c>
      <c r="E240">
        <v>4.16</v>
      </c>
      <c r="F240">
        <v>68</v>
      </c>
      <c r="G240">
        <v>0</v>
      </c>
      <c r="H240">
        <v>0</v>
      </c>
      <c r="I240">
        <v>0</v>
      </c>
      <c r="J240">
        <v>34</v>
      </c>
      <c r="K240">
        <v>3</v>
      </c>
      <c r="L240">
        <v>6</v>
      </c>
      <c r="M240">
        <v>67</v>
      </c>
      <c r="N240">
        <v>279</v>
      </c>
      <c r="O240">
        <v>61</v>
      </c>
      <c r="P240">
        <v>31</v>
      </c>
      <c r="Q240">
        <v>31</v>
      </c>
      <c r="R240">
        <v>12</v>
      </c>
      <c r="S240">
        <v>21</v>
      </c>
      <c r="T240">
        <v>4</v>
      </c>
      <c r="U240">
        <v>2</v>
      </c>
      <c r="V240">
        <v>3</v>
      </c>
      <c r="W240">
        <v>0</v>
      </c>
      <c r="X240">
        <v>89</v>
      </c>
      <c r="Y240">
        <v>17130</v>
      </c>
      <c r="Z240" cm="1">
        <f t="array" ref="Z240:AR240">VLOOKUP(A240,advanced_pitchers_2019!A:Y,{3,4,5,6,7,8,9,10,11,12,13,14,15,16,17,18,19,20,21},FALSE)</f>
        <v>11.96</v>
      </c>
      <c r="AA240">
        <v>2.82</v>
      </c>
      <c r="AB240">
        <v>4.24</v>
      </c>
      <c r="AC240">
        <v>1.61</v>
      </c>
      <c r="AD240">
        <v>0.31900000000000001</v>
      </c>
      <c r="AE240">
        <v>7.4999999999999997E-2</v>
      </c>
      <c r="AF240">
        <v>0.24399999999999999</v>
      </c>
      <c r="AG240">
        <v>0.23799999999999999</v>
      </c>
      <c r="AH240">
        <v>1.22</v>
      </c>
      <c r="AI240">
        <v>0.316</v>
      </c>
      <c r="AJ240">
        <v>0.78900000000000003</v>
      </c>
      <c r="AK240">
        <v>93</v>
      </c>
      <c r="AL240">
        <v>86</v>
      </c>
      <c r="AM240">
        <v>84</v>
      </c>
      <c r="AN240">
        <v>4.16</v>
      </c>
      <c r="AO240">
        <v>3.92</v>
      </c>
      <c r="AP240">
        <v>0.25</v>
      </c>
      <c r="AQ240">
        <v>3.72</v>
      </c>
      <c r="AR240">
        <v>3.22</v>
      </c>
      <c r="AS240" cm="1">
        <f t="array" ref="AS240:BA240">VLOOKUP(A240,plate_discipline_pitchers_2019!A:L,{3,4,5,6,7,8,9,10,11},FALSE)</f>
        <v>0.34399999999999997</v>
      </c>
      <c r="AT240">
        <v>0.68899999999999995</v>
      </c>
      <c r="AU240">
        <v>0.48799999999999999</v>
      </c>
      <c r="AV240">
        <v>0.54200000000000004</v>
      </c>
      <c r="AW240">
        <v>0.77900000000000003</v>
      </c>
      <c r="AX240">
        <v>0.68200000000000005</v>
      </c>
      <c r="AY240">
        <v>0.41699999999999998</v>
      </c>
      <c r="AZ240">
        <v>0.55900000000000005</v>
      </c>
      <c r="BA240">
        <v>0.155</v>
      </c>
      <c r="BB240" cm="1">
        <f t="array" ref="BB240:BP240">VLOOKUP(A240,pitchvalue_pitchers_2019!A:Q,{3,4,5,6,7,8,9,10,11,12,13,14,15,16,17},FALSE)</f>
        <v>-4</v>
      </c>
      <c r="BC240">
        <v>4.5999999999999996</v>
      </c>
      <c r="BD240">
        <v>0</v>
      </c>
      <c r="BE240">
        <v>0</v>
      </c>
      <c r="BF240">
        <v>3.9</v>
      </c>
      <c r="BG240">
        <v>0</v>
      </c>
      <c r="BH240">
        <v>0</v>
      </c>
      <c r="BI240">
        <v>-0.75</v>
      </c>
      <c r="BJ240">
        <v>1.32</v>
      </c>
      <c r="BK240">
        <v>0</v>
      </c>
      <c r="BL240">
        <v>0</v>
      </c>
      <c r="BM240">
        <v>1.59</v>
      </c>
      <c r="BN240">
        <v>0</v>
      </c>
      <c r="BO240">
        <v>0</v>
      </c>
      <c r="BP240">
        <v>17130</v>
      </c>
      <c r="BQ240" cm="1">
        <f t="array" ref="BQ240:CH240">VLOOKUP(A240,battedball_pitchers_2019!A:U,{3,4,5,6,7,8,9,10,11,12,13,14,15,16,17,18,19,20},FALSE)</f>
        <v>0.316</v>
      </c>
      <c r="BR240">
        <v>0.68</v>
      </c>
      <c r="BS240">
        <v>0.26200000000000001</v>
      </c>
      <c r="BT240">
        <v>0.29899999999999999</v>
      </c>
      <c r="BU240">
        <v>0.439</v>
      </c>
      <c r="BV240">
        <v>0.16700000000000001</v>
      </c>
      <c r="BW240">
        <v>0.16700000000000001</v>
      </c>
      <c r="BX240">
        <v>10</v>
      </c>
      <c r="BY240">
        <v>1.34</v>
      </c>
      <c r="BZ240">
        <v>394</v>
      </c>
      <c r="CA240">
        <v>739</v>
      </c>
      <c r="CB240">
        <v>1133</v>
      </c>
      <c r="CC240">
        <v>0.377</v>
      </c>
      <c r="CD240">
        <v>0.317</v>
      </c>
      <c r="CE240">
        <v>0.30499999999999999</v>
      </c>
      <c r="CF240">
        <v>0.22800000000000001</v>
      </c>
      <c r="CG240">
        <v>0.38300000000000001</v>
      </c>
      <c r="CH240">
        <v>0.38900000000000001</v>
      </c>
      <c r="CI240" cm="1">
        <f t="array" ref="CI240:CS240">VLOOKUP(A240,verticalmove_pitchers_2019!A:N,{3,4,5,6,7,8,9,10,11,12,13},FALSE)</f>
        <v>67</v>
      </c>
      <c r="CJ240">
        <v>8.1999999999999993</v>
      </c>
      <c r="CK240">
        <v>0</v>
      </c>
      <c r="CL240">
        <v>0</v>
      </c>
      <c r="CM240">
        <v>5.4</v>
      </c>
      <c r="CN240">
        <v>1.4</v>
      </c>
      <c r="CO240">
        <v>0.4</v>
      </c>
      <c r="CP240">
        <v>0</v>
      </c>
      <c r="CQ240">
        <v>0</v>
      </c>
      <c r="CR240">
        <v>0</v>
      </c>
      <c r="CS240">
        <v>0</v>
      </c>
      <c r="CT240" cm="1">
        <f t="array" ref="CT240:DD240">VLOOKUP(A240,velocity_pitchers_2019!A:N,{3,4,5,6,7,8,9,10,11,12,13},FALSE)</f>
        <v>67</v>
      </c>
      <c r="CU240">
        <v>95.6</v>
      </c>
      <c r="CV240">
        <v>0</v>
      </c>
      <c r="CW240">
        <v>0</v>
      </c>
      <c r="CX240">
        <v>95.2</v>
      </c>
      <c r="CY240">
        <v>89.2</v>
      </c>
      <c r="CZ240">
        <v>84.1</v>
      </c>
      <c r="DA240">
        <v>0</v>
      </c>
      <c r="DB240">
        <v>0</v>
      </c>
      <c r="DC240">
        <v>0</v>
      </c>
      <c r="DD240">
        <v>0</v>
      </c>
    </row>
    <row r="241" spans="1:108" x14ac:dyDescent="0.3">
      <c r="A241" t="s">
        <v>223</v>
      </c>
      <c r="B241" t="str" cm="1">
        <f t="array" ref="B241:Y241">VLOOKUP(A241,standard_pitchers_2019!A:Y,{2,3,4,5,6,7,8,9,10,11,12,13,14,15,16,17,18,19,20,21,22,23,24,25},FALSE)</f>
        <v>Brewers</v>
      </c>
      <c r="C241">
        <v>8</v>
      </c>
      <c r="D241">
        <v>4</v>
      </c>
      <c r="E241">
        <v>4.21</v>
      </c>
      <c r="F241">
        <v>32</v>
      </c>
      <c r="G241">
        <v>27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139</v>
      </c>
      <c r="N241">
        <v>592</v>
      </c>
      <c r="O241">
        <v>126</v>
      </c>
      <c r="P241">
        <v>67</v>
      </c>
      <c r="Q241">
        <v>65</v>
      </c>
      <c r="R241">
        <v>23</v>
      </c>
      <c r="S241">
        <v>50</v>
      </c>
      <c r="T241">
        <v>2</v>
      </c>
      <c r="U241">
        <v>8</v>
      </c>
      <c r="V241">
        <v>1</v>
      </c>
      <c r="W241">
        <v>1</v>
      </c>
      <c r="X241">
        <v>124</v>
      </c>
      <c r="Y241">
        <v>6895</v>
      </c>
      <c r="Z241" cm="1">
        <f t="array" ref="Z241:AR241">VLOOKUP(A241,advanced_pitchers_2019!A:Y,{3,4,5,6,7,8,9,10,11,12,13,14,15,16,17,18,19,20,21},FALSE)</f>
        <v>8.0299999999999994</v>
      </c>
      <c r="AA241">
        <v>3.24</v>
      </c>
      <c r="AB241">
        <v>2.48</v>
      </c>
      <c r="AC241">
        <v>1.49</v>
      </c>
      <c r="AD241">
        <v>0.20899999999999999</v>
      </c>
      <c r="AE241">
        <v>8.4000000000000005E-2</v>
      </c>
      <c r="AF241">
        <v>0.125</v>
      </c>
      <c r="AG241">
        <v>0.23599999999999999</v>
      </c>
      <c r="AH241">
        <v>1.27</v>
      </c>
      <c r="AI241">
        <v>0.26600000000000001</v>
      </c>
      <c r="AJ241">
        <v>0.77100000000000002</v>
      </c>
      <c r="AK241">
        <v>95</v>
      </c>
      <c r="AL241">
        <v>108</v>
      </c>
      <c r="AM241">
        <v>119</v>
      </c>
      <c r="AN241">
        <v>4.21</v>
      </c>
      <c r="AO241">
        <v>4.83</v>
      </c>
      <c r="AP241">
        <v>-0.62</v>
      </c>
      <c r="AQ241">
        <v>5.26</v>
      </c>
      <c r="AR241">
        <v>4.8899999999999997</v>
      </c>
      <c r="AS241" cm="1">
        <f t="array" ref="AS241:BA241">VLOOKUP(A241,plate_discipline_pitchers_2019!A:L,{3,4,5,6,7,8,9,10,11},FALSE)</f>
        <v>0.32300000000000001</v>
      </c>
      <c r="AT241">
        <v>0.72499999999999998</v>
      </c>
      <c r="AU241">
        <v>0.495</v>
      </c>
      <c r="AV241">
        <v>0.68500000000000005</v>
      </c>
      <c r="AW241">
        <v>0.83599999999999997</v>
      </c>
      <c r="AX241">
        <v>0.77900000000000003</v>
      </c>
      <c r="AY241">
        <v>0.42599999999999999</v>
      </c>
      <c r="AZ241">
        <v>0.622</v>
      </c>
      <c r="BA241">
        <v>0.109</v>
      </c>
      <c r="BB241" cm="1">
        <f t="array" ref="BB241:BP241">VLOOKUP(A241,pitchvalue_pitchers_2019!A:Q,{3,4,5,6,7,8,9,10,11,12,13,14,15,16,17},FALSE)</f>
        <v>-4</v>
      </c>
      <c r="BC241">
        <v>0</v>
      </c>
      <c r="BD241">
        <v>6.6</v>
      </c>
      <c r="BE241">
        <v>-8.8000000000000007</v>
      </c>
      <c r="BF241">
        <v>5.7</v>
      </c>
      <c r="BG241">
        <v>0</v>
      </c>
      <c r="BH241">
        <v>0</v>
      </c>
      <c r="BI241">
        <v>-0.33</v>
      </c>
      <c r="BJ241">
        <v>0</v>
      </c>
      <c r="BK241">
        <v>1.91</v>
      </c>
      <c r="BL241">
        <v>-3.57</v>
      </c>
      <c r="BM241">
        <v>0.97</v>
      </c>
      <c r="BN241">
        <v>0</v>
      </c>
      <c r="BO241">
        <v>0</v>
      </c>
      <c r="BP241">
        <v>6895</v>
      </c>
      <c r="BQ241" cm="1">
        <f t="array" ref="BQ241:CH241">VLOOKUP(A241,battedball_pitchers_2019!A:U,{3,4,5,6,7,8,9,10,11,12,13,14,15,16,17,18,19,20},FALSE)</f>
        <v>0.26600000000000001</v>
      </c>
      <c r="BR241">
        <v>0.78</v>
      </c>
      <c r="BS241">
        <v>0.20300000000000001</v>
      </c>
      <c r="BT241">
        <v>0.35</v>
      </c>
      <c r="BU241">
        <v>0.44700000000000001</v>
      </c>
      <c r="BV241">
        <v>0.122</v>
      </c>
      <c r="BW241">
        <v>0.128</v>
      </c>
      <c r="BX241">
        <v>74</v>
      </c>
      <c r="BY241">
        <v>4.79</v>
      </c>
      <c r="BZ241">
        <v>844</v>
      </c>
      <c r="CA241">
        <v>1548</v>
      </c>
      <c r="CB241">
        <v>2392</v>
      </c>
      <c r="CC241">
        <v>0.36799999999999999</v>
      </c>
      <c r="CD241">
        <v>0.35099999999999998</v>
      </c>
      <c r="CE241">
        <v>0.28000000000000003</v>
      </c>
      <c r="CF241">
        <v>0.19</v>
      </c>
      <c r="CG241">
        <v>0.434</v>
      </c>
      <c r="CH241">
        <v>0.376</v>
      </c>
      <c r="CI241" cm="1">
        <f t="array" ref="CI241:CS241">VLOOKUP(A241,verticalmove_pitchers_2019!A:N,{3,4,5,6,7,8,9,10,11,12,13},FALSE)</f>
        <v>139</v>
      </c>
      <c r="CJ241">
        <v>9.1999999999999993</v>
      </c>
      <c r="CK241">
        <v>6.8</v>
      </c>
      <c r="CL241">
        <v>0</v>
      </c>
      <c r="CM241">
        <v>7.6</v>
      </c>
      <c r="CN241">
        <v>5.9</v>
      </c>
      <c r="CO241">
        <v>0</v>
      </c>
      <c r="CP241">
        <v>-8.5</v>
      </c>
      <c r="CQ241">
        <v>0</v>
      </c>
      <c r="CR241">
        <v>0</v>
      </c>
      <c r="CS241">
        <v>0</v>
      </c>
      <c r="CT241" cm="1">
        <f t="array" ref="CT241:DD241">VLOOKUP(A241,velocity_pitchers_2019!A:N,{3,4,5,6,7,8,9,10,11,12,13},FALSE)</f>
        <v>139</v>
      </c>
      <c r="CU241">
        <v>93.6</v>
      </c>
      <c r="CV241">
        <v>90.8</v>
      </c>
      <c r="CW241">
        <v>0</v>
      </c>
      <c r="CX241">
        <v>93.4</v>
      </c>
      <c r="CY241">
        <v>82.8</v>
      </c>
      <c r="CZ241">
        <v>0</v>
      </c>
      <c r="DA241">
        <v>77.900000000000006</v>
      </c>
      <c r="DB241">
        <v>0</v>
      </c>
      <c r="DC241">
        <v>0</v>
      </c>
      <c r="DD241">
        <v>0</v>
      </c>
    </row>
    <row r="242" spans="1:108" x14ac:dyDescent="0.3">
      <c r="A242" t="s">
        <v>369</v>
      </c>
      <c r="B242" t="str" cm="1">
        <f t="array" ref="B242:Y242">VLOOKUP(A242,standard_pitchers_2019!A:Y,{2,3,4,5,6,7,8,9,10,11,12,13,14,15,16,17,18,19,20,21,22,23,24,25},FALSE)</f>
        <v>Red Sox</v>
      </c>
      <c r="C242">
        <v>2</v>
      </c>
      <c r="D242">
        <v>1</v>
      </c>
      <c r="E242">
        <v>5.99</v>
      </c>
      <c r="F242">
        <v>23</v>
      </c>
      <c r="G242">
        <v>12</v>
      </c>
      <c r="H242">
        <v>0</v>
      </c>
      <c r="I242">
        <v>0</v>
      </c>
      <c r="J242">
        <v>0</v>
      </c>
      <c r="K242">
        <v>4</v>
      </c>
      <c r="L242">
        <v>1</v>
      </c>
      <c r="M242">
        <v>67.2</v>
      </c>
      <c r="N242">
        <v>302</v>
      </c>
      <c r="O242">
        <v>72</v>
      </c>
      <c r="P242">
        <v>46</v>
      </c>
      <c r="Q242">
        <v>45</v>
      </c>
      <c r="R242">
        <v>16</v>
      </c>
      <c r="S242">
        <v>35</v>
      </c>
      <c r="T242">
        <v>0</v>
      </c>
      <c r="U242">
        <v>3</v>
      </c>
      <c r="V242">
        <v>6</v>
      </c>
      <c r="W242">
        <v>0</v>
      </c>
      <c r="X242">
        <v>70</v>
      </c>
      <c r="Y242">
        <v>9132</v>
      </c>
      <c r="Z242" cm="1">
        <f t="array" ref="Z242:AR242">VLOOKUP(A242,advanced_pitchers_2019!A:Y,{3,4,5,6,7,8,9,10,11,12,13,14,15,16,17,18,19,20,21},FALSE)</f>
        <v>9.31</v>
      </c>
      <c r="AA242">
        <v>4.66</v>
      </c>
      <c r="AB242">
        <v>2</v>
      </c>
      <c r="AC242">
        <v>2.13</v>
      </c>
      <c r="AD242">
        <v>0.23200000000000001</v>
      </c>
      <c r="AE242">
        <v>0.11600000000000001</v>
      </c>
      <c r="AF242">
        <v>0.11600000000000001</v>
      </c>
      <c r="AG242">
        <v>0.27300000000000002</v>
      </c>
      <c r="AH242">
        <v>1.58</v>
      </c>
      <c r="AI242">
        <v>0.315</v>
      </c>
      <c r="AJ242">
        <v>0.73099999999999998</v>
      </c>
      <c r="AK242">
        <v>124</v>
      </c>
      <c r="AL242">
        <v>130</v>
      </c>
      <c r="AM242">
        <v>107</v>
      </c>
      <c r="AN242">
        <v>5.99</v>
      </c>
      <c r="AO242">
        <v>5.9</v>
      </c>
      <c r="AP242">
        <v>0.08</v>
      </c>
      <c r="AQ242">
        <v>4.8899999999999997</v>
      </c>
      <c r="AR242">
        <v>4.8600000000000003</v>
      </c>
      <c r="AS242" cm="1">
        <f t="array" ref="AS242:BA242">VLOOKUP(A242,plate_discipline_pitchers_2019!A:L,{3,4,5,6,7,8,9,10,11},FALSE)</f>
        <v>0.28499999999999998</v>
      </c>
      <c r="AT242">
        <v>0.64800000000000002</v>
      </c>
      <c r="AU242">
        <v>0.439</v>
      </c>
      <c r="AV242">
        <v>0.58499999999999996</v>
      </c>
      <c r="AW242">
        <v>0.86199999999999999</v>
      </c>
      <c r="AX242">
        <v>0.75900000000000001</v>
      </c>
      <c r="AY242">
        <v>0.42499999999999999</v>
      </c>
      <c r="AZ242">
        <v>0.65200000000000002</v>
      </c>
      <c r="BA242">
        <v>0.106</v>
      </c>
      <c r="BB242" cm="1">
        <f t="array" ref="BB242:BP242">VLOOKUP(A242,pitchvalue_pitchers_2019!A:Q,{3,4,5,6,7,8,9,10,11,12,13,14,15,16,17},FALSE)</f>
        <v>-4.0999999999999996</v>
      </c>
      <c r="BC242">
        <v>-1.1000000000000001</v>
      </c>
      <c r="BD242">
        <v>-3.7</v>
      </c>
      <c r="BE242">
        <v>-0.5</v>
      </c>
      <c r="BF242">
        <v>0</v>
      </c>
      <c r="BG242">
        <v>-0.8</v>
      </c>
      <c r="BH242">
        <v>0</v>
      </c>
      <c r="BI242">
        <v>-0.74</v>
      </c>
      <c r="BJ242">
        <v>-2.5</v>
      </c>
      <c r="BK242">
        <v>-1.31</v>
      </c>
      <c r="BL242">
        <v>-0.21</v>
      </c>
      <c r="BM242">
        <v>0</v>
      </c>
      <c r="BN242">
        <v>-0.48</v>
      </c>
      <c r="BO242">
        <v>0</v>
      </c>
      <c r="BP242">
        <v>9132</v>
      </c>
      <c r="BQ242" cm="1">
        <f t="array" ref="BQ242:CH242">VLOOKUP(A242,battedball_pitchers_2019!A:U,{3,4,5,6,7,8,9,10,11,12,13,14,15,16,17,18,19,20},FALSE)</f>
        <v>0.315</v>
      </c>
      <c r="BR242">
        <v>1.23</v>
      </c>
      <c r="BS242">
        <v>0.192</v>
      </c>
      <c r="BT242">
        <v>0.44600000000000001</v>
      </c>
      <c r="BU242">
        <v>0.36299999999999999</v>
      </c>
      <c r="BV242">
        <v>4.2999999999999997E-2</v>
      </c>
      <c r="BW242">
        <v>0.22900000000000001</v>
      </c>
      <c r="BX242">
        <v>46</v>
      </c>
      <c r="BY242">
        <v>6.12</v>
      </c>
      <c r="BZ242">
        <v>480</v>
      </c>
      <c r="CA242">
        <v>784</v>
      </c>
      <c r="CB242">
        <v>1264</v>
      </c>
      <c r="CC242">
        <v>0.371</v>
      </c>
      <c r="CD242">
        <v>0.34</v>
      </c>
      <c r="CE242">
        <v>0.28899999999999998</v>
      </c>
      <c r="CF242">
        <v>0.155</v>
      </c>
      <c r="CG242">
        <v>0.47399999999999998</v>
      </c>
      <c r="CH242">
        <v>0.371</v>
      </c>
      <c r="CI242" cm="1">
        <f t="array" ref="CI242:CS242">VLOOKUP(A242,verticalmove_pitchers_2019!A:N,{3,4,5,6,7,8,9,10,11,12,13},FALSE)</f>
        <v>67.2</v>
      </c>
      <c r="CJ242">
        <v>7.8</v>
      </c>
      <c r="CK242">
        <v>4.9000000000000004</v>
      </c>
      <c r="CL242">
        <v>0.3</v>
      </c>
      <c r="CM242">
        <v>0</v>
      </c>
      <c r="CN242">
        <v>0</v>
      </c>
      <c r="CO242">
        <v>-0.3</v>
      </c>
      <c r="CP242">
        <v>-5.7</v>
      </c>
      <c r="CQ242">
        <v>0</v>
      </c>
      <c r="CR242">
        <v>0</v>
      </c>
      <c r="CS242">
        <v>0</v>
      </c>
      <c r="CT242" cm="1">
        <f t="array" ref="CT242:DD242">VLOOKUP(A242,velocity_pitchers_2019!A:N,{3,4,5,6,7,8,9,10,11,12,13},FALSE)</f>
        <v>67.2</v>
      </c>
      <c r="CU242">
        <v>97.7</v>
      </c>
      <c r="CV242">
        <v>93.5</v>
      </c>
      <c r="CW242">
        <v>88.1</v>
      </c>
      <c r="CX242">
        <v>0</v>
      </c>
      <c r="CY242">
        <v>0</v>
      </c>
      <c r="CZ242">
        <v>85.4</v>
      </c>
      <c r="DA242">
        <v>80.7</v>
      </c>
      <c r="DB242">
        <v>0</v>
      </c>
      <c r="DC242">
        <v>0</v>
      </c>
      <c r="DD242">
        <v>0</v>
      </c>
    </row>
    <row r="243" spans="1:108" x14ac:dyDescent="0.3">
      <c r="A243" t="s">
        <v>336</v>
      </c>
      <c r="B243" t="str" cm="1">
        <f t="array" ref="B243:Y243">VLOOKUP(A243,standard_pitchers_2019!A:Y,{2,3,4,5,6,7,8,9,10,11,12,13,14,15,16,17,18,19,20,21,22,23,24,25},FALSE)</f>
        <v>White Sox</v>
      </c>
      <c r="C243">
        <v>10</v>
      </c>
      <c r="D243">
        <v>15</v>
      </c>
      <c r="E243">
        <v>5.38</v>
      </c>
      <c r="F243">
        <v>33</v>
      </c>
      <c r="G243">
        <v>33</v>
      </c>
      <c r="H243">
        <v>1</v>
      </c>
      <c r="I243">
        <v>0</v>
      </c>
      <c r="J243">
        <v>0</v>
      </c>
      <c r="K243">
        <v>0</v>
      </c>
      <c r="L243">
        <v>0</v>
      </c>
      <c r="M243">
        <v>184</v>
      </c>
      <c r="N243">
        <v>809</v>
      </c>
      <c r="O243">
        <v>203</v>
      </c>
      <c r="P243">
        <v>119</v>
      </c>
      <c r="Q243">
        <v>110</v>
      </c>
      <c r="R243">
        <v>35</v>
      </c>
      <c r="S243">
        <v>65</v>
      </c>
      <c r="T243">
        <v>0</v>
      </c>
      <c r="U243">
        <v>8</v>
      </c>
      <c r="V243">
        <v>5</v>
      </c>
      <c r="W243">
        <v>2</v>
      </c>
      <c r="X243">
        <v>169</v>
      </c>
      <c r="Y243">
        <v>16400</v>
      </c>
      <c r="Z243" cm="1">
        <f t="array" ref="Z243:AR243">VLOOKUP(A243,advanced_pitchers_2019!A:Y,{3,4,5,6,7,8,9,10,11,12,13,14,15,16,17,18,19,20,21},FALSE)</f>
        <v>8.27</v>
      </c>
      <c r="AA243">
        <v>3.18</v>
      </c>
      <c r="AB243">
        <v>2.6</v>
      </c>
      <c r="AC243">
        <v>1.71</v>
      </c>
      <c r="AD243">
        <v>0.20899999999999999</v>
      </c>
      <c r="AE243">
        <v>0.08</v>
      </c>
      <c r="AF243">
        <v>0.129</v>
      </c>
      <c r="AG243">
        <v>0.27600000000000002</v>
      </c>
      <c r="AH243">
        <v>1.46</v>
      </c>
      <c r="AI243">
        <v>0.316</v>
      </c>
      <c r="AJ243">
        <v>0.69199999999999995</v>
      </c>
      <c r="AK243">
        <v>119</v>
      </c>
      <c r="AL243">
        <v>108</v>
      </c>
      <c r="AM243">
        <v>115</v>
      </c>
      <c r="AN243">
        <v>5.38</v>
      </c>
      <c r="AO243">
        <v>5.04</v>
      </c>
      <c r="AP243">
        <v>0.34</v>
      </c>
      <c r="AQ243">
        <v>5.27</v>
      </c>
      <c r="AR243">
        <v>4.88</v>
      </c>
      <c r="AS243" cm="1">
        <f t="array" ref="AS243:BA243">VLOOKUP(A243,plate_discipline_pitchers_2019!A:L,{3,4,5,6,7,8,9,10,11},FALSE)</f>
        <v>0.28899999999999998</v>
      </c>
      <c r="AT243">
        <v>0.71099999999999997</v>
      </c>
      <c r="AU243">
        <v>0.48599999999999999</v>
      </c>
      <c r="AV243">
        <v>0.64900000000000002</v>
      </c>
      <c r="AW243">
        <v>0.83099999999999996</v>
      </c>
      <c r="AX243">
        <v>0.77300000000000002</v>
      </c>
      <c r="AY243">
        <v>0.46800000000000003</v>
      </c>
      <c r="AZ243">
        <v>0.60099999999999998</v>
      </c>
      <c r="BA243">
        <v>0.11</v>
      </c>
      <c r="BB243" cm="1">
        <f t="array" ref="BB243:BP243">VLOOKUP(A243,pitchvalue_pitchers_2019!A:Q,{3,4,5,6,7,8,9,10,11,12,13,14,15,16,17},FALSE)</f>
        <v>-4.0999999999999996</v>
      </c>
      <c r="BC243">
        <v>-4.7</v>
      </c>
      <c r="BD243">
        <v>0</v>
      </c>
      <c r="BE243">
        <v>-2.7</v>
      </c>
      <c r="BF243">
        <v>-5.7</v>
      </c>
      <c r="BG243">
        <v>0</v>
      </c>
      <c r="BH243">
        <v>0</v>
      </c>
      <c r="BI243">
        <v>-0.22</v>
      </c>
      <c r="BJ243">
        <v>-0.75</v>
      </c>
      <c r="BK243">
        <v>0</v>
      </c>
      <c r="BL243">
        <v>-1.31</v>
      </c>
      <c r="BM243">
        <v>-1.22</v>
      </c>
      <c r="BN243">
        <v>0</v>
      </c>
      <c r="BO243">
        <v>0</v>
      </c>
      <c r="BP243">
        <v>16400</v>
      </c>
      <c r="BQ243" cm="1">
        <f t="array" ref="BQ243:CH243">VLOOKUP(A243,battedball_pitchers_2019!A:U,{3,4,5,6,7,8,9,10,11,12,13,14,15,16,17,18,19,20},FALSE)</f>
        <v>0.316</v>
      </c>
      <c r="BR243">
        <v>0.79</v>
      </c>
      <c r="BS243">
        <v>0.20699999999999999</v>
      </c>
      <c r="BT243">
        <v>0.35</v>
      </c>
      <c r="BU243">
        <v>0.442</v>
      </c>
      <c r="BV243">
        <v>0.14399999999999999</v>
      </c>
      <c r="BW243">
        <v>0.14000000000000001</v>
      </c>
      <c r="BX243">
        <v>99</v>
      </c>
      <c r="BY243">
        <v>4.84</v>
      </c>
      <c r="BZ243">
        <v>1123</v>
      </c>
      <c r="CA243">
        <v>2040</v>
      </c>
      <c r="CB243">
        <v>3163</v>
      </c>
      <c r="CC243">
        <v>0.36899999999999999</v>
      </c>
      <c r="CD243">
        <v>0.34200000000000003</v>
      </c>
      <c r="CE243">
        <v>0.28899999999999998</v>
      </c>
      <c r="CF243">
        <v>0.19600000000000001</v>
      </c>
      <c r="CG243">
        <v>0.45300000000000001</v>
      </c>
      <c r="CH243">
        <v>0.35099999999999998</v>
      </c>
      <c r="CI243" cm="1">
        <f t="array" ref="CI243:CS243">VLOOKUP(A243,verticalmove_pitchers_2019!A:N,{3,4,5,6,7,8,9,10,11,12,13},FALSE)</f>
        <v>184</v>
      </c>
      <c r="CJ243">
        <v>8.1999999999999993</v>
      </c>
      <c r="CK243">
        <v>7.3</v>
      </c>
      <c r="CL243">
        <v>0</v>
      </c>
      <c r="CM243">
        <v>6.3</v>
      </c>
      <c r="CN243">
        <v>5.6</v>
      </c>
      <c r="CO243">
        <v>1.1000000000000001</v>
      </c>
      <c r="CP243">
        <v>-3.1</v>
      </c>
      <c r="CQ243">
        <v>0</v>
      </c>
      <c r="CR243">
        <v>0</v>
      </c>
      <c r="CS243">
        <v>0</v>
      </c>
      <c r="CT243" cm="1">
        <f t="array" ref="CT243:DD243">VLOOKUP(A243,velocity_pitchers_2019!A:N,{3,4,5,6,7,8,9,10,11,12,13},FALSE)</f>
        <v>184</v>
      </c>
      <c r="CU243">
        <v>95.8</v>
      </c>
      <c r="CV243">
        <v>96.9</v>
      </c>
      <c r="CW243">
        <v>0</v>
      </c>
      <c r="CX243">
        <v>95.9</v>
      </c>
      <c r="CY243">
        <v>84.4</v>
      </c>
      <c r="CZ243">
        <v>84.3</v>
      </c>
      <c r="DA243">
        <v>77.900000000000006</v>
      </c>
      <c r="DB243">
        <v>0</v>
      </c>
      <c r="DC243">
        <v>0</v>
      </c>
      <c r="DD243">
        <v>0</v>
      </c>
    </row>
    <row r="244" spans="1:108" x14ac:dyDescent="0.3">
      <c r="A244" t="s">
        <v>64</v>
      </c>
      <c r="B244" t="str" cm="1">
        <f t="array" ref="B244:Y244">VLOOKUP(A244,standard_pitchers_2019!A:Y,{2,3,4,5,6,7,8,9,10,11,12,13,14,15,16,17,18,19,20,21,22,23,24,25},FALSE)</f>
        <v>White Sox</v>
      </c>
      <c r="C244">
        <v>4</v>
      </c>
      <c r="D244">
        <v>2</v>
      </c>
      <c r="E244">
        <v>2.4900000000000002</v>
      </c>
      <c r="F244">
        <v>55</v>
      </c>
      <c r="G244">
        <v>0</v>
      </c>
      <c r="H244">
        <v>0</v>
      </c>
      <c r="I244">
        <v>0</v>
      </c>
      <c r="J244">
        <v>0</v>
      </c>
      <c r="K244">
        <v>19</v>
      </c>
      <c r="L244">
        <v>4</v>
      </c>
      <c r="M244">
        <v>50.2</v>
      </c>
      <c r="N244">
        <v>209</v>
      </c>
      <c r="O244">
        <v>42</v>
      </c>
      <c r="P244">
        <v>16</v>
      </c>
      <c r="Q244">
        <v>14</v>
      </c>
      <c r="R244">
        <v>5</v>
      </c>
      <c r="S244">
        <v>24</v>
      </c>
      <c r="T244">
        <v>2</v>
      </c>
      <c r="U244">
        <v>0</v>
      </c>
      <c r="V244">
        <v>1</v>
      </c>
      <c r="W244">
        <v>0</v>
      </c>
      <c r="X244">
        <v>41</v>
      </c>
      <c r="Y244">
        <v>12297</v>
      </c>
      <c r="Z244" cm="1">
        <f t="array" ref="Z244:AR244">VLOOKUP(A244,advanced_pitchers_2019!A:Y,{3,4,5,6,7,8,9,10,11,12,13,14,15,16,17,18,19,20,21},FALSE)</f>
        <v>7.28</v>
      </c>
      <c r="AA244">
        <v>4.26</v>
      </c>
      <c r="AB244">
        <v>1.71</v>
      </c>
      <c r="AC244">
        <v>0.89</v>
      </c>
      <c r="AD244">
        <v>0.19600000000000001</v>
      </c>
      <c r="AE244">
        <v>0.115</v>
      </c>
      <c r="AF244">
        <v>8.1000000000000003E-2</v>
      </c>
      <c r="AG244">
        <v>0.22700000000000001</v>
      </c>
      <c r="AH244">
        <v>1.3</v>
      </c>
      <c r="AI244">
        <v>0.26600000000000001</v>
      </c>
      <c r="AJ244">
        <v>0.84699999999999998</v>
      </c>
      <c r="AK244">
        <v>55</v>
      </c>
      <c r="AL244">
        <v>93</v>
      </c>
      <c r="AM244">
        <v>102</v>
      </c>
      <c r="AN244">
        <v>2.4900000000000002</v>
      </c>
      <c r="AO244">
        <v>4.3</v>
      </c>
      <c r="AP244">
        <v>-1.81</v>
      </c>
      <c r="AQ244">
        <v>4.67</v>
      </c>
      <c r="AR244">
        <v>4.8099999999999996</v>
      </c>
      <c r="AS244" cm="1">
        <f t="array" ref="AS244:BA244">VLOOKUP(A244,plate_discipline_pitchers_2019!A:L,{3,4,5,6,7,8,9,10,11},FALSE)</f>
        <v>0.39500000000000002</v>
      </c>
      <c r="AT244">
        <v>0.63900000000000001</v>
      </c>
      <c r="AU244">
        <v>0.47799999999999998</v>
      </c>
      <c r="AV244">
        <v>0.69599999999999995</v>
      </c>
      <c r="AW244">
        <v>0.84099999999999997</v>
      </c>
      <c r="AX244">
        <v>0.76200000000000001</v>
      </c>
      <c r="AY244">
        <v>0.34200000000000003</v>
      </c>
      <c r="AZ244">
        <v>0.60299999999999998</v>
      </c>
      <c r="BA244">
        <v>0.114</v>
      </c>
      <c r="BB244" cm="1">
        <f t="array" ref="BB244:BP244">VLOOKUP(A244,pitchvalue_pitchers_2019!A:Q,{3,4,5,6,7,8,9,10,11,12,13,14,15,16,17},FALSE)</f>
        <v>-4.0999999999999996</v>
      </c>
      <c r="BC244">
        <v>0</v>
      </c>
      <c r="BD244">
        <v>0</v>
      </c>
      <c r="BE244">
        <v>1.6</v>
      </c>
      <c r="BF244">
        <v>9.6</v>
      </c>
      <c r="BG244">
        <v>0</v>
      </c>
      <c r="BH244">
        <v>0</v>
      </c>
      <c r="BI244">
        <v>-1.1299999999999999</v>
      </c>
      <c r="BJ244">
        <v>0</v>
      </c>
      <c r="BK244">
        <v>0</v>
      </c>
      <c r="BL244">
        <v>1.1599999999999999</v>
      </c>
      <c r="BM244">
        <v>2.92</v>
      </c>
      <c r="BN244">
        <v>0</v>
      </c>
      <c r="BO244">
        <v>0</v>
      </c>
      <c r="BP244">
        <v>12297</v>
      </c>
      <c r="BQ244" cm="1">
        <f t="array" ref="BQ244:CH244">VLOOKUP(A244,battedball_pitchers_2019!A:U,{3,4,5,6,7,8,9,10,11,12,13,14,15,16,17,18,19,20},FALSE)</f>
        <v>0.26600000000000001</v>
      </c>
      <c r="BR244">
        <v>1.74</v>
      </c>
      <c r="BS244">
        <v>0.19</v>
      </c>
      <c r="BT244">
        <v>0.51400000000000001</v>
      </c>
      <c r="BU244">
        <v>0.29599999999999999</v>
      </c>
      <c r="BV244">
        <v>0.11899999999999999</v>
      </c>
      <c r="BW244">
        <v>0.11899999999999999</v>
      </c>
      <c r="BX244">
        <v>30</v>
      </c>
      <c r="BY244">
        <v>5.33</v>
      </c>
      <c r="BZ244">
        <v>306</v>
      </c>
      <c r="CA244">
        <v>528</v>
      </c>
      <c r="CB244">
        <v>834</v>
      </c>
      <c r="CC244">
        <v>0.5</v>
      </c>
      <c r="CD244">
        <v>0.27800000000000002</v>
      </c>
      <c r="CE244">
        <v>0.222</v>
      </c>
      <c r="CF244">
        <v>0.20799999999999999</v>
      </c>
      <c r="CG244">
        <v>0.53500000000000003</v>
      </c>
      <c r="CH244">
        <v>0.25700000000000001</v>
      </c>
      <c r="CI244" cm="1">
        <f t="array" ref="CI244:CS244">VLOOKUP(A244,verticalmove_pitchers_2019!A:N,{3,4,5,6,7,8,9,10,11,12,13},FALSE)</f>
        <v>50.2</v>
      </c>
      <c r="CJ244">
        <v>7.4</v>
      </c>
      <c r="CK244">
        <v>0</v>
      </c>
      <c r="CL244">
        <v>0</v>
      </c>
      <c r="CM244">
        <v>3.8</v>
      </c>
      <c r="CN244">
        <v>0.3</v>
      </c>
      <c r="CO244">
        <v>-5.3</v>
      </c>
      <c r="CP244">
        <v>0</v>
      </c>
      <c r="CQ244">
        <v>0</v>
      </c>
      <c r="CR244">
        <v>0</v>
      </c>
      <c r="CS244">
        <v>0</v>
      </c>
      <c r="CT244" cm="1">
        <f t="array" ref="CT244:DD244">VLOOKUP(A244,velocity_pitchers_2019!A:N,{3,4,5,6,7,8,9,10,11,12,13},FALSE)</f>
        <v>50.2</v>
      </c>
      <c r="CU244">
        <v>93.9</v>
      </c>
      <c r="CV244">
        <v>0</v>
      </c>
      <c r="CW244">
        <v>0</v>
      </c>
      <c r="CX244">
        <v>93.6</v>
      </c>
      <c r="CY244">
        <v>87.8</v>
      </c>
      <c r="CZ244">
        <v>83.3</v>
      </c>
      <c r="DA244">
        <v>0</v>
      </c>
      <c r="DB244">
        <v>0</v>
      </c>
      <c r="DC244">
        <v>0</v>
      </c>
      <c r="DD244">
        <v>0</v>
      </c>
    </row>
    <row r="245" spans="1:108" x14ac:dyDescent="0.3">
      <c r="A245" t="s">
        <v>269</v>
      </c>
      <c r="B245" t="str" cm="1">
        <f t="array" ref="B245:Y245">VLOOKUP(A245,standard_pitchers_2019!A:Y,{2,3,4,5,6,7,8,9,10,11,12,13,14,15,16,17,18,19,20,21,22,23,24,25},FALSE)</f>
        <v>Blue Jays</v>
      </c>
      <c r="C245">
        <v>4</v>
      </c>
      <c r="D245">
        <v>2</v>
      </c>
      <c r="E245">
        <v>4.6100000000000003</v>
      </c>
      <c r="F245">
        <v>52</v>
      </c>
      <c r="G245">
        <v>0</v>
      </c>
      <c r="H245">
        <v>0</v>
      </c>
      <c r="I245">
        <v>0</v>
      </c>
      <c r="J245">
        <v>0</v>
      </c>
      <c r="K245">
        <v>3</v>
      </c>
      <c r="L245">
        <v>0</v>
      </c>
      <c r="M245">
        <v>95.2</v>
      </c>
      <c r="N245">
        <v>392</v>
      </c>
      <c r="O245">
        <v>85</v>
      </c>
      <c r="P245">
        <v>51</v>
      </c>
      <c r="Q245">
        <v>49</v>
      </c>
      <c r="R245">
        <v>18</v>
      </c>
      <c r="S245">
        <v>22</v>
      </c>
      <c r="T245">
        <v>0</v>
      </c>
      <c r="U245">
        <v>4</v>
      </c>
      <c r="V245">
        <v>0</v>
      </c>
      <c r="W245">
        <v>1</v>
      </c>
      <c r="X245">
        <v>88</v>
      </c>
      <c r="Y245">
        <v>12778</v>
      </c>
      <c r="Z245" cm="1">
        <f t="array" ref="Z245:AR245">VLOOKUP(A245,advanced_pitchers_2019!A:Y,{3,4,5,6,7,8,9,10,11,12,13,14,15,16,17,18,19,20,21},FALSE)</f>
        <v>8.2799999999999994</v>
      </c>
      <c r="AA245">
        <v>2.0699999999999998</v>
      </c>
      <c r="AB245">
        <v>4</v>
      </c>
      <c r="AC245">
        <v>1.69</v>
      </c>
      <c r="AD245">
        <v>0.224</v>
      </c>
      <c r="AE245">
        <v>5.6000000000000001E-2</v>
      </c>
      <c r="AF245">
        <v>0.16800000000000001</v>
      </c>
      <c r="AG245">
        <v>0.23200000000000001</v>
      </c>
      <c r="AH245">
        <v>1.1200000000000001</v>
      </c>
      <c r="AI245">
        <v>0.25800000000000001</v>
      </c>
      <c r="AJ245">
        <v>0.69899999999999995</v>
      </c>
      <c r="AK245">
        <v>100</v>
      </c>
      <c r="AL245">
        <v>100</v>
      </c>
      <c r="AM245">
        <v>94</v>
      </c>
      <c r="AN245">
        <v>4.6100000000000003</v>
      </c>
      <c r="AO245">
        <v>4.6399999999999997</v>
      </c>
      <c r="AP245">
        <v>-0.03</v>
      </c>
      <c r="AQ245">
        <v>4.3099999999999996</v>
      </c>
      <c r="AR245">
        <v>3.88</v>
      </c>
      <c r="AS245" cm="1">
        <f t="array" ref="AS245:BA245">VLOOKUP(A245,plate_discipline_pitchers_2019!A:L,{3,4,5,6,7,8,9,10,11},FALSE)</f>
        <v>0.314</v>
      </c>
      <c r="AT245">
        <v>0.623</v>
      </c>
      <c r="AU245">
        <v>0.44800000000000001</v>
      </c>
      <c r="AV245">
        <v>0.55300000000000005</v>
      </c>
      <c r="AW245">
        <v>0.86499999999999999</v>
      </c>
      <c r="AX245">
        <v>0.74</v>
      </c>
      <c r="AY245">
        <v>0.432</v>
      </c>
      <c r="AZ245">
        <v>0.66300000000000003</v>
      </c>
      <c r="BA245">
        <v>0.11600000000000001</v>
      </c>
      <c r="BB245" cm="1">
        <f t="array" ref="BB245:BP245">VLOOKUP(A245,pitchvalue_pitchers_2019!A:Q,{3,4,5,6,7,8,9,10,11,12,13,14,15,16,17},FALSE)</f>
        <v>-4.2</v>
      </c>
      <c r="BC245">
        <v>8.1</v>
      </c>
      <c r="BD245">
        <v>0</v>
      </c>
      <c r="BE245">
        <v>-1.8</v>
      </c>
      <c r="BF245">
        <v>0</v>
      </c>
      <c r="BG245">
        <v>2.2999999999999998</v>
      </c>
      <c r="BH245">
        <v>0</v>
      </c>
      <c r="BI245">
        <v>-0.69</v>
      </c>
      <c r="BJ245">
        <v>1.3</v>
      </c>
      <c r="BK245">
        <v>0</v>
      </c>
      <c r="BL245">
        <v>-3.54</v>
      </c>
      <c r="BM245">
        <v>0</v>
      </c>
      <c r="BN245">
        <v>1.56</v>
      </c>
      <c r="BO245">
        <v>0</v>
      </c>
      <c r="BP245">
        <v>12778</v>
      </c>
      <c r="BQ245" cm="1">
        <f t="array" ref="BQ245:CH245">VLOOKUP(A245,battedball_pitchers_2019!A:U,{3,4,5,6,7,8,9,10,11,12,13,14,15,16,17,18,19,20},FALSE)</f>
        <v>0.25800000000000001</v>
      </c>
      <c r="BR245">
        <v>1.28</v>
      </c>
      <c r="BS245">
        <v>0.159</v>
      </c>
      <c r="BT245">
        <v>0.47299999999999998</v>
      </c>
      <c r="BU245">
        <v>0.36799999999999999</v>
      </c>
      <c r="BV245">
        <v>7.8E-2</v>
      </c>
      <c r="BW245">
        <v>0.17599999999999999</v>
      </c>
      <c r="BX245">
        <v>45</v>
      </c>
      <c r="BY245">
        <v>4.2300000000000004</v>
      </c>
      <c r="BZ245">
        <v>488</v>
      </c>
      <c r="CA245">
        <v>939</v>
      </c>
      <c r="CB245">
        <v>1427</v>
      </c>
      <c r="CC245">
        <v>0.45300000000000001</v>
      </c>
      <c r="CD245">
        <v>0.317</v>
      </c>
      <c r="CE245">
        <v>0.23</v>
      </c>
      <c r="CF245">
        <v>0.158</v>
      </c>
      <c r="CG245">
        <v>0.496</v>
      </c>
      <c r="CH245">
        <v>0.34499999999999997</v>
      </c>
      <c r="CI245" cm="1">
        <f t="array" ref="CI245:CS245">VLOOKUP(A245,verticalmove_pitchers_2019!A:N,{3,4,5,6,7,8,9,10,11,12,13},FALSE)</f>
        <v>95.2</v>
      </c>
      <c r="CJ245">
        <v>5.9</v>
      </c>
      <c r="CK245">
        <v>0</v>
      </c>
      <c r="CL245">
        <v>0</v>
      </c>
      <c r="CM245">
        <v>3.8</v>
      </c>
      <c r="CN245">
        <v>1.3</v>
      </c>
      <c r="CO245">
        <v>1.6</v>
      </c>
      <c r="CP245">
        <v>-2.8</v>
      </c>
      <c r="CQ245">
        <v>0</v>
      </c>
      <c r="CR245">
        <v>0</v>
      </c>
      <c r="CS245">
        <v>0</v>
      </c>
      <c r="CT245" cm="1">
        <f t="array" ref="CT245:DD245">VLOOKUP(A245,velocity_pitchers_2019!A:N,{3,4,5,6,7,8,9,10,11,12,13},FALSE)</f>
        <v>95.2</v>
      </c>
      <c r="CU245">
        <v>89.5</v>
      </c>
      <c r="CV245">
        <v>0</v>
      </c>
      <c r="CW245">
        <v>0</v>
      </c>
      <c r="CX245">
        <v>89.6</v>
      </c>
      <c r="CY245">
        <v>82.9</v>
      </c>
      <c r="CZ245">
        <v>84.6</v>
      </c>
      <c r="DA245">
        <v>80.3</v>
      </c>
      <c r="DB245">
        <v>0</v>
      </c>
      <c r="DC245">
        <v>0</v>
      </c>
      <c r="DD245">
        <v>0</v>
      </c>
    </row>
    <row r="246" spans="1:108" x14ac:dyDescent="0.3">
      <c r="A246" t="s">
        <v>359</v>
      </c>
      <c r="B246" t="str" cm="1">
        <f t="array" ref="B246:Y246">VLOOKUP(A246,standard_pitchers_2019!A:Y,{2,3,4,5,6,7,8,9,10,11,12,13,14,15,16,17,18,19,20,21,22,23,24,25},FALSE)</f>
        <v>Tigers</v>
      </c>
      <c r="C246">
        <v>0</v>
      </c>
      <c r="D246">
        <v>5</v>
      </c>
      <c r="E246">
        <v>5.77</v>
      </c>
      <c r="F246">
        <v>33</v>
      </c>
      <c r="G246">
        <v>7</v>
      </c>
      <c r="H246">
        <v>0</v>
      </c>
      <c r="I246">
        <v>0</v>
      </c>
      <c r="J246">
        <v>0</v>
      </c>
      <c r="K246">
        <v>2</v>
      </c>
      <c r="L246">
        <v>1</v>
      </c>
      <c r="M246">
        <v>57.2</v>
      </c>
      <c r="N246">
        <v>276</v>
      </c>
      <c r="O246">
        <v>74</v>
      </c>
      <c r="P246">
        <v>39</v>
      </c>
      <c r="Q246">
        <v>37</v>
      </c>
      <c r="R246">
        <v>9</v>
      </c>
      <c r="S246">
        <v>33</v>
      </c>
      <c r="T246">
        <v>1</v>
      </c>
      <c r="U246">
        <v>0</v>
      </c>
      <c r="V246">
        <v>5</v>
      </c>
      <c r="W246">
        <v>0</v>
      </c>
      <c r="X246">
        <v>45</v>
      </c>
      <c r="Y246">
        <v>19677</v>
      </c>
      <c r="Z246" cm="1">
        <f t="array" ref="Z246:AR246">VLOOKUP(A246,advanced_pitchers_2019!A:Y,{3,4,5,6,7,8,9,10,11,12,13,14,15,16,17,18,19,20,21},FALSE)</f>
        <v>7.02</v>
      </c>
      <c r="AA246">
        <v>5.15</v>
      </c>
      <c r="AB246">
        <v>1.36</v>
      </c>
      <c r="AC246">
        <v>1.4</v>
      </c>
      <c r="AD246">
        <v>0.16300000000000001</v>
      </c>
      <c r="AE246">
        <v>0.12</v>
      </c>
      <c r="AF246">
        <v>4.2999999999999997E-2</v>
      </c>
      <c r="AG246">
        <v>0.30499999999999999</v>
      </c>
      <c r="AH246">
        <v>1.86</v>
      </c>
      <c r="AI246">
        <v>0.34399999999999997</v>
      </c>
      <c r="AJ246">
        <v>0.72</v>
      </c>
      <c r="AK246">
        <v>124</v>
      </c>
      <c r="AL246">
        <v>116</v>
      </c>
      <c r="AM246">
        <v>123</v>
      </c>
      <c r="AN246">
        <v>5.77</v>
      </c>
      <c r="AO246">
        <v>5.4</v>
      </c>
      <c r="AP246">
        <v>0.38</v>
      </c>
      <c r="AQ246">
        <v>5.65</v>
      </c>
      <c r="AR246">
        <v>5.52</v>
      </c>
      <c r="AS246" cm="1">
        <f t="array" ref="AS246:BA246">VLOOKUP(A246,plate_discipline_pitchers_2019!A:L,{3,4,5,6,7,8,9,10,11},FALSE)</f>
        <v>0.26</v>
      </c>
      <c r="AT246">
        <v>0.68300000000000005</v>
      </c>
      <c r="AU246">
        <v>0.45800000000000002</v>
      </c>
      <c r="AV246">
        <v>0.68799999999999994</v>
      </c>
      <c r="AW246">
        <v>0.88100000000000001</v>
      </c>
      <c r="AX246">
        <v>0.82299999999999995</v>
      </c>
      <c r="AY246">
        <v>0.46700000000000003</v>
      </c>
      <c r="AZ246">
        <v>0.55400000000000005</v>
      </c>
      <c r="BA246">
        <v>8.1000000000000003E-2</v>
      </c>
      <c r="BB246" cm="1">
        <f t="array" ref="BB246:BP246">VLOOKUP(A246,pitchvalue_pitchers_2019!A:Q,{3,4,5,6,7,8,9,10,11,12,13,14,15,16,17},FALSE)</f>
        <v>-4.3</v>
      </c>
      <c r="BC246">
        <v>-7.1</v>
      </c>
      <c r="BD246">
        <v>0</v>
      </c>
      <c r="BE246">
        <v>0</v>
      </c>
      <c r="BF246">
        <v>-2.5</v>
      </c>
      <c r="BG246">
        <v>0</v>
      </c>
      <c r="BH246">
        <v>0</v>
      </c>
      <c r="BI246">
        <v>-0.55000000000000004</v>
      </c>
      <c r="BJ246">
        <v>-2.68</v>
      </c>
      <c r="BK246">
        <v>0</v>
      </c>
      <c r="BL246">
        <v>0</v>
      </c>
      <c r="BM246">
        <v>-4.0199999999999996</v>
      </c>
      <c r="BN246">
        <v>0</v>
      </c>
      <c r="BO246">
        <v>0</v>
      </c>
      <c r="BP246">
        <v>19677</v>
      </c>
      <c r="BQ246" cm="1">
        <f t="array" ref="BQ246:CH246">VLOOKUP(A246,battedball_pitchers_2019!A:U,{3,4,5,6,7,8,9,10,11,12,13,14,15,16,17,18,19,20},FALSE)</f>
        <v>0.34399999999999997</v>
      </c>
      <c r="BR246">
        <v>1.42</v>
      </c>
      <c r="BS246">
        <v>0.188</v>
      </c>
      <c r="BT246">
        <v>0.47699999999999998</v>
      </c>
      <c r="BU246">
        <v>0.33500000000000002</v>
      </c>
      <c r="BV246">
        <v>6.0999999999999999E-2</v>
      </c>
      <c r="BW246">
        <v>0.13600000000000001</v>
      </c>
      <c r="BX246">
        <v>15</v>
      </c>
      <c r="BY246">
        <v>2.34</v>
      </c>
      <c r="BZ246">
        <v>422</v>
      </c>
      <c r="CA246">
        <v>688</v>
      </c>
      <c r="CB246">
        <v>1110</v>
      </c>
      <c r="CC246">
        <v>0.313</v>
      </c>
      <c r="CD246">
        <v>0.38900000000000001</v>
      </c>
      <c r="CE246">
        <v>0.29799999999999999</v>
      </c>
      <c r="CF246">
        <v>0.17199999999999999</v>
      </c>
      <c r="CG246">
        <v>0.379</v>
      </c>
      <c r="CH246">
        <v>0.44900000000000001</v>
      </c>
      <c r="CI246" cm="1">
        <f t="array" ref="CI246:CS246">VLOOKUP(A246,verticalmove_pitchers_2019!A:N,{3,4,5,6,7,8,9,10,11,12,13},FALSE)</f>
        <v>57.2</v>
      </c>
      <c r="CJ246">
        <v>7.5</v>
      </c>
      <c r="CK246">
        <v>0</v>
      </c>
      <c r="CL246">
        <v>0</v>
      </c>
      <c r="CM246">
        <v>6.5</v>
      </c>
      <c r="CN246">
        <v>5.3</v>
      </c>
      <c r="CO246">
        <v>1</v>
      </c>
      <c r="CP246">
        <v>0</v>
      </c>
      <c r="CQ246">
        <v>0</v>
      </c>
      <c r="CR246">
        <v>0</v>
      </c>
      <c r="CS246">
        <v>0</v>
      </c>
      <c r="CT246" cm="1">
        <f t="array" ref="CT246:DD246">VLOOKUP(A246,velocity_pitchers_2019!A:N,{3,4,5,6,7,8,9,10,11,12,13},FALSE)</f>
        <v>57.2</v>
      </c>
      <c r="CU246">
        <v>96</v>
      </c>
      <c r="CV246">
        <v>0</v>
      </c>
      <c r="CW246">
        <v>0</v>
      </c>
      <c r="CX246">
        <v>95.7</v>
      </c>
      <c r="CY246">
        <v>88.4</v>
      </c>
      <c r="CZ246">
        <v>85.3</v>
      </c>
      <c r="DA246">
        <v>0</v>
      </c>
      <c r="DB246">
        <v>0</v>
      </c>
      <c r="DC246">
        <v>0</v>
      </c>
      <c r="DD246">
        <v>0</v>
      </c>
    </row>
    <row r="247" spans="1:108" x14ac:dyDescent="0.3">
      <c r="A247" t="s">
        <v>388</v>
      </c>
      <c r="B247" t="str" cm="1">
        <f t="array" ref="B247:Y247">VLOOKUP(A247,standard_pitchers_2019!A:Y,{2,3,4,5,6,7,8,9,10,11,12,13,14,15,16,17,18,19,20,21,22,23,24,25},FALSE)</f>
        <v>Tigers</v>
      </c>
      <c r="C247">
        <v>1</v>
      </c>
      <c r="D247">
        <v>13</v>
      </c>
      <c r="E247">
        <v>6.91</v>
      </c>
      <c r="F247">
        <v>23</v>
      </c>
      <c r="G247">
        <v>23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112</v>
      </c>
      <c r="N247">
        <v>504</v>
      </c>
      <c r="O247">
        <v>145</v>
      </c>
      <c r="P247">
        <v>89</v>
      </c>
      <c r="Q247">
        <v>86</v>
      </c>
      <c r="R247">
        <v>19</v>
      </c>
      <c r="S247">
        <v>25</v>
      </c>
      <c r="T247">
        <v>2</v>
      </c>
      <c r="U247">
        <v>6</v>
      </c>
      <c r="V247">
        <v>3</v>
      </c>
      <c r="W247">
        <v>0</v>
      </c>
      <c r="X247">
        <v>82</v>
      </c>
      <c r="Y247">
        <v>4505</v>
      </c>
      <c r="Z247" cm="1">
        <f t="array" ref="Z247:AR247">VLOOKUP(A247,advanced_pitchers_2019!A:Y,{3,4,5,6,7,8,9,10,11,12,13,14,15,16,17,18,19,20,21},FALSE)</f>
        <v>6.59</v>
      </c>
      <c r="AA247">
        <v>2.0099999999999998</v>
      </c>
      <c r="AB247">
        <v>3.28</v>
      </c>
      <c r="AC247">
        <v>1.53</v>
      </c>
      <c r="AD247">
        <v>0.16300000000000001</v>
      </c>
      <c r="AE247">
        <v>0.05</v>
      </c>
      <c r="AF247">
        <v>0.113</v>
      </c>
      <c r="AG247">
        <v>0.307</v>
      </c>
      <c r="AH247">
        <v>1.52</v>
      </c>
      <c r="AI247">
        <v>0.33900000000000002</v>
      </c>
      <c r="AJ247">
        <v>0.58199999999999996</v>
      </c>
      <c r="AK247">
        <v>148</v>
      </c>
      <c r="AL247">
        <v>103</v>
      </c>
      <c r="AM247">
        <v>106</v>
      </c>
      <c r="AN247">
        <v>6.91</v>
      </c>
      <c r="AO247">
        <v>4.79</v>
      </c>
      <c r="AP247">
        <v>2.13</v>
      </c>
      <c r="AQ247">
        <v>4.87</v>
      </c>
      <c r="AR247">
        <v>4.93</v>
      </c>
      <c r="AS247" cm="1">
        <f t="array" ref="AS247:BA247">VLOOKUP(A247,plate_discipline_pitchers_2019!A:L,{3,4,5,6,7,8,9,10,11},FALSE)</f>
        <v>0.34</v>
      </c>
      <c r="AT247">
        <v>0.65</v>
      </c>
      <c r="AU247">
        <v>0.46500000000000002</v>
      </c>
      <c r="AV247">
        <v>0.70099999999999996</v>
      </c>
      <c r="AW247">
        <v>0.90800000000000003</v>
      </c>
      <c r="AX247">
        <v>0.81799999999999995</v>
      </c>
      <c r="AY247">
        <v>0.40400000000000003</v>
      </c>
      <c r="AZ247">
        <v>0.63700000000000001</v>
      </c>
      <c r="BA247">
        <v>8.5000000000000006E-2</v>
      </c>
      <c r="BB247" cm="1">
        <f t="array" ref="BB247:BP247">VLOOKUP(A247,pitchvalue_pitchers_2019!A:Q,{3,4,5,6,7,8,9,10,11,12,13,14,15,16,17},FALSE)</f>
        <v>-4.3</v>
      </c>
      <c r="BC247">
        <v>-8.6999999999999993</v>
      </c>
      <c r="BD247">
        <v>0</v>
      </c>
      <c r="BE247">
        <v>-5.9</v>
      </c>
      <c r="BF247">
        <v>0</v>
      </c>
      <c r="BG247">
        <v>0.1</v>
      </c>
      <c r="BH247">
        <v>0</v>
      </c>
      <c r="BI247">
        <v>-0.5</v>
      </c>
      <c r="BJ247">
        <v>-1.49</v>
      </c>
      <c r="BK247">
        <v>0</v>
      </c>
      <c r="BL247">
        <v>-1.62</v>
      </c>
      <c r="BM247">
        <v>0</v>
      </c>
      <c r="BN247">
        <v>0.28000000000000003</v>
      </c>
      <c r="BO247">
        <v>0</v>
      </c>
      <c r="BP247">
        <v>4505</v>
      </c>
      <c r="BQ247" cm="1">
        <f t="array" ref="BQ247:CH247">VLOOKUP(A247,battedball_pitchers_2019!A:U,{3,4,5,6,7,8,9,10,11,12,13,14,15,16,17,18,19,20},FALSE)</f>
        <v>0.33900000000000002</v>
      </c>
      <c r="BR247">
        <v>1.25</v>
      </c>
      <c r="BS247">
        <v>0.245</v>
      </c>
      <c r="BT247">
        <v>0.41899999999999998</v>
      </c>
      <c r="BU247">
        <v>0.33600000000000002</v>
      </c>
      <c r="BV247">
        <v>9.2999999999999999E-2</v>
      </c>
      <c r="BW247">
        <v>0.14699999999999999</v>
      </c>
      <c r="BX247">
        <v>43</v>
      </c>
      <c r="BY247">
        <v>3.46</v>
      </c>
      <c r="BZ247">
        <v>653</v>
      </c>
      <c r="CA247">
        <v>1213</v>
      </c>
      <c r="CB247">
        <v>1866</v>
      </c>
      <c r="CC247">
        <v>0.45</v>
      </c>
      <c r="CD247">
        <v>0.29399999999999998</v>
      </c>
      <c r="CE247">
        <v>0.25600000000000001</v>
      </c>
      <c r="CF247">
        <v>0.13600000000000001</v>
      </c>
      <c r="CG247">
        <v>0.437</v>
      </c>
      <c r="CH247">
        <v>0.42699999999999999</v>
      </c>
      <c r="CI247" cm="1">
        <f t="array" ref="CI247:CS247">VLOOKUP(A247,verticalmove_pitchers_2019!A:N,{3,4,5,6,7,8,9,10,11,12,13},FALSE)</f>
        <v>112</v>
      </c>
      <c r="CJ247">
        <v>8.1999999999999993</v>
      </c>
      <c r="CK247">
        <v>0</v>
      </c>
      <c r="CL247">
        <v>0</v>
      </c>
      <c r="CM247">
        <v>3.9</v>
      </c>
      <c r="CN247">
        <v>2.8</v>
      </c>
      <c r="CO247">
        <v>3.5</v>
      </c>
      <c r="CP247">
        <v>-3.7</v>
      </c>
      <c r="CQ247">
        <v>0</v>
      </c>
      <c r="CR247">
        <v>0</v>
      </c>
      <c r="CS247">
        <v>0</v>
      </c>
      <c r="CT247" cm="1">
        <f t="array" ref="CT247:DD247">VLOOKUP(A247,velocity_pitchers_2019!A:N,{3,4,5,6,7,8,9,10,11,12,13},FALSE)</f>
        <v>112</v>
      </c>
      <c r="CU247">
        <v>90.8</v>
      </c>
      <c r="CV247">
        <v>0</v>
      </c>
      <c r="CW247">
        <v>0</v>
      </c>
      <c r="CX247">
        <v>90.4</v>
      </c>
      <c r="CY247">
        <v>87.5</v>
      </c>
      <c r="CZ247">
        <v>86.1</v>
      </c>
      <c r="DA247">
        <v>80.400000000000006</v>
      </c>
      <c r="DB247">
        <v>0</v>
      </c>
      <c r="DC247">
        <v>0</v>
      </c>
      <c r="DD247">
        <v>0</v>
      </c>
    </row>
    <row r="248" spans="1:108" x14ac:dyDescent="0.3">
      <c r="A248" t="s">
        <v>109</v>
      </c>
      <c r="B248" t="str" cm="1">
        <f t="array" ref="B248:Y248">VLOOKUP(A248,standard_pitchers_2019!A:Y,{2,3,4,5,6,7,8,9,10,11,12,13,14,15,16,17,18,19,20,21,22,23,24,25},FALSE)</f>
        <v>- - -</v>
      </c>
      <c r="C248">
        <v>10</v>
      </c>
      <c r="D248">
        <v>13</v>
      </c>
      <c r="E248">
        <v>3.22</v>
      </c>
      <c r="F248">
        <v>32</v>
      </c>
      <c r="G248">
        <v>32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184.1</v>
      </c>
      <c r="N248">
        <v>774</v>
      </c>
      <c r="O248">
        <v>183</v>
      </c>
      <c r="P248">
        <v>77</v>
      </c>
      <c r="Q248">
        <v>66</v>
      </c>
      <c r="R248">
        <v>18</v>
      </c>
      <c r="S248">
        <v>58</v>
      </c>
      <c r="T248">
        <v>1</v>
      </c>
      <c r="U248">
        <v>1</v>
      </c>
      <c r="V248">
        <v>7</v>
      </c>
      <c r="W248">
        <v>0</v>
      </c>
      <c r="X248">
        <v>159</v>
      </c>
      <c r="Y248">
        <v>13431</v>
      </c>
      <c r="Z248" cm="1">
        <f t="array" ref="Z248:AR248">VLOOKUP(A248,advanced_pitchers_2019!A:Y,{3,4,5,6,7,8,9,10,11,12,13,14,15,16,17,18,19,20,21},FALSE)</f>
        <v>7.76</v>
      </c>
      <c r="AA248">
        <v>2.83</v>
      </c>
      <c r="AB248">
        <v>2.74</v>
      </c>
      <c r="AC248">
        <v>0.88</v>
      </c>
      <c r="AD248">
        <v>0.20499999999999999</v>
      </c>
      <c r="AE248">
        <v>7.4999999999999997E-2</v>
      </c>
      <c r="AF248">
        <v>0.13</v>
      </c>
      <c r="AG248">
        <v>0.25600000000000001</v>
      </c>
      <c r="AH248">
        <v>1.31</v>
      </c>
      <c r="AI248">
        <v>0.307</v>
      </c>
      <c r="AJ248">
        <v>0.76100000000000001</v>
      </c>
      <c r="AK248">
        <v>73</v>
      </c>
      <c r="AL248">
        <v>82</v>
      </c>
      <c r="AM248">
        <v>88</v>
      </c>
      <c r="AN248">
        <v>3.22</v>
      </c>
      <c r="AO248">
        <v>3.72</v>
      </c>
      <c r="AP248">
        <v>-0.5</v>
      </c>
      <c r="AQ248">
        <v>3.99</v>
      </c>
      <c r="AR248">
        <v>4.41</v>
      </c>
      <c r="AS248" cm="1">
        <f t="array" ref="AS248:BA248">VLOOKUP(A248,plate_discipline_pitchers_2019!A:L,{3,4,5,6,7,8,9,10,11},FALSE)</f>
        <v>0.311</v>
      </c>
      <c r="AT248">
        <v>0.65700000000000003</v>
      </c>
      <c r="AU248">
        <v>0.44700000000000001</v>
      </c>
      <c r="AV248">
        <v>0.61499999999999999</v>
      </c>
      <c r="AW248">
        <v>0.89</v>
      </c>
      <c r="AX248">
        <v>0.77400000000000002</v>
      </c>
      <c r="AY248">
        <v>0.39200000000000002</v>
      </c>
      <c r="AZ248">
        <v>0.56799999999999995</v>
      </c>
      <c r="BA248">
        <v>0.10100000000000001</v>
      </c>
      <c r="BB248" cm="1">
        <f t="array" ref="BB248:BP248">VLOOKUP(A248,pitchvalue_pitchers_2019!A:Q,{3,4,5,6,7,8,9,10,11,12,13,14,15,16,17},FALSE)</f>
        <v>-4.3</v>
      </c>
      <c r="BC248">
        <v>0.5</v>
      </c>
      <c r="BD248">
        <v>-1</v>
      </c>
      <c r="BE248">
        <v>18.3</v>
      </c>
      <c r="BF248">
        <v>-1.5</v>
      </c>
      <c r="BG248">
        <v>0</v>
      </c>
      <c r="BH248">
        <v>0</v>
      </c>
      <c r="BI248">
        <v>-0.36</v>
      </c>
      <c r="BJ248">
        <v>0.89</v>
      </c>
      <c r="BK248">
        <v>-0.14000000000000001</v>
      </c>
      <c r="BL248">
        <v>2.0299999999999998</v>
      </c>
      <c r="BM248">
        <v>-1.05</v>
      </c>
      <c r="BN248">
        <v>0</v>
      </c>
      <c r="BO248">
        <v>0</v>
      </c>
      <c r="BP248">
        <v>13431</v>
      </c>
      <c r="BQ248" cm="1">
        <f t="array" ref="BQ248:CH248">VLOOKUP(A248,battedball_pitchers_2019!A:U,{3,4,5,6,7,8,9,10,11,12,13,14,15,16,17,18,19,20},FALSE)</f>
        <v>0.307</v>
      </c>
      <c r="BR248">
        <v>2.06</v>
      </c>
      <c r="BS248">
        <v>0.20100000000000001</v>
      </c>
      <c r="BT248">
        <v>0.53700000000000003</v>
      </c>
      <c r="BU248">
        <v>0.26100000000000001</v>
      </c>
      <c r="BV248">
        <v>9.8000000000000004E-2</v>
      </c>
      <c r="BW248">
        <v>0.126</v>
      </c>
      <c r="BX248">
        <v>97</v>
      </c>
      <c r="BY248">
        <v>4.74</v>
      </c>
      <c r="BZ248">
        <v>1162</v>
      </c>
      <c r="CA248">
        <v>1885</v>
      </c>
      <c r="CB248">
        <v>3047</v>
      </c>
      <c r="CC248">
        <v>0.40699999999999997</v>
      </c>
      <c r="CD248">
        <v>0.32400000000000001</v>
      </c>
      <c r="CE248">
        <v>0.26800000000000002</v>
      </c>
      <c r="CF248">
        <v>0.189</v>
      </c>
      <c r="CG248">
        <v>0.46800000000000003</v>
      </c>
      <c r="CH248">
        <v>0.34200000000000003</v>
      </c>
      <c r="CI248" cm="1">
        <f t="array" ref="CI248:CS248">VLOOKUP(A248,verticalmove_pitchers_2019!A:N,{3,4,5,6,7,8,9,10,11,12,13},FALSE)</f>
        <v>184.1</v>
      </c>
      <c r="CJ248">
        <v>7.6</v>
      </c>
      <c r="CK248">
        <v>3.3</v>
      </c>
      <c r="CL248">
        <v>0</v>
      </c>
      <c r="CM248">
        <v>2.1</v>
      </c>
      <c r="CN248">
        <v>3.5</v>
      </c>
      <c r="CO248">
        <v>-0.2</v>
      </c>
      <c r="CP248">
        <v>-2.9</v>
      </c>
      <c r="CQ248">
        <v>0</v>
      </c>
      <c r="CR248">
        <v>0</v>
      </c>
      <c r="CS248">
        <v>0</v>
      </c>
      <c r="CT248" cm="1">
        <f t="array" ref="CT248:DD248">VLOOKUP(A248,velocity_pitchers_2019!A:N,{3,4,5,6,7,8,9,10,11,12,13},FALSE)</f>
        <v>184.1</v>
      </c>
      <c r="CU248">
        <v>93.3</v>
      </c>
      <c r="CV248">
        <v>91.1</v>
      </c>
      <c r="CW248">
        <v>0</v>
      </c>
      <c r="CX248">
        <v>92.7</v>
      </c>
      <c r="CY248">
        <v>86.9</v>
      </c>
      <c r="CZ248">
        <v>85.9</v>
      </c>
      <c r="DA248">
        <v>75.3</v>
      </c>
      <c r="DB248">
        <v>0</v>
      </c>
      <c r="DC248">
        <v>0</v>
      </c>
      <c r="DD248">
        <v>0</v>
      </c>
    </row>
    <row r="249" spans="1:108" x14ac:dyDescent="0.3">
      <c r="A249" t="s">
        <v>132</v>
      </c>
      <c r="B249" t="str" cm="1">
        <f t="array" ref="B249:Y249">VLOOKUP(A249,standard_pitchers_2019!A:Y,{2,3,4,5,6,7,8,9,10,11,12,13,14,15,16,17,18,19,20,21,22,23,24,25},FALSE)</f>
        <v>Pirates</v>
      </c>
      <c r="C249">
        <v>5</v>
      </c>
      <c r="D249">
        <v>3</v>
      </c>
      <c r="E249">
        <v>3.47</v>
      </c>
      <c r="F249">
        <v>69</v>
      </c>
      <c r="G249">
        <v>0</v>
      </c>
      <c r="H249">
        <v>0</v>
      </c>
      <c r="I249">
        <v>0</v>
      </c>
      <c r="J249">
        <v>0</v>
      </c>
      <c r="K249">
        <v>12</v>
      </c>
      <c r="L249">
        <v>4</v>
      </c>
      <c r="M249">
        <v>70</v>
      </c>
      <c r="N249">
        <v>301</v>
      </c>
      <c r="O249">
        <v>60</v>
      </c>
      <c r="P249">
        <v>32</v>
      </c>
      <c r="Q249">
        <v>27</v>
      </c>
      <c r="R249">
        <v>8</v>
      </c>
      <c r="S249">
        <v>35</v>
      </c>
      <c r="T249">
        <v>1</v>
      </c>
      <c r="U249">
        <v>3</v>
      </c>
      <c r="V249">
        <v>1</v>
      </c>
      <c r="W249">
        <v>0</v>
      </c>
      <c r="X249">
        <v>63</v>
      </c>
      <c r="Y249">
        <v>3201</v>
      </c>
      <c r="Z249" cm="1">
        <f t="array" ref="Z249:AR249">VLOOKUP(A249,advanced_pitchers_2019!A:Y,{3,4,5,6,7,8,9,10,11,12,13,14,15,16,17,18,19,20,21},FALSE)</f>
        <v>8.1</v>
      </c>
      <c r="AA249">
        <v>4.5</v>
      </c>
      <c r="AB249">
        <v>1.8</v>
      </c>
      <c r="AC249">
        <v>1.03</v>
      </c>
      <c r="AD249">
        <v>0.20899999999999999</v>
      </c>
      <c r="AE249">
        <v>0.11600000000000001</v>
      </c>
      <c r="AF249">
        <v>9.2999999999999999E-2</v>
      </c>
      <c r="AG249">
        <v>0.22800000000000001</v>
      </c>
      <c r="AH249">
        <v>1.36</v>
      </c>
      <c r="AI249">
        <v>0.27100000000000002</v>
      </c>
      <c r="AJ249">
        <v>0.76</v>
      </c>
      <c r="AK249">
        <v>80</v>
      </c>
      <c r="AL249">
        <v>102</v>
      </c>
      <c r="AM249">
        <v>111</v>
      </c>
      <c r="AN249">
        <v>3.47</v>
      </c>
      <c r="AO249">
        <v>4.53</v>
      </c>
      <c r="AP249">
        <v>-1.06</v>
      </c>
      <c r="AQ249">
        <v>4.92</v>
      </c>
      <c r="AR249">
        <v>4.76</v>
      </c>
      <c r="AS249" cm="1">
        <f t="array" ref="AS249:BA249">VLOOKUP(A249,plate_discipline_pitchers_2019!A:L,{3,4,5,6,7,8,9,10,11},FALSE)</f>
        <v>0.318</v>
      </c>
      <c r="AT249">
        <v>0.69299999999999995</v>
      </c>
      <c r="AU249">
        <v>0.47099999999999997</v>
      </c>
      <c r="AV249">
        <v>0.55400000000000005</v>
      </c>
      <c r="AW249">
        <v>0.81599999999999995</v>
      </c>
      <c r="AX249">
        <v>0.71199999999999997</v>
      </c>
      <c r="AY249">
        <v>0.40899999999999997</v>
      </c>
      <c r="AZ249">
        <v>0.60499999999999998</v>
      </c>
      <c r="BA249">
        <v>0.13600000000000001</v>
      </c>
      <c r="BB249" cm="1">
        <f t="array" ref="BB249:BP249">VLOOKUP(A249,pitchvalue_pitchers_2019!A:Q,{3,4,5,6,7,8,9,10,11,12,13,14,15,16,17},FALSE)</f>
        <v>-4.4000000000000004</v>
      </c>
      <c r="BC249">
        <v>6.6</v>
      </c>
      <c r="BD249">
        <v>0</v>
      </c>
      <c r="BE249">
        <v>0</v>
      </c>
      <c r="BF249">
        <v>1</v>
      </c>
      <c r="BG249">
        <v>0</v>
      </c>
      <c r="BH249">
        <v>0</v>
      </c>
      <c r="BI249">
        <v>-0.87</v>
      </c>
      <c r="BJ249">
        <v>1.95</v>
      </c>
      <c r="BK249">
        <v>0</v>
      </c>
      <c r="BL249">
        <v>0</v>
      </c>
      <c r="BM249">
        <v>0.36</v>
      </c>
      <c r="BN249">
        <v>0</v>
      </c>
      <c r="BO249">
        <v>0</v>
      </c>
      <c r="BP249">
        <v>3201</v>
      </c>
      <c r="BQ249" cm="1">
        <f t="array" ref="BQ249:CH249">VLOOKUP(A249,battedball_pitchers_2019!A:U,{3,4,5,6,7,8,9,10,11,12,13,14,15,16,17,18,19,20},FALSE)</f>
        <v>0.27100000000000002</v>
      </c>
      <c r="BR249">
        <v>1.48</v>
      </c>
      <c r="BS249">
        <v>0.159</v>
      </c>
      <c r="BT249">
        <v>0.503</v>
      </c>
      <c r="BU249">
        <v>0.33800000000000002</v>
      </c>
      <c r="BV249">
        <v>0.152</v>
      </c>
      <c r="BW249">
        <v>0.121</v>
      </c>
      <c r="BX249">
        <v>37</v>
      </c>
      <c r="BY249">
        <v>4.76</v>
      </c>
      <c r="BZ249">
        <v>432</v>
      </c>
      <c r="CA249">
        <v>701</v>
      </c>
      <c r="CB249">
        <v>1133</v>
      </c>
      <c r="CC249">
        <v>0.42499999999999999</v>
      </c>
      <c r="CD249">
        <v>0.35</v>
      </c>
      <c r="CE249">
        <v>0.22500000000000001</v>
      </c>
      <c r="CF249">
        <v>0.245</v>
      </c>
      <c r="CG249">
        <v>0.45</v>
      </c>
      <c r="CH249">
        <v>0.30499999999999999</v>
      </c>
      <c r="CI249" cm="1">
        <f t="array" ref="CI249:CS249">VLOOKUP(A249,verticalmove_pitchers_2019!A:N,{3,4,5,6,7,8,9,10,11,12,13},FALSE)</f>
        <v>70</v>
      </c>
      <c r="CJ249">
        <v>7.6</v>
      </c>
      <c r="CK249">
        <v>0</v>
      </c>
      <c r="CL249">
        <v>0</v>
      </c>
      <c r="CM249">
        <v>6</v>
      </c>
      <c r="CN249">
        <v>3.6</v>
      </c>
      <c r="CO249">
        <v>3</v>
      </c>
      <c r="CP249">
        <v>-3.1</v>
      </c>
      <c r="CQ249">
        <v>0</v>
      </c>
      <c r="CR249">
        <v>0</v>
      </c>
      <c r="CS249">
        <v>0</v>
      </c>
      <c r="CT249" cm="1">
        <f t="array" ref="CT249:DD249">VLOOKUP(A249,velocity_pitchers_2019!A:N,{3,4,5,6,7,8,9,10,11,12,13},FALSE)</f>
        <v>70</v>
      </c>
      <c r="CU249">
        <v>93.1</v>
      </c>
      <c r="CV249">
        <v>0</v>
      </c>
      <c r="CW249">
        <v>0</v>
      </c>
      <c r="CX249">
        <v>93.2</v>
      </c>
      <c r="CY249">
        <v>87.2</v>
      </c>
      <c r="CZ249">
        <v>87.3</v>
      </c>
      <c r="DA249">
        <v>81.8</v>
      </c>
      <c r="DB249">
        <v>0</v>
      </c>
      <c r="DC249">
        <v>0</v>
      </c>
      <c r="DD249">
        <v>0</v>
      </c>
    </row>
    <row r="250" spans="1:108" x14ac:dyDescent="0.3">
      <c r="A250" t="s">
        <v>294</v>
      </c>
      <c r="B250" t="str" cm="1">
        <f t="array" ref="B250:Y250">VLOOKUP(A250,standard_pitchers_2019!A:Y,{2,3,4,5,6,7,8,9,10,11,12,13,14,15,16,17,18,19,20,21,22,23,24,25},FALSE)</f>
        <v>Astros</v>
      </c>
      <c r="C250">
        <v>2</v>
      </c>
      <c r="D250">
        <v>3</v>
      </c>
      <c r="E250">
        <v>4.83</v>
      </c>
      <c r="F250">
        <v>61</v>
      </c>
      <c r="G250">
        <v>1</v>
      </c>
      <c r="H250">
        <v>0</v>
      </c>
      <c r="I250">
        <v>0</v>
      </c>
      <c r="J250">
        <v>0</v>
      </c>
      <c r="K250">
        <v>7</v>
      </c>
      <c r="L250">
        <v>1</v>
      </c>
      <c r="M250">
        <v>69</v>
      </c>
      <c r="N250">
        <v>298</v>
      </c>
      <c r="O250">
        <v>69</v>
      </c>
      <c r="P250">
        <v>39</v>
      </c>
      <c r="Q250">
        <v>37</v>
      </c>
      <c r="R250">
        <v>13</v>
      </c>
      <c r="S250">
        <v>21</v>
      </c>
      <c r="T250">
        <v>0</v>
      </c>
      <c r="U250">
        <v>3</v>
      </c>
      <c r="V250">
        <v>2</v>
      </c>
      <c r="W250">
        <v>0</v>
      </c>
      <c r="X250">
        <v>72</v>
      </c>
      <c r="Y250">
        <v>12763</v>
      </c>
      <c r="Z250" cm="1">
        <f t="array" ref="Z250:AR250">VLOOKUP(A250,advanced_pitchers_2019!A:Y,{3,4,5,6,7,8,9,10,11,12,13,14,15,16,17,18,19,20,21},FALSE)</f>
        <v>9.39</v>
      </c>
      <c r="AA250">
        <v>2.74</v>
      </c>
      <c r="AB250">
        <v>3.43</v>
      </c>
      <c r="AC250">
        <v>1.7</v>
      </c>
      <c r="AD250">
        <v>0.24199999999999999</v>
      </c>
      <c r="AE250">
        <v>7.0000000000000007E-2</v>
      </c>
      <c r="AF250">
        <v>0.17100000000000001</v>
      </c>
      <c r="AG250">
        <v>0.252</v>
      </c>
      <c r="AH250">
        <v>1.3</v>
      </c>
      <c r="AI250">
        <v>0.29599999999999999</v>
      </c>
      <c r="AJ250">
        <v>0.72199999999999998</v>
      </c>
      <c r="AK250">
        <v>108</v>
      </c>
      <c r="AL250">
        <v>102</v>
      </c>
      <c r="AM250">
        <v>106</v>
      </c>
      <c r="AN250">
        <v>4.83</v>
      </c>
      <c r="AO250">
        <v>4.62</v>
      </c>
      <c r="AP250">
        <v>0.21</v>
      </c>
      <c r="AQ250">
        <v>4.8499999999999996</v>
      </c>
      <c r="AR250">
        <v>4.0599999999999996</v>
      </c>
      <c r="AS250" cm="1">
        <f t="array" ref="AS250:BA250">VLOOKUP(A250,plate_discipline_pitchers_2019!A:L,{3,4,5,6,7,8,9,10,11},FALSE)</f>
        <v>0.33800000000000002</v>
      </c>
      <c r="AT250">
        <v>0.68400000000000005</v>
      </c>
      <c r="AU250">
        <v>0.48699999999999999</v>
      </c>
      <c r="AV250">
        <v>0.60499999999999998</v>
      </c>
      <c r="AW250">
        <v>0.82499999999999996</v>
      </c>
      <c r="AX250">
        <v>0.73799999999999999</v>
      </c>
      <c r="AY250">
        <v>0.43099999999999999</v>
      </c>
      <c r="AZ250">
        <v>0.68100000000000005</v>
      </c>
      <c r="BA250">
        <v>0.128</v>
      </c>
      <c r="BB250" cm="1">
        <f t="array" ref="BB250:BP250">VLOOKUP(A250,pitchvalue_pitchers_2019!A:Q,{3,4,5,6,7,8,9,10,11,12,13,14,15,16,17},FALSE)</f>
        <v>-4.4000000000000004</v>
      </c>
      <c r="BC250">
        <v>2</v>
      </c>
      <c r="BD250">
        <v>0</v>
      </c>
      <c r="BE250">
        <v>0</v>
      </c>
      <c r="BF250">
        <v>-0.6</v>
      </c>
      <c r="BG250">
        <v>0</v>
      </c>
      <c r="BH250">
        <v>0</v>
      </c>
      <c r="BI250">
        <v>-0.88</v>
      </c>
      <c r="BJ250">
        <v>0.91</v>
      </c>
      <c r="BK250">
        <v>0</v>
      </c>
      <c r="BL250">
        <v>0</v>
      </c>
      <c r="BM250">
        <v>-0.15</v>
      </c>
      <c r="BN250">
        <v>0</v>
      </c>
      <c r="BO250">
        <v>0</v>
      </c>
      <c r="BP250">
        <v>12763</v>
      </c>
      <c r="BQ250" cm="1">
        <f t="array" ref="BQ250:CH250">VLOOKUP(A250,battedball_pitchers_2019!A:U,{3,4,5,6,7,8,9,10,11,12,13,14,15,16,17,18,19,20},FALSE)</f>
        <v>0.29599999999999999</v>
      </c>
      <c r="BR250">
        <v>0.7</v>
      </c>
      <c r="BS250">
        <v>0.20599999999999999</v>
      </c>
      <c r="BT250">
        <v>0.32700000000000001</v>
      </c>
      <c r="BU250">
        <v>0.46700000000000003</v>
      </c>
      <c r="BV250">
        <v>0.129</v>
      </c>
      <c r="BW250">
        <v>0.14000000000000001</v>
      </c>
      <c r="BX250">
        <v>17</v>
      </c>
      <c r="BY250">
        <v>2.2200000000000002</v>
      </c>
      <c r="BZ250">
        <v>407</v>
      </c>
      <c r="CA250">
        <v>737</v>
      </c>
      <c r="CB250">
        <v>1144</v>
      </c>
      <c r="CC250">
        <v>0.39100000000000001</v>
      </c>
      <c r="CD250">
        <v>0.36099999999999999</v>
      </c>
      <c r="CE250">
        <v>0.248</v>
      </c>
      <c r="CF250">
        <v>0.21299999999999999</v>
      </c>
      <c r="CG250">
        <v>0.35599999999999998</v>
      </c>
      <c r="CH250">
        <v>0.43099999999999999</v>
      </c>
      <c r="CI250" cm="1">
        <f t="array" ref="CI250:CS250">VLOOKUP(A250,verticalmove_pitchers_2019!A:N,{3,4,5,6,7,8,9,10,11,12,13},FALSE)</f>
        <v>69</v>
      </c>
      <c r="CJ250">
        <v>8.1999999999999993</v>
      </c>
      <c r="CK250">
        <v>0</v>
      </c>
      <c r="CL250">
        <v>0</v>
      </c>
      <c r="CM250">
        <v>8.8000000000000007</v>
      </c>
      <c r="CN250">
        <v>1.6</v>
      </c>
      <c r="CO250">
        <v>-0.6</v>
      </c>
      <c r="CP250">
        <v>0</v>
      </c>
      <c r="CQ250">
        <v>0</v>
      </c>
      <c r="CR250">
        <v>0</v>
      </c>
      <c r="CS250">
        <v>0</v>
      </c>
      <c r="CT250" cm="1">
        <f t="array" ref="CT250:DD250">VLOOKUP(A250,velocity_pitchers_2019!A:N,{3,4,5,6,7,8,9,10,11,12,13},FALSE)</f>
        <v>69</v>
      </c>
      <c r="CU250">
        <v>94.8</v>
      </c>
      <c r="CV250">
        <v>0</v>
      </c>
      <c r="CW250">
        <v>0</v>
      </c>
      <c r="CX250">
        <v>95.3</v>
      </c>
      <c r="CY250">
        <v>84.1</v>
      </c>
      <c r="CZ250">
        <v>81.599999999999994</v>
      </c>
      <c r="DA250">
        <v>0</v>
      </c>
      <c r="DB250">
        <v>0</v>
      </c>
      <c r="DC250">
        <v>0</v>
      </c>
      <c r="DD250">
        <v>0</v>
      </c>
    </row>
    <row r="251" spans="1:108" x14ac:dyDescent="0.3">
      <c r="A251" t="s">
        <v>374</v>
      </c>
      <c r="B251" t="str" cm="1">
        <f t="array" ref="B251:Y251">VLOOKUP(A251,standard_pitchers_2019!A:Y,{2,3,4,5,6,7,8,9,10,11,12,13,14,15,16,17,18,19,20,21,22,23,24,25},FALSE)</f>
        <v>White Sox</v>
      </c>
      <c r="C251">
        <v>3</v>
      </c>
      <c r="D251">
        <v>3</v>
      </c>
      <c r="E251">
        <v>6.14</v>
      </c>
      <c r="F251">
        <v>57</v>
      </c>
      <c r="G251">
        <v>0</v>
      </c>
      <c r="H251">
        <v>0</v>
      </c>
      <c r="I251">
        <v>0</v>
      </c>
      <c r="J251">
        <v>1</v>
      </c>
      <c r="K251">
        <v>6</v>
      </c>
      <c r="L251">
        <v>2</v>
      </c>
      <c r="M251">
        <v>51.1</v>
      </c>
      <c r="N251">
        <v>235</v>
      </c>
      <c r="O251">
        <v>60</v>
      </c>
      <c r="P251">
        <v>36</v>
      </c>
      <c r="Q251">
        <v>35</v>
      </c>
      <c r="R251">
        <v>8</v>
      </c>
      <c r="S251">
        <v>23</v>
      </c>
      <c r="T251">
        <v>6</v>
      </c>
      <c r="U251">
        <v>1</v>
      </c>
      <c r="V251">
        <v>8</v>
      </c>
      <c r="W251">
        <v>2</v>
      </c>
      <c r="X251">
        <v>53</v>
      </c>
      <c r="Y251">
        <v>6033</v>
      </c>
      <c r="Z251" cm="1">
        <f t="array" ref="Z251:AR251">VLOOKUP(A251,advanced_pitchers_2019!A:Y,{3,4,5,6,7,8,9,10,11,12,13,14,15,16,17,18,19,20,21},FALSE)</f>
        <v>9.2899999999999991</v>
      </c>
      <c r="AA251">
        <v>4.03</v>
      </c>
      <c r="AB251">
        <v>2.2999999999999998</v>
      </c>
      <c r="AC251">
        <v>1.4</v>
      </c>
      <c r="AD251">
        <v>0.22600000000000001</v>
      </c>
      <c r="AE251">
        <v>9.8000000000000004E-2</v>
      </c>
      <c r="AF251">
        <v>0.128</v>
      </c>
      <c r="AG251">
        <v>0.28399999999999997</v>
      </c>
      <c r="AH251">
        <v>1.62</v>
      </c>
      <c r="AI251">
        <v>0.34699999999999998</v>
      </c>
      <c r="AJ251">
        <v>0.65900000000000003</v>
      </c>
      <c r="AK251">
        <v>136</v>
      </c>
      <c r="AL251">
        <v>99</v>
      </c>
      <c r="AM251">
        <v>106</v>
      </c>
      <c r="AN251">
        <v>6.14</v>
      </c>
      <c r="AO251">
        <v>4.58</v>
      </c>
      <c r="AP251">
        <v>1.56</v>
      </c>
      <c r="AQ251">
        <v>4.84</v>
      </c>
      <c r="AR251">
        <v>4.46</v>
      </c>
      <c r="AS251" cm="1">
        <f t="array" ref="AS251:BA251">VLOOKUP(A251,plate_discipline_pitchers_2019!A:L,{3,4,5,6,7,8,9,10,11},FALSE)</f>
        <v>0.34200000000000003</v>
      </c>
      <c r="AT251">
        <v>0.69799999999999995</v>
      </c>
      <c r="AU251">
        <v>0.497</v>
      </c>
      <c r="AV251">
        <v>0.68799999999999994</v>
      </c>
      <c r="AW251">
        <v>0.81499999999999995</v>
      </c>
      <c r="AX251">
        <v>0.76500000000000001</v>
      </c>
      <c r="AY251">
        <v>0.434</v>
      </c>
      <c r="AZ251">
        <v>0.66400000000000003</v>
      </c>
      <c r="BA251">
        <v>0.11700000000000001</v>
      </c>
      <c r="BB251" cm="1">
        <f t="array" ref="BB251:BP251">VLOOKUP(A251,pitchvalue_pitchers_2019!A:Q,{3,4,5,6,7,8,9,10,11,12,13,14,15,16,17},FALSE)</f>
        <v>-4.4000000000000004</v>
      </c>
      <c r="BC251">
        <v>0.4</v>
      </c>
      <c r="BD251">
        <v>-0.7</v>
      </c>
      <c r="BE251">
        <v>0</v>
      </c>
      <c r="BF251">
        <v>0.1</v>
      </c>
      <c r="BG251">
        <v>0</v>
      </c>
      <c r="BH251">
        <v>0</v>
      </c>
      <c r="BI251">
        <v>-0.88</v>
      </c>
      <c r="BJ251">
        <v>0.36</v>
      </c>
      <c r="BK251">
        <v>-0.56999999999999995</v>
      </c>
      <c r="BL251">
        <v>0</v>
      </c>
      <c r="BM251">
        <v>0.08</v>
      </c>
      <c r="BN251">
        <v>0</v>
      </c>
      <c r="BO251">
        <v>0</v>
      </c>
      <c r="BP251">
        <v>6033</v>
      </c>
      <c r="BQ251" cm="1">
        <f t="array" ref="BQ251:CH251">VLOOKUP(A251,battedball_pitchers_2019!A:U,{3,4,5,6,7,8,9,10,11,12,13,14,15,16,17,18,19,20},FALSE)</f>
        <v>0.34699999999999998</v>
      </c>
      <c r="BR251">
        <v>0.93</v>
      </c>
      <c r="BS251">
        <v>0.26</v>
      </c>
      <c r="BT251">
        <v>0.35699999999999998</v>
      </c>
      <c r="BU251">
        <v>0.38300000000000001</v>
      </c>
      <c r="BV251">
        <v>0.186</v>
      </c>
      <c r="BW251">
        <v>0.13600000000000001</v>
      </c>
      <c r="BX251">
        <v>21</v>
      </c>
      <c r="BY251">
        <v>3.68</v>
      </c>
      <c r="BZ251">
        <v>314</v>
      </c>
      <c r="CA251">
        <v>594</v>
      </c>
      <c r="CB251">
        <v>908</v>
      </c>
      <c r="CC251">
        <v>0.42399999999999999</v>
      </c>
      <c r="CD251">
        <v>0.28499999999999998</v>
      </c>
      <c r="CE251">
        <v>0.29099999999999998</v>
      </c>
      <c r="CF251">
        <v>0.19600000000000001</v>
      </c>
      <c r="CG251">
        <v>0.51900000000000002</v>
      </c>
      <c r="CH251">
        <v>0.28499999999999998</v>
      </c>
      <c r="CI251" cm="1">
        <f t="array" ref="CI251:CS251">VLOOKUP(A251,verticalmove_pitchers_2019!A:N,{3,4,5,6,7,8,9,10,11,12,13},FALSE)</f>
        <v>51.1</v>
      </c>
      <c r="CJ251">
        <v>8</v>
      </c>
      <c r="CK251">
        <v>5.7</v>
      </c>
      <c r="CL251">
        <v>0</v>
      </c>
      <c r="CM251">
        <v>7.5</v>
      </c>
      <c r="CN251">
        <v>5.0999999999999996</v>
      </c>
      <c r="CO251">
        <v>-1.9</v>
      </c>
      <c r="CP251">
        <v>-2.2000000000000002</v>
      </c>
      <c r="CQ251">
        <v>0</v>
      </c>
      <c r="CR251">
        <v>0</v>
      </c>
      <c r="CS251">
        <v>0</v>
      </c>
      <c r="CT251" cm="1">
        <f t="array" ref="CT251:DD251">VLOOKUP(A251,velocity_pitchers_2019!A:N,{3,4,5,6,7,8,9,10,11,12,13},FALSE)</f>
        <v>51.1</v>
      </c>
      <c r="CU251">
        <v>96.3</v>
      </c>
      <c r="CV251">
        <v>92.2</v>
      </c>
      <c r="CW251">
        <v>0</v>
      </c>
      <c r="CX251">
        <v>95.6</v>
      </c>
      <c r="CY251">
        <v>88.9</v>
      </c>
      <c r="CZ251">
        <v>82.6</v>
      </c>
      <c r="DA251">
        <v>85</v>
      </c>
      <c r="DB251">
        <v>0</v>
      </c>
      <c r="DC251">
        <v>0</v>
      </c>
      <c r="DD251">
        <v>0</v>
      </c>
    </row>
    <row r="252" spans="1:108" x14ac:dyDescent="0.3">
      <c r="A252" t="s">
        <v>169</v>
      </c>
      <c r="B252" t="str" cm="1">
        <f t="array" ref="B252:Y252">VLOOKUP(A252,standard_pitchers_2019!A:Y,{2,3,4,5,6,7,8,9,10,11,12,13,14,15,16,17,18,19,20,21,22,23,24,25},FALSE)</f>
        <v>Red Sox</v>
      </c>
      <c r="C252">
        <v>9</v>
      </c>
      <c r="D252">
        <v>2</v>
      </c>
      <c r="E252">
        <v>3.81</v>
      </c>
      <c r="F252">
        <v>70</v>
      </c>
      <c r="G252">
        <v>0</v>
      </c>
      <c r="H252">
        <v>0</v>
      </c>
      <c r="I252">
        <v>0</v>
      </c>
      <c r="J252">
        <v>2</v>
      </c>
      <c r="K252">
        <v>6</v>
      </c>
      <c r="L252">
        <v>4</v>
      </c>
      <c r="M252">
        <v>78</v>
      </c>
      <c r="N252">
        <v>327</v>
      </c>
      <c r="O252">
        <v>61</v>
      </c>
      <c r="P252">
        <v>38</v>
      </c>
      <c r="Q252">
        <v>33</v>
      </c>
      <c r="R252">
        <v>6</v>
      </c>
      <c r="S252">
        <v>32</v>
      </c>
      <c r="T252">
        <v>1</v>
      </c>
      <c r="U252">
        <v>5</v>
      </c>
      <c r="V252">
        <v>6</v>
      </c>
      <c r="W252">
        <v>1</v>
      </c>
      <c r="X252">
        <v>76</v>
      </c>
      <c r="Y252">
        <v>8004</v>
      </c>
      <c r="Z252" cm="1">
        <f t="array" ref="Z252:AR252">VLOOKUP(A252,advanced_pitchers_2019!A:Y,{3,4,5,6,7,8,9,10,11,12,13,14,15,16,17,18,19,20,21},FALSE)</f>
        <v>8.77</v>
      </c>
      <c r="AA252">
        <v>3.69</v>
      </c>
      <c r="AB252">
        <v>2.38</v>
      </c>
      <c r="AC252">
        <v>0.69</v>
      </c>
      <c r="AD252">
        <v>0.23200000000000001</v>
      </c>
      <c r="AE252">
        <v>9.8000000000000004E-2</v>
      </c>
      <c r="AF252">
        <v>0.13500000000000001</v>
      </c>
      <c r="AG252">
        <v>0.21</v>
      </c>
      <c r="AH252">
        <v>1.19</v>
      </c>
      <c r="AI252">
        <v>0.26400000000000001</v>
      </c>
      <c r="AJ252">
        <v>0.67</v>
      </c>
      <c r="AK252">
        <v>79</v>
      </c>
      <c r="AL252">
        <v>82</v>
      </c>
      <c r="AM252">
        <v>91</v>
      </c>
      <c r="AN252">
        <v>3.81</v>
      </c>
      <c r="AO252">
        <v>3.69</v>
      </c>
      <c r="AP252">
        <v>0.12</v>
      </c>
      <c r="AQ252">
        <v>4.17</v>
      </c>
      <c r="AR252">
        <v>4.1100000000000003</v>
      </c>
      <c r="AS252" cm="1">
        <f t="array" ref="AS252:BA252">VLOOKUP(A252,plate_discipline_pitchers_2019!A:L,{3,4,5,6,7,8,9,10,11},FALSE)</f>
        <v>0.35399999999999998</v>
      </c>
      <c r="AT252">
        <v>0.69099999999999995</v>
      </c>
      <c r="AU252">
        <v>0.48299999999999998</v>
      </c>
      <c r="AV252">
        <v>0.53800000000000003</v>
      </c>
      <c r="AW252">
        <v>0.88700000000000001</v>
      </c>
      <c r="AX252">
        <v>0.72899999999999998</v>
      </c>
      <c r="AY252">
        <v>0.38300000000000001</v>
      </c>
      <c r="AZ252">
        <v>0.61199999999999999</v>
      </c>
      <c r="BA252">
        <v>0.13100000000000001</v>
      </c>
      <c r="BB252" cm="1">
        <f t="array" ref="BB252:BP252">VLOOKUP(A252,pitchvalue_pitchers_2019!A:Q,{3,4,5,6,7,8,9,10,11,12,13,14,15,16,17},FALSE)</f>
        <v>-4.4000000000000004</v>
      </c>
      <c r="BC252">
        <v>4</v>
      </c>
      <c r="BD252">
        <v>9.9</v>
      </c>
      <c r="BE252">
        <v>0</v>
      </c>
      <c r="BF252">
        <v>0</v>
      </c>
      <c r="BG252">
        <v>0</v>
      </c>
      <c r="BH252">
        <v>0</v>
      </c>
      <c r="BI252">
        <v>-0.98</v>
      </c>
      <c r="BJ252">
        <v>0.86</v>
      </c>
      <c r="BK252">
        <v>2.92</v>
      </c>
      <c r="BL252">
        <v>0</v>
      </c>
      <c r="BM252">
        <v>0</v>
      </c>
      <c r="BN252">
        <v>0</v>
      </c>
      <c r="BO252">
        <v>0</v>
      </c>
      <c r="BP252">
        <v>8004</v>
      </c>
      <c r="BQ252" cm="1">
        <f t="array" ref="BQ252:CH252">VLOOKUP(A252,battedball_pitchers_2019!A:U,{3,4,5,6,7,8,9,10,11,12,13,14,15,16,17,18,19,20},FALSE)</f>
        <v>0.26400000000000001</v>
      </c>
      <c r="BR252">
        <v>1.97</v>
      </c>
      <c r="BS252">
        <v>0.192</v>
      </c>
      <c r="BT252">
        <v>0.53500000000000003</v>
      </c>
      <c r="BU252">
        <v>0.27200000000000002</v>
      </c>
      <c r="BV252">
        <v>0.121</v>
      </c>
      <c r="BW252">
        <v>0.10299999999999999</v>
      </c>
      <c r="BX252">
        <v>50</v>
      </c>
      <c r="BY252">
        <v>5.77</v>
      </c>
      <c r="BZ252">
        <v>466</v>
      </c>
      <c r="CA252">
        <v>802</v>
      </c>
      <c r="CB252">
        <v>1268</v>
      </c>
      <c r="CC252">
        <v>0.40200000000000002</v>
      </c>
      <c r="CD252">
        <v>0.36899999999999999</v>
      </c>
      <c r="CE252">
        <v>0.22900000000000001</v>
      </c>
      <c r="CF252">
        <v>0.17299999999999999</v>
      </c>
      <c r="CG252">
        <v>0.50900000000000001</v>
      </c>
      <c r="CH252">
        <v>0.318</v>
      </c>
      <c r="CI252" cm="1">
        <f t="array" ref="CI252:CS252">VLOOKUP(A252,verticalmove_pitchers_2019!A:N,{3,4,5,6,7,8,9,10,11,12,13},FALSE)</f>
        <v>78</v>
      </c>
      <c r="CJ252">
        <v>5.9</v>
      </c>
      <c r="CK252">
        <v>3</v>
      </c>
      <c r="CL252">
        <v>0</v>
      </c>
      <c r="CM252">
        <v>2.9</v>
      </c>
      <c r="CN252">
        <v>0</v>
      </c>
      <c r="CO252">
        <v>-1.7</v>
      </c>
      <c r="CP252">
        <v>0</v>
      </c>
      <c r="CQ252">
        <v>0</v>
      </c>
      <c r="CR252">
        <v>0</v>
      </c>
      <c r="CS252">
        <v>0</v>
      </c>
      <c r="CT252" cm="1">
        <f t="array" ref="CT252:DD252">VLOOKUP(A252,velocity_pitchers_2019!A:N,{3,4,5,6,7,8,9,10,11,12,13},FALSE)</f>
        <v>78</v>
      </c>
      <c r="CU252">
        <v>94.5</v>
      </c>
      <c r="CV252">
        <v>92.1</v>
      </c>
      <c r="CW252">
        <v>0</v>
      </c>
      <c r="CX252">
        <v>94.4</v>
      </c>
      <c r="CY252">
        <v>0</v>
      </c>
      <c r="CZ252">
        <v>85.9</v>
      </c>
      <c r="DA252">
        <v>0</v>
      </c>
      <c r="DB252">
        <v>0</v>
      </c>
      <c r="DC252">
        <v>0</v>
      </c>
      <c r="DD252">
        <v>0</v>
      </c>
    </row>
    <row r="253" spans="1:108" x14ac:dyDescent="0.3">
      <c r="A253" t="s">
        <v>263</v>
      </c>
      <c r="B253" t="str" cm="1">
        <f t="array" ref="B253:Y253">VLOOKUP(A253,standard_pitchers_2019!A:Y,{2,3,4,5,6,7,8,9,10,11,12,13,14,15,16,17,18,19,20,21,22,23,24,25},FALSE)</f>
        <v>Tigers</v>
      </c>
      <c r="C253">
        <v>9</v>
      </c>
      <c r="D253">
        <v>12</v>
      </c>
      <c r="E253">
        <v>4.5599999999999996</v>
      </c>
      <c r="F253">
        <v>32</v>
      </c>
      <c r="G253">
        <v>32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185.1</v>
      </c>
      <c r="N253">
        <v>788</v>
      </c>
      <c r="O253">
        <v>178</v>
      </c>
      <c r="P253">
        <v>101</v>
      </c>
      <c r="Q253">
        <v>94</v>
      </c>
      <c r="R253">
        <v>39</v>
      </c>
      <c r="S253">
        <v>50</v>
      </c>
      <c r="T253">
        <v>1</v>
      </c>
      <c r="U253">
        <v>8</v>
      </c>
      <c r="V253">
        <v>6</v>
      </c>
      <c r="W253">
        <v>4</v>
      </c>
      <c r="X253">
        <v>238</v>
      </c>
      <c r="Y253">
        <v>15440</v>
      </c>
      <c r="Z253" cm="1">
        <f t="array" ref="Z253:AR253">VLOOKUP(A253,advanced_pitchers_2019!A:Y,{3,4,5,6,7,8,9,10,11,12,13,14,15,16,17,18,19,20,21},FALSE)</f>
        <v>11.56</v>
      </c>
      <c r="AA253">
        <v>2.4300000000000002</v>
      </c>
      <c r="AB253">
        <v>4.76</v>
      </c>
      <c r="AC253">
        <v>1.89</v>
      </c>
      <c r="AD253">
        <v>0.30199999999999999</v>
      </c>
      <c r="AE253">
        <v>6.3E-2</v>
      </c>
      <c r="AF253">
        <v>0.23899999999999999</v>
      </c>
      <c r="AG253">
        <v>0.24399999999999999</v>
      </c>
      <c r="AH253">
        <v>1.23</v>
      </c>
      <c r="AI253">
        <v>0.307</v>
      </c>
      <c r="AJ253">
        <v>0.74399999999999999</v>
      </c>
      <c r="AK253">
        <v>98</v>
      </c>
      <c r="AL253">
        <v>93</v>
      </c>
      <c r="AM253">
        <v>85</v>
      </c>
      <c r="AN253">
        <v>4.5599999999999996</v>
      </c>
      <c r="AO253">
        <v>4.32</v>
      </c>
      <c r="AP253">
        <v>0.24</v>
      </c>
      <c r="AQ253">
        <v>3.88</v>
      </c>
      <c r="AR253">
        <v>3.61</v>
      </c>
      <c r="AS253" cm="1">
        <f t="array" ref="AS253:BA253">VLOOKUP(A253,plate_discipline_pitchers_2019!A:L,{3,4,5,6,7,8,9,10,11},FALSE)</f>
        <v>0.34699999999999998</v>
      </c>
      <c r="AT253">
        <v>0.70099999999999996</v>
      </c>
      <c r="AU253">
        <v>0.497</v>
      </c>
      <c r="AV253">
        <v>0.56200000000000006</v>
      </c>
      <c r="AW253">
        <v>0.82199999999999995</v>
      </c>
      <c r="AX253">
        <v>0.71699999999999997</v>
      </c>
      <c r="AY253">
        <v>0.42299999999999999</v>
      </c>
      <c r="AZ253">
        <v>0.64300000000000002</v>
      </c>
      <c r="BA253">
        <v>0.14000000000000001</v>
      </c>
      <c r="BB253" cm="1">
        <f t="array" ref="BB253:BP253">VLOOKUP(A253,pitchvalue_pitchers_2019!A:Q,{3,4,5,6,7,8,9,10,11,12,13,14,15,16,17},FALSE)</f>
        <v>-4.5</v>
      </c>
      <c r="BC253">
        <v>9.6</v>
      </c>
      <c r="BD253">
        <v>0</v>
      </c>
      <c r="BE253">
        <v>-3.9</v>
      </c>
      <c r="BF253">
        <v>-2.1</v>
      </c>
      <c r="BG253">
        <v>0</v>
      </c>
      <c r="BH253">
        <v>0</v>
      </c>
      <c r="BI253">
        <v>-0.27</v>
      </c>
      <c r="BJ253">
        <v>0.86</v>
      </c>
      <c r="BK253">
        <v>0</v>
      </c>
      <c r="BL253">
        <v>-3.12</v>
      </c>
      <c r="BM253">
        <v>-1.1399999999999999</v>
      </c>
      <c r="BN253">
        <v>0</v>
      </c>
      <c r="BO253">
        <v>0</v>
      </c>
      <c r="BP253">
        <v>15440</v>
      </c>
      <c r="BQ253" cm="1">
        <f t="array" ref="BQ253:CH253">VLOOKUP(A253,battedball_pitchers_2019!A:U,{3,4,5,6,7,8,9,10,11,12,13,14,15,16,17,18,19,20},FALSE)</f>
        <v>0.307</v>
      </c>
      <c r="BR253">
        <v>0.79</v>
      </c>
      <c r="BS253">
        <v>0.19500000000000001</v>
      </c>
      <c r="BT253">
        <v>0.35599999999999998</v>
      </c>
      <c r="BU253">
        <v>0.44900000000000001</v>
      </c>
      <c r="BV253">
        <v>0.121</v>
      </c>
      <c r="BW253">
        <v>0.182</v>
      </c>
      <c r="BX253">
        <v>102</v>
      </c>
      <c r="BY253">
        <v>4.95</v>
      </c>
      <c r="BZ253">
        <v>1059</v>
      </c>
      <c r="CA253">
        <v>2059</v>
      </c>
      <c r="CB253">
        <v>3118</v>
      </c>
      <c r="CC253">
        <v>0.41599999999999998</v>
      </c>
      <c r="CD253">
        <v>0.317</v>
      </c>
      <c r="CE253">
        <v>0.26700000000000002</v>
      </c>
      <c r="CF253">
        <v>0.17499999999999999</v>
      </c>
      <c r="CG253">
        <v>0.41799999999999998</v>
      </c>
      <c r="CH253">
        <v>0.40699999999999997</v>
      </c>
      <c r="CI253" cm="1">
        <f t="array" ref="CI253:CS253">VLOOKUP(A253,verticalmove_pitchers_2019!A:N,{3,4,5,6,7,8,9,10,11,12,13},FALSE)</f>
        <v>185.1</v>
      </c>
      <c r="CJ253">
        <v>7.9</v>
      </c>
      <c r="CK253">
        <v>0</v>
      </c>
      <c r="CL253">
        <v>0</v>
      </c>
      <c r="CM253">
        <v>5.3</v>
      </c>
      <c r="CN253">
        <v>5.6</v>
      </c>
      <c r="CO253">
        <v>-2.1</v>
      </c>
      <c r="CP253">
        <v>-4.7</v>
      </c>
      <c r="CQ253">
        <v>0</v>
      </c>
      <c r="CR253">
        <v>0</v>
      </c>
      <c r="CS253">
        <v>0</v>
      </c>
      <c r="CT253" cm="1">
        <f t="array" ref="CT253:DD253">VLOOKUP(A253,velocity_pitchers_2019!A:N,{3,4,5,6,7,8,9,10,11,12,13},FALSE)</f>
        <v>185.1</v>
      </c>
      <c r="CU253">
        <v>92.4</v>
      </c>
      <c r="CV253">
        <v>0</v>
      </c>
      <c r="CW253">
        <v>0</v>
      </c>
      <c r="CX253">
        <v>90</v>
      </c>
      <c r="CY253">
        <v>79.5</v>
      </c>
      <c r="CZ253">
        <v>80</v>
      </c>
      <c r="DA253">
        <v>74.2</v>
      </c>
      <c r="DB253">
        <v>0</v>
      </c>
      <c r="DC253">
        <v>0</v>
      </c>
      <c r="DD253">
        <v>0</v>
      </c>
    </row>
    <row r="254" spans="1:108" x14ac:dyDescent="0.3">
      <c r="A254" t="s">
        <v>204</v>
      </c>
      <c r="B254" t="str" cm="1">
        <f t="array" ref="B254:Y254">VLOOKUP(A254,standard_pitchers_2019!A:Y,{2,3,4,5,6,7,8,9,10,11,12,13,14,15,16,17,18,19,20,21,22,23,24,25},FALSE)</f>
        <v>Rays</v>
      </c>
      <c r="C254">
        <v>1</v>
      </c>
      <c r="D254">
        <v>3</v>
      </c>
      <c r="E254">
        <v>4.0599999999999996</v>
      </c>
      <c r="F254">
        <v>71</v>
      </c>
      <c r="G254">
        <v>0</v>
      </c>
      <c r="H254">
        <v>0</v>
      </c>
      <c r="I254">
        <v>0</v>
      </c>
      <c r="J254">
        <v>1</v>
      </c>
      <c r="K254">
        <v>23</v>
      </c>
      <c r="L254">
        <v>4</v>
      </c>
      <c r="M254">
        <v>51</v>
      </c>
      <c r="N254">
        <v>229</v>
      </c>
      <c r="O254">
        <v>49</v>
      </c>
      <c r="P254">
        <v>27</v>
      </c>
      <c r="Q254">
        <v>23</v>
      </c>
      <c r="R254">
        <v>3</v>
      </c>
      <c r="S254">
        <v>31</v>
      </c>
      <c r="T254">
        <v>2</v>
      </c>
      <c r="U254">
        <v>1</v>
      </c>
      <c r="V254">
        <v>3</v>
      </c>
      <c r="W254">
        <v>1</v>
      </c>
      <c r="X254">
        <v>65</v>
      </c>
      <c r="Y254">
        <v>9866</v>
      </c>
      <c r="Z254" cm="1">
        <f t="array" ref="Z254:AR254">VLOOKUP(A254,advanced_pitchers_2019!A:Y,{3,4,5,6,7,8,9,10,11,12,13,14,15,16,17,18,19,20,21},FALSE)</f>
        <v>11.47</v>
      </c>
      <c r="AA254">
        <v>5.47</v>
      </c>
      <c r="AB254">
        <v>2.1</v>
      </c>
      <c r="AC254">
        <v>0.53</v>
      </c>
      <c r="AD254">
        <v>0.28399999999999997</v>
      </c>
      <c r="AE254">
        <v>0.13500000000000001</v>
      </c>
      <c r="AF254">
        <v>0.14799999999999999</v>
      </c>
      <c r="AG254">
        <v>0.249</v>
      </c>
      <c r="AH254">
        <v>1.57</v>
      </c>
      <c r="AI254">
        <v>0.35699999999999998</v>
      </c>
      <c r="AJ254">
        <v>0.70299999999999996</v>
      </c>
      <c r="AK254">
        <v>91</v>
      </c>
      <c r="AL254">
        <v>75</v>
      </c>
      <c r="AM254">
        <v>95</v>
      </c>
      <c r="AN254">
        <v>4.0599999999999996</v>
      </c>
      <c r="AO254">
        <v>3.31</v>
      </c>
      <c r="AP254">
        <v>0.75</v>
      </c>
      <c r="AQ254">
        <v>4.34</v>
      </c>
      <c r="AR254">
        <v>4.2699999999999996</v>
      </c>
      <c r="AS254" cm="1">
        <f t="array" ref="AS254:BA254">VLOOKUP(A254,plate_discipline_pitchers_2019!A:L,{3,4,5,6,7,8,9,10,11},FALSE)</f>
        <v>0.27600000000000002</v>
      </c>
      <c r="AT254">
        <v>0.51400000000000001</v>
      </c>
      <c r="AU254">
        <v>0.376</v>
      </c>
      <c r="AV254">
        <v>0.57399999999999995</v>
      </c>
      <c r="AW254">
        <v>0.86499999999999999</v>
      </c>
      <c r="AX254">
        <v>0.74099999999999999</v>
      </c>
      <c r="AY254">
        <v>0.42099999999999999</v>
      </c>
      <c r="AZ254">
        <v>0.54600000000000004</v>
      </c>
      <c r="BA254">
        <v>9.7000000000000003E-2</v>
      </c>
      <c r="BB254" cm="1">
        <f t="array" ref="BB254:BP254">VLOOKUP(A254,pitchvalue_pitchers_2019!A:Q,{3,4,5,6,7,8,9,10,11,12,13,14,15,16,17},FALSE)</f>
        <v>-4.5999999999999996</v>
      </c>
      <c r="BC254">
        <v>9.1999999999999993</v>
      </c>
      <c r="BD254">
        <v>-0.3</v>
      </c>
      <c r="BE254">
        <v>0</v>
      </c>
      <c r="BF254">
        <v>0</v>
      </c>
      <c r="BG254">
        <v>0</v>
      </c>
      <c r="BH254">
        <v>0</v>
      </c>
      <c r="BI254">
        <v>-1.73</v>
      </c>
      <c r="BJ254">
        <v>1.53</v>
      </c>
      <c r="BK254">
        <v>-0.56000000000000005</v>
      </c>
      <c r="BL254">
        <v>0</v>
      </c>
      <c r="BM254">
        <v>-2.98</v>
      </c>
      <c r="BN254">
        <v>0</v>
      </c>
      <c r="BO254">
        <v>0</v>
      </c>
      <c r="BP254">
        <v>9866</v>
      </c>
      <c r="BQ254" cm="1">
        <f t="array" ref="BQ254:CH254">VLOOKUP(A254,battedball_pitchers_2019!A:U,{3,4,5,6,7,8,9,10,11,12,13,14,15,16,17,18,19,20},FALSE)</f>
        <v>0.35699999999999998</v>
      </c>
      <c r="BR254">
        <v>1.26</v>
      </c>
      <c r="BS254">
        <v>0.2</v>
      </c>
      <c r="BT254">
        <v>0.44600000000000001</v>
      </c>
      <c r="BU254">
        <v>0.35399999999999998</v>
      </c>
      <c r="BV254">
        <v>0.109</v>
      </c>
      <c r="BW254">
        <v>6.5000000000000002E-2</v>
      </c>
      <c r="BX254">
        <v>30</v>
      </c>
      <c r="BY254">
        <v>5.29</v>
      </c>
      <c r="BZ254">
        <v>351</v>
      </c>
      <c r="CA254">
        <v>574</v>
      </c>
      <c r="CB254">
        <v>925</v>
      </c>
      <c r="CC254">
        <v>0.32800000000000001</v>
      </c>
      <c r="CD254">
        <v>0.42</v>
      </c>
      <c r="CE254">
        <v>0.252</v>
      </c>
      <c r="CF254">
        <v>0.20599999999999999</v>
      </c>
      <c r="CG254">
        <v>0.45800000000000002</v>
      </c>
      <c r="CH254">
        <v>0.33600000000000002</v>
      </c>
      <c r="CI254" cm="1">
        <f t="array" ref="CI254:CS254">VLOOKUP(A254,verticalmove_pitchers_2019!A:N,{3,4,5,6,7,8,9,10,11,12,13},FALSE)</f>
        <v>51</v>
      </c>
      <c r="CJ254">
        <v>7.7</v>
      </c>
      <c r="CK254">
        <v>2.7</v>
      </c>
      <c r="CL254">
        <v>0</v>
      </c>
      <c r="CM254">
        <v>3</v>
      </c>
      <c r="CN254">
        <v>0</v>
      </c>
      <c r="CO254">
        <v>-2.7</v>
      </c>
      <c r="CP254">
        <v>0</v>
      </c>
      <c r="CQ254">
        <v>0</v>
      </c>
      <c r="CR254">
        <v>0</v>
      </c>
      <c r="CS254">
        <v>0</v>
      </c>
      <c r="CT254" cm="1">
        <f t="array" ref="CT254:DD254">VLOOKUP(A254,velocity_pitchers_2019!A:N,{3,4,5,6,7,8,9,10,11,12,13},FALSE)</f>
        <v>51</v>
      </c>
      <c r="CU254">
        <v>92.6</v>
      </c>
      <c r="CV254">
        <v>87.1</v>
      </c>
      <c r="CW254">
        <v>0</v>
      </c>
      <c r="CX254">
        <v>92.4</v>
      </c>
      <c r="CY254">
        <v>0</v>
      </c>
      <c r="CZ254">
        <v>81.2</v>
      </c>
      <c r="DA254">
        <v>0</v>
      </c>
      <c r="DB254">
        <v>0</v>
      </c>
      <c r="DC254">
        <v>0</v>
      </c>
      <c r="DD254">
        <v>0</v>
      </c>
    </row>
    <row r="255" spans="1:108" x14ac:dyDescent="0.3">
      <c r="A255" t="s">
        <v>252</v>
      </c>
      <c r="B255" t="str" cm="1">
        <f t="array" ref="B255:Y255">VLOOKUP(A255,standard_pitchers_2019!A:Y,{2,3,4,5,6,7,8,9,10,11,12,13,14,15,16,17,18,19,20,21,22,23,24,25},FALSE)</f>
        <v>- - -</v>
      </c>
      <c r="C255">
        <v>4</v>
      </c>
      <c r="D255">
        <v>5</v>
      </c>
      <c r="E255">
        <v>4.4800000000000004</v>
      </c>
      <c r="F255">
        <v>48</v>
      </c>
      <c r="G255">
        <v>17</v>
      </c>
      <c r="H255">
        <v>0</v>
      </c>
      <c r="I255">
        <v>0</v>
      </c>
      <c r="J255">
        <v>0</v>
      </c>
      <c r="K255">
        <v>2</v>
      </c>
      <c r="L255">
        <v>1</v>
      </c>
      <c r="M255">
        <v>84.1</v>
      </c>
      <c r="N255">
        <v>356</v>
      </c>
      <c r="O255">
        <v>78</v>
      </c>
      <c r="P255">
        <v>42</v>
      </c>
      <c r="Q255">
        <v>42</v>
      </c>
      <c r="R255">
        <v>17</v>
      </c>
      <c r="S255">
        <v>29</v>
      </c>
      <c r="T255">
        <v>2</v>
      </c>
      <c r="U255">
        <v>3</v>
      </c>
      <c r="V255">
        <v>2</v>
      </c>
      <c r="W255">
        <v>1</v>
      </c>
      <c r="X255">
        <v>95</v>
      </c>
      <c r="Y255">
        <v>5257</v>
      </c>
      <c r="Z255" cm="1">
        <f t="array" ref="Z255:AR255">VLOOKUP(A255,advanced_pitchers_2019!A:Y,{3,4,5,6,7,8,9,10,11,12,13,14,15,16,17,18,19,20,21},FALSE)</f>
        <v>10.14</v>
      </c>
      <c r="AA255">
        <v>3.09</v>
      </c>
      <c r="AB255">
        <v>3.28</v>
      </c>
      <c r="AC255">
        <v>1.81</v>
      </c>
      <c r="AD255">
        <v>0.26700000000000002</v>
      </c>
      <c r="AE255">
        <v>8.1000000000000003E-2</v>
      </c>
      <c r="AF255">
        <v>0.185</v>
      </c>
      <c r="AG255">
        <v>0.24099999999999999</v>
      </c>
      <c r="AH255">
        <v>1.27</v>
      </c>
      <c r="AI255">
        <v>0.28799999999999998</v>
      </c>
      <c r="AJ255">
        <v>0.78900000000000003</v>
      </c>
      <c r="AK255">
        <v>102</v>
      </c>
      <c r="AL255">
        <v>106</v>
      </c>
      <c r="AM255">
        <v>101</v>
      </c>
      <c r="AN255">
        <v>4.4800000000000004</v>
      </c>
      <c r="AO255">
        <v>4.72</v>
      </c>
      <c r="AP255">
        <v>-0.24</v>
      </c>
      <c r="AQ255">
        <v>4.53</v>
      </c>
      <c r="AR255">
        <v>3.97</v>
      </c>
      <c r="AS255" cm="1">
        <f t="array" ref="AS255:BA255">VLOOKUP(A255,plate_discipline_pitchers_2019!A:L,{3,4,5,6,7,8,9,10,11},FALSE)</f>
        <v>0.32300000000000001</v>
      </c>
      <c r="AT255">
        <v>0.69</v>
      </c>
      <c r="AU255">
        <v>0.48599999999999999</v>
      </c>
      <c r="AV255">
        <v>0.64300000000000002</v>
      </c>
      <c r="AW255">
        <v>0.82</v>
      </c>
      <c r="AX255">
        <v>0.754</v>
      </c>
      <c r="AY255">
        <v>0.44400000000000001</v>
      </c>
      <c r="AZ255">
        <v>0.58099999999999996</v>
      </c>
      <c r="BA255">
        <v>0.11899999999999999</v>
      </c>
      <c r="BB255" cm="1">
        <f t="array" ref="BB255:BP255">VLOOKUP(A255,pitchvalue_pitchers_2019!A:Q,{3,4,5,6,7,8,9,10,11,12,13,14,15,16,17},FALSE)</f>
        <v>-4.5999999999999996</v>
      </c>
      <c r="BC255">
        <v>-0.1</v>
      </c>
      <c r="BD255">
        <v>0</v>
      </c>
      <c r="BE255">
        <v>1.5</v>
      </c>
      <c r="BF255">
        <v>0</v>
      </c>
      <c r="BG255">
        <v>1.6</v>
      </c>
      <c r="BH255">
        <v>0</v>
      </c>
      <c r="BI255">
        <v>-0.51</v>
      </c>
      <c r="BJ255">
        <v>-7.0000000000000007E-2</v>
      </c>
      <c r="BK255">
        <v>0</v>
      </c>
      <c r="BL255">
        <v>0.5</v>
      </c>
      <c r="BM255">
        <v>0</v>
      </c>
      <c r="BN255">
        <v>1.01</v>
      </c>
      <c r="BO255">
        <v>0</v>
      </c>
      <c r="BP255">
        <v>5257</v>
      </c>
      <c r="BQ255" cm="1">
        <f t="array" ref="BQ255:CH255">VLOOKUP(A255,battedball_pitchers_2019!A:U,{3,4,5,6,7,8,9,10,11,12,13,14,15,16,17,18,19,20},FALSE)</f>
        <v>0.28799999999999998</v>
      </c>
      <c r="BR255">
        <v>0.82</v>
      </c>
      <c r="BS255">
        <v>0.18</v>
      </c>
      <c r="BT255">
        <v>0.36799999999999999</v>
      </c>
      <c r="BU255">
        <v>0.45200000000000001</v>
      </c>
      <c r="BV255">
        <v>0.126</v>
      </c>
      <c r="BW255">
        <v>0.16500000000000001</v>
      </c>
      <c r="BX255">
        <v>42</v>
      </c>
      <c r="BY255">
        <v>4.4800000000000004</v>
      </c>
      <c r="BZ255">
        <v>544</v>
      </c>
      <c r="CA255">
        <v>997</v>
      </c>
      <c r="CB255">
        <v>1541</v>
      </c>
      <c r="CC255">
        <v>0.42399999999999999</v>
      </c>
      <c r="CD255">
        <v>0.34100000000000003</v>
      </c>
      <c r="CE255">
        <v>0.23599999999999999</v>
      </c>
      <c r="CF255">
        <v>0.153</v>
      </c>
      <c r="CG255">
        <v>0.45900000000000002</v>
      </c>
      <c r="CH255">
        <v>0.38900000000000001</v>
      </c>
      <c r="CI255" cm="1">
        <f t="array" ref="CI255:CS255">VLOOKUP(A255,verticalmove_pitchers_2019!A:N,{3,4,5,6,7,8,9,10,11,12,13},FALSE)</f>
        <v>84.1</v>
      </c>
      <c r="CJ255">
        <v>9.9</v>
      </c>
      <c r="CK255">
        <v>0</v>
      </c>
      <c r="CL255">
        <v>0</v>
      </c>
      <c r="CM255">
        <v>8.1999999999999993</v>
      </c>
      <c r="CN255">
        <v>4.3</v>
      </c>
      <c r="CO255">
        <v>0.5</v>
      </c>
      <c r="CP255">
        <v>-8.1999999999999993</v>
      </c>
      <c r="CQ255">
        <v>0</v>
      </c>
      <c r="CR255">
        <v>0</v>
      </c>
      <c r="CS255">
        <v>0</v>
      </c>
      <c r="CT255" cm="1">
        <f t="array" ref="CT255:DD255">VLOOKUP(A255,velocity_pitchers_2019!A:N,{3,4,5,6,7,8,9,10,11,12,13},FALSE)</f>
        <v>84.1</v>
      </c>
      <c r="CU255">
        <v>94.7</v>
      </c>
      <c r="CV255">
        <v>0</v>
      </c>
      <c r="CW255">
        <v>0</v>
      </c>
      <c r="CX255">
        <v>93.9</v>
      </c>
      <c r="CY255">
        <v>84.7</v>
      </c>
      <c r="CZ255">
        <v>84.6</v>
      </c>
      <c r="DA255">
        <v>76.8</v>
      </c>
      <c r="DB255">
        <v>0</v>
      </c>
      <c r="DC255">
        <v>0</v>
      </c>
      <c r="DD255">
        <v>0</v>
      </c>
    </row>
    <row r="256" spans="1:108" x14ac:dyDescent="0.3">
      <c r="A256" t="s">
        <v>210</v>
      </c>
      <c r="B256" t="str" cm="1">
        <f t="array" ref="B256:Y256">VLOOKUP(A256,standard_pitchers_2019!A:Y,{2,3,4,5,6,7,8,9,10,11,12,13,14,15,16,17,18,19,20,21,22,23,24,25},FALSE)</f>
        <v>Yankees</v>
      </c>
      <c r="C256">
        <v>2</v>
      </c>
      <c r="D256">
        <v>1</v>
      </c>
      <c r="E256">
        <v>4.1100000000000003</v>
      </c>
      <c r="F256">
        <v>43</v>
      </c>
      <c r="G256">
        <v>0</v>
      </c>
      <c r="H256">
        <v>0</v>
      </c>
      <c r="I256">
        <v>0</v>
      </c>
      <c r="J256">
        <v>1</v>
      </c>
      <c r="K256">
        <v>4</v>
      </c>
      <c r="L256">
        <v>0</v>
      </c>
      <c r="M256">
        <v>81</v>
      </c>
      <c r="N256">
        <v>343</v>
      </c>
      <c r="O256">
        <v>75</v>
      </c>
      <c r="P256">
        <v>42</v>
      </c>
      <c r="Q256">
        <v>37</v>
      </c>
      <c r="R256">
        <v>14</v>
      </c>
      <c r="S256">
        <v>31</v>
      </c>
      <c r="T256">
        <v>1</v>
      </c>
      <c r="U256">
        <v>3</v>
      </c>
      <c r="V256">
        <v>1</v>
      </c>
      <c r="W256">
        <v>0</v>
      </c>
      <c r="X256">
        <v>75</v>
      </c>
      <c r="Y256">
        <v>13345</v>
      </c>
      <c r="Z256" cm="1">
        <f t="array" ref="Z256:AR256">VLOOKUP(A256,advanced_pitchers_2019!A:Y,{3,4,5,6,7,8,9,10,11,12,13,14,15,16,17,18,19,20,21},FALSE)</f>
        <v>8.33</v>
      </c>
      <c r="AA256">
        <v>3.44</v>
      </c>
      <c r="AB256">
        <v>2.42</v>
      </c>
      <c r="AC256">
        <v>1.56</v>
      </c>
      <c r="AD256">
        <v>0.219</v>
      </c>
      <c r="AE256">
        <v>0.09</v>
      </c>
      <c r="AF256">
        <v>0.128</v>
      </c>
      <c r="AG256">
        <v>0.24299999999999999</v>
      </c>
      <c r="AH256">
        <v>1.31</v>
      </c>
      <c r="AI256">
        <v>0.27700000000000002</v>
      </c>
      <c r="AJ256">
        <v>0.749</v>
      </c>
      <c r="AK256">
        <v>89</v>
      </c>
      <c r="AL256">
        <v>104</v>
      </c>
      <c r="AM256">
        <v>99</v>
      </c>
      <c r="AN256">
        <v>4.1100000000000003</v>
      </c>
      <c r="AO256">
        <v>4.87</v>
      </c>
      <c r="AP256">
        <v>-0.76</v>
      </c>
      <c r="AQ256">
        <v>4.51</v>
      </c>
      <c r="AR256">
        <v>4.3</v>
      </c>
      <c r="AS256" cm="1">
        <f t="array" ref="AS256:BA256">VLOOKUP(A256,plate_discipline_pitchers_2019!A:L,{3,4,5,6,7,8,9,10,11},FALSE)</f>
        <v>0.34300000000000003</v>
      </c>
      <c r="AT256">
        <v>0.67300000000000004</v>
      </c>
      <c r="AU256">
        <v>0.46899999999999997</v>
      </c>
      <c r="AV256">
        <v>0.56599999999999995</v>
      </c>
      <c r="AW256">
        <v>0.86199999999999999</v>
      </c>
      <c r="AX256">
        <v>0.72899999999999998</v>
      </c>
      <c r="AY256">
        <v>0.38200000000000001</v>
      </c>
      <c r="AZ256">
        <v>0.58299999999999996</v>
      </c>
      <c r="BA256">
        <v>0.127</v>
      </c>
      <c r="BB256" cm="1">
        <f t="array" ref="BB256:BP256">VLOOKUP(A256,pitchvalue_pitchers_2019!A:Q,{3,4,5,6,7,8,9,10,11,12,13,14,15,16,17},FALSE)</f>
        <v>-4.8</v>
      </c>
      <c r="BC256">
        <v>5.0999999999999996</v>
      </c>
      <c r="BD256">
        <v>0</v>
      </c>
      <c r="BE256">
        <v>0.4</v>
      </c>
      <c r="BF256">
        <v>0.7</v>
      </c>
      <c r="BG256">
        <v>0</v>
      </c>
      <c r="BH256">
        <v>0</v>
      </c>
      <c r="BI256">
        <v>-0.84</v>
      </c>
      <c r="BJ256">
        <v>0.76</v>
      </c>
      <c r="BK256">
        <v>0</v>
      </c>
      <c r="BL256">
        <v>3.64</v>
      </c>
      <c r="BM256">
        <v>0.7</v>
      </c>
      <c r="BN256">
        <v>0</v>
      </c>
      <c r="BO256">
        <v>0</v>
      </c>
      <c r="BP256">
        <v>13345</v>
      </c>
      <c r="BQ256" cm="1">
        <f t="array" ref="BQ256:CH256">VLOOKUP(A256,battedball_pitchers_2019!A:U,{3,4,5,6,7,8,9,10,11,12,13,14,15,16,17,18,19,20},FALSE)</f>
        <v>0.27700000000000002</v>
      </c>
      <c r="BR256">
        <v>1.48</v>
      </c>
      <c r="BS256">
        <v>0.184</v>
      </c>
      <c r="BT256">
        <v>0.48699999999999999</v>
      </c>
      <c r="BU256">
        <v>0.32900000000000001</v>
      </c>
      <c r="BV256">
        <v>9.0999999999999998E-2</v>
      </c>
      <c r="BW256">
        <v>0.182</v>
      </c>
      <c r="BX256">
        <v>43</v>
      </c>
      <c r="BY256">
        <v>4.78</v>
      </c>
      <c r="BZ256">
        <v>501</v>
      </c>
      <c r="CA256">
        <v>851</v>
      </c>
      <c r="CB256">
        <v>1352</v>
      </c>
      <c r="CC256">
        <v>0.436</v>
      </c>
      <c r="CD256">
        <v>0.32500000000000001</v>
      </c>
      <c r="CE256">
        <v>0.23899999999999999</v>
      </c>
      <c r="CF256">
        <v>0.14499999999999999</v>
      </c>
      <c r="CG256">
        <v>0.504</v>
      </c>
      <c r="CH256">
        <v>0.35</v>
      </c>
      <c r="CI256" cm="1">
        <f t="array" ref="CI256:CS256">VLOOKUP(A256,verticalmove_pitchers_2019!A:N,{3,4,5,6,7,8,9,10,11,12,13},FALSE)</f>
        <v>81</v>
      </c>
      <c r="CJ256">
        <v>8.5</v>
      </c>
      <c r="CK256">
        <v>0</v>
      </c>
      <c r="CL256">
        <v>0</v>
      </c>
      <c r="CM256">
        <v>6.4</v>
      </c>
      <c r="CN256">
        <v>4</v>
      </c>
      <c r="CO256">
        <v>-0.3</v>
      </c>
      <c r="CP256">
        <v>-3.8</v>
      </c>
      <c r="CQ256">
        <v>0</v>
      </c>
      <c r="CR256">
        <v>0</v>
      </c>
      <c r="CS256">
        <v>0</v>
      </c>
      <c r="CT256" cm="1">
        <f t="array" ref="CT256:DD256">VLOOKUP(A256,velocity_pitchers_2019!A:N,{3,4,5,6,7,8,9,10,11,12,13},FALSE)</f>
        <v>81</v>
      </c>
      <c r="CU256">
        <v>94.7</v>
      </c>
      <c r="CV256">
        <v>0</v>
      </c>
      <c r="CW256">
        <v>0</v>
      </c>
      <c r="CX256">
        <v>93.8</v>
      </c>
      <c r="CY256">
        <v>87</v>
      </c>
      <c r="CZ256">
        <v>84.9</v>
      </c>
      <c r="DA256">
        <v>81.3</v>
      </c>
      <c r="DB256">
        <v>0</v>
      </c>
      <c r="DC256">
        <v>0</v>
      </c>
      <c r="DD256">
        <v>0</v>
      </c>
    </row>
    <row r="257" spans="1:108" x14ac:dyDescent="0.3">
      <c r="A257" t="s">
        <v>285</v>
      </c>
      <c r="B257" t="str" cm="1">
        <f t="array" ref="B257:Y257">VLOOKUP(A257,standard_pitchers_2019!A:Y,{2,3,4,5,6,7,8,9,10,11,12,13,14,15,16,17,18,19,20,21,22,23,24,25},FALSE)</f>
        <v>White Sox</v>
      </c>
      <c r="C257">
        <v>11</v>
      </c>
      <c r="D257">
        <v>12</v>
      </c>
      <c r="E257">
        <v>4.72</v>
      </c>
      <c r="F257">
        <v>34</v>
      </c>
      <c r="G257">
        <v>34</v>
      </c>
      <c r="H257">
        <v>2</v>
      </c>
      <c r="I257">
        <v>0</v>
      </c>
      <c r="J257">
        <v>0</v>
      </c>
      <c r="K257">
        <v>0</v>
      </c>
      <c r="L257">
        <v>0</v>
      </c>
      <c r="M257">
        <v>187</v>
      </c>
      <c r="N257">
        <v>806</v>
      </c>
      <c r="O257">
        <v>225</v>
      </c>
      <c r="P257">
        <v>107</v>
      </c>
      <c r="Q257">
        <v>98</v>
      </c>
      <c r="R257">
        <v>30</v>
      </c>
      <c r="S257">
        <v>47</v>
      </c>
      <c r="T257">
        <v>1</v>
      </c>
      <c r="U257">
        <v>9</v>
      </c>
      <c r="V257">
        <v>7</v>
      </c>
      <c r="W257">
        <v>0</v>
      </c>
      <c r="X257">
        <v>114</v>
      </c>
      <c r="Y257">
        <v>1994</v>
      </c>
      <c r="Z257" cm="1">
        <f t="array" ref="Z257:AR257">VLOOKUP(A257,advanced_pitchers_2019!A:Y,{3,4,5,6,7,8,9,10,11,12,13,14,15,16,17,18,19,20,21},FALSE)</f>
        <v>5.49</v>
      </c>
      <c r="AA257">
        <v>2.2599999999999998</v>
      </c>
      <c r="AB257">
        <v>2.4300000000000002</v>
      </c>
      <c r="AC257">
        <v>1.44</v>
      </c>
      <c r="AD257">
        <v>0.14099999999999999</v>
      </c>
      <c r="AE257">
        <v>5.8000000000000003E-2</v>
      </c>
      <c r="AF257">
        <v>8.3000000000000004E-2</v>
      </c>
      <c r="AG257">
        <v>0.3</v>
      </c>
      <c r="AH257">
        <v>1.45</v>
      </c>
      <c r="AI257">
        <v>0.32200000000000001</v>
      </c>
      <c r="AJ257">
        <v>0.72799999999999998</v>
      </c>
      <c r="AK257">
        <v>104</v>
      </c>
      <c r="AL257">
        <v>107</v>
      </c>
      <c r="AM257">
        <v>107</v>
      </c>
      <c r="AN257">
        <v>4.72</v>
      </c>
      <c r="AO257">
        <v>4.9800000000000004</v>
      </c>
      <c r="AP257">
        <v>-0.26</v>
      </c>
      <c r="AQ257">
        <v>4.91</v>
      </c>
      <c r="AR257">
        <v>5.16</v>
      </c>
      <c r="AS257" cm="1">
        <f t="array" ref="AS257:BA257">VLOOKUP(A257,plate_discipline_pitchers_2019!A:L,{3,4,5,6,7,8,9,10,11},FALSE)</f>
        <v>0.33400000000000002</v>
      </c>
      <c r="AT257">
        <v>0.69799999999999995</v>
      </c>
      <c r="AU257">
        <v>0.48599999999999999</v>
      </c>
      <c r="AV257">
        <v>0.70799999999999996</v>
      </c>
      <c r="AW257">
        <v>0.90900000000000003</v>
      </c>
      <c r="AX257">
        <v>0.82899999999999996</v>
      </c>
      <c r="AY257">
        <v>0.41599999999999998</v>
      </c>
      <c r="AZ257">
        <v>0.60499999999999998</v>
      </c>
      <c r="BA257">
        <v>8.3000000000000004E-2</v>
      </c>
      <c r="BB257" cm="1">
        <f t="array" ref="BB257:BP257">VLOOKUP(A257,pitchvalue_pitchers_2019!A:Q,{3,4,5,6,7,8,9,10,11,12,13,14,15,16,17},FALSE)</f>
        <v>-4.8</v>
      </c>
      <c r="BC257">
        <v>-3</v>
      </c>
      <c r="BD257">
        <v>0</v>
      </c>
      <c r="BE257">
        <v>-5.8</v>
      </c>
      <c r="BF257">
        <v>0.6</v>
      </c>
      <c r="BG257">
        <v>0</v>
      </c>
      <c r="BH257">
        <v>0</v>
      </c>
      <c r="BI257">
        <v>-0.3</v>
      </c>
      <c r="BJ257">
        <v>-0.76</v>
      </c>
      <c r="BK257">
        <v>0</v>
      </c>
      <c r="BL257">
        <v>-1.1599999999999999</v>
      </c>
      <c r="BM257">
        <v>0.13</v>
      </c>
      <c r="BN257">
        <v>0</v>
      </c>
      <c r="BO257">
        <v>0</v>
      </c>
      <c r="BP257">
        <v>1994</v>
      </c>
      <c r="BQ257" cm="1">
        <f t="array" ref="BQ257:CH257">VLOOKUP(A257,battedball_pitchers_2019!A:U,{3,4,5,6,7,8,9,10,11,12,13,14,15,16,17,18,19,20},FALSE)</f>
        <v>0.32200000000000001</v>
      </c>
      <c r="BR257">
        <v>1.52</v>
      </c>
      <c r="BS257">
        <v>0.23599999999999999</v>
      </c>
      <c r="BT257">
        <v>0.46100000000000002</v>
      </c>
      <c r="BU257">
        <v>0.30299999999999999</v>
      </c>
      <c r="BV257">
        <v>0.1</v>
      </c>
      <c r="BW257">
        <v>0.158</v>
      </c>
      <c r="BX257">
        <v>97</v>
      </c>
      <c r="BY257">
        <v>4.67</v>
      </c>
      <c r="BZ257">
        <v>1091</v>
      </c>
      <c r="CA257">
        <v>1914</v>
      </c>
      <c r="CB257">
        <v>3005</v>
      </c>
      <c r="CC257">
        <v>0.45400000000000001</v>
      </c>
      <c r="CD257">
        <v>0.33900000000000002</v>
      </c>
      <c r="CE257">
        <v>0.20799999999999999</v>
      </c>
      <c r="CF257">
        <v>0.17299999999999999</v>
      </c>
      <c r="CG257">
        <v>0.496</v>
      </c>
      <c r="CH257">
        <v>0.33100000000000002</v>
      </c>
      <c r="CI257" cm="1">
        <f t="array" ref="CI257:CS257">VLOOKUP(A257,verticalmove_pitchers_2019!A:N,{3,4,5,6,7,8,9,10,11,12,13},FALSE)</f>
        <v>187</v>
      </c>
      <c r="CJ257">
        <v>6.3</v>
      </c>
      <c r="CK257">
        <v>0</v>
      </c>
      <c r="CL257">
        <v>0</v>
      </c>
      <c r="CM257">
        <v>3.7</v>
      </c>
      <c r="CN257">
        <v>3.5</v>
      </c>
      <c r="CO257">
        <v>4</v>
      </c>
      <c r="CP257">
        <v>-4.2</v>
      </c>
      <c r="CQ257">
        <v>0</v>
      </c>
      <c r="CR257">
        <v>0</v>
      </c>
      <c r="CS257">
        <v>0</v>
      </c>
      <c r="CT257" cm="1">
        <f t="array" ref="CT257:DD257">VLOOKUP(A257,velocity_pitchers_2019!A:N,{3,4,5,6,7,8,9,10,11,12,13},FALSE)</f>
        <v>187</v>
      </c>
      <c r="CU257">
        <v>92.8</v>
      </c>
      <c r="CV257">
        <v>0</v>
      </c>
      <c r="CW257">
        <v>0</v>
      </c>
      <c r="CX257">
        <v>92.5</v>
      </c>
      <c r="CY257">
        <v>86.4</v>
      </c>
      <c r="CZ257">
        <v>87</v>
      </c>
      <c r="DA257">
        <v>80.099999999999994</v>
      </c>
      <c r="DB257">
        <v>0</v>
      </c>
      <c r="DC257">
        <v>0</v>
      </c>
      <c r="DD257">
        <v>0</v>
      </c>
    </row>
    <row r="258" spans="1:108" x14ac:dyDescent="0.3">
      <c r="A258" t="s">
        <v>325</v>
      </c>
      <c r="B258" t="str" cm="1">
        <f t="array" ref="B258:Y258">VLOOKUP(A258,standard_pitchers_2019!A:Y,{2,3,4,5,6,7,8,9,10,11,12,13,14,15,16,17,18,19,20,21,22,23,24,25},FALSE)</f>
        <v>Athletics</v>
      </c>
      <c r="C258">
        <v>4</v>
      </c>
      <c r="D258">
        <v>6</v>
      </c>
      <c r="E258">
        <v>5.25</v>
      </c>
      <c r="F258">
        <v>61</v>
      </c>
      <c r="G258">
        <v>0</v>
      </c>
      <c r="H258">
        <v>0</v>
      </c>
      <c r="I258">
        <v>0</v>
      </c>
      <c r="J258">
        <v>0</v>
      </c>
      <c r="K258">
        <v>17</v>
      </c>
      <c r="L258">
        <v>5</v>
      </c>
      <c r="M258">
        <v>60</v>
      </c>
      <c r="N258">
        <v>269</v>
      </c>
      <c r="O258">
        <v>61</v>
      </c>
      <c r="P258">
        <v>40</v>
      </c>
      <c r="Q258">
        <v>35</v>
      </c>
      <c r="R258">
        <v>7</v>
      </c>
      <c r="S258">
        <v>31</v>
      </c>
      <c r="T258">
        <v>2</v>
      </c>
      <c r="U258">
        <v>3</v>
      </c>
      <c r="V258">
        <v>7</v>
      </c>
      <c r="W258">
        <v>0</v>
      </c>
      <c r="X258">
        <v>57</v>
      </c>
      <c r="Y258">
        <v>15043</v>
      </c>
      <c r="Z258" cm="1">
        <f t="array" ref="Z258:AR258">VLOOKUP(A258,advanced_pitchers_2019!A:Y,{3,4,5,6,7,8,9,10,11,12,13,14,15,16,17,18,19,20,21},FALSE)</f>
        <v>8.5500000000000007</v>
      </c>
      <c r="AA258">
        <v>4.6500000000000004</v>
      </c>
      <c r="AB258">
        <v>1.84</v>
      </c>
      <c r="AC258">
        <v>1.05</v>
      </c>
      <c r="AD258">
        <v>0.21199999999999999</v>
      </c>
      <c r="AE258">
        <v>0.115</v>
      </c>
      <c r="AF258">
        <v>9.7000000000000003E-2</v>
      </c>
      <c r="AG258">
        <v>0.26</v>
      </c>
      <c r="AH258">
        <v>1.53</v>
      </c>
      <c r="AI258">
        <v>0.316</v>
      </c>
      <c r="AJ258">
        <v>0.64600000000000002</v>
      </c>
      <c r="AK258">
        <v>118</v>
      </c>
      <c r="AL258">
        <v>101</v>
      </c>
      <c r="AM258">
        <v>115</v>
      </c>
      <c r="AN258">
        <v>5.25</v>
      </c>
      <c r="AO258">
        <v>4.53</v>
      </c>
      <c r="AP258">
        <v>0.72</v>
      </c>
      <c r="AQ258">
        <v>5.27</v>
      </c>
      <c r="AR258">
        <v>4.8099999999999996</v>
      </c>
      <c r="AS258" cm="1">
        <f t="array" ref="AS258:BA258">VLOOKUP(A258,plate_discipline_pitchers_2019!A:L,{3,4,5,6,7,8,9,10,11},FALSE)</f>
        <v>0.32600000000000001</v>
      </c>
      <c r="AT258">
        <v>0.68899999999999995</v>
      </c>
      <c r="AU258">
        <v>0.48199999999999998</v>
      </c>
      <c r="AV258">
        <v>0.57899999999999996</v>
      </c>
      <c r="AW258">
        <v>0.84299999999999997</v>
      </c>
      <c r="AX258">
        <v>0.74199999999999999</v>
      </c>
      <c r="AY258">
        <v>0.43099999999999999</v>
      </c>
      <c r="AZ258">
        <v>0.64300000000000002</v>
      </c>
      <c r="BA258">
        <v>0.125</v>
      </c>
      <c r="BB258" cm="1">
        <f t="array" ref="BB258:BP258">VLOOKUP(A258,pitchvalue_pitchers_2019!A:Q,{3,4,5,6,7,8,9,10,11,12,13,14,15,16,17},FALSE)</f>
        <v>-4.9000000000000004</v>
      </c>
      <c r="BC258">
        <v>0</v>
      </c>
      <c r="BD258">
        <v>-0.9</v>
      </c>
      <c r="BE258">
        <v>1.9</v>
      </c>
      <c r="BF258">
        <v>-0.8</v>
      </c>
      <c r="BG258">
        <v>0</v>
      </c>
      <c r="BH258">
        <v>0</v>
      </c>
      <c r="BI258">
        <v>-0.98</v>
      </c>
      <c r="BJ258">
        <v>0</v>
      </c>
      <c r="BK258">
        <v>-0.27</v>
      </c>
      <c r="BL258">
        <v>1.75</v>
      </c>
      <c r="BM258">
        <v>-1.8</v>
      </c>
      <c r="BN258">
        <v>0</v>
      </c>
      <c r="BO258">
        <v>0</v>
      </c>
      <c r="BP258">
        <v>15043</v>
      </c>
      <c r="BQ258" cm="1">
        <f t="array" ref="BQ258:CH258">VLOOKUP(A258,battedball_pitchers_2019!A:U,{3,4,5,6,7,8,9,10,11,12,13,14,15,16,17,18,19,20},FALSE)</f>
        <v>0.316</v>
      </c>
      <c r="BR258">
        <v>1.1499999999999999</v>
      </c>
      <c r="BS258">
        <v>0.156</v>
      </c>
      <c r="BT258">
        <v>0.45100000000000001</v>
      </c>
      <c r="BU258">
        <v>0.39300000000000002</v>
      </c>
      <c r="BV258">
        <v>0.13200000000000001</v>
      </c>
      <c r="BW258">
        <v>0.10299999999999999</v>
      </c>
      <c r="BX258">
        <v>28</v>
      </c>
      <c r="BY258">
        <v>4.2</v>
      </c>
      <c r="BZ258">
        <v>367</v>
      </c>
      <c r="CA258">
        <v>620</v>
      </c>
      <c r="CB258">
        <v>987</v>
      </c>
      <c r="CC258">
        <v>0.40400000000000003</v>
      </c>
      <c r="CD258">
        <v>0.28100000000000003</v>
      </c>
      <c r="CE258">
        <v>0.315</v>
      </c>
      <c r="CF258">
        <v>0.219</v>
      </c>
      <c r="CG258">
        <v>0.42699999999999999</v>
      </c>
      <c r="CH258">
        <v>0.35399999999999998</v>
      </c>
      <c r="CI258" cm="1">
        <f t="array" ref="CI258:CS258">VLOOKUP(A258,verticalmove_pitchers_2019!A:N,{3,4,5,6,7,8,9,10,11,12,13},FALSE)</f>
        <v>60</v>
      </c>
      <c r="CJ258">
        <v>7.7</v>
      </c>
      <c r="CK258">
        <v>3.8</v>
      </c>
      <c r="CL258">
        <v>0</v>
      </c>
      <c r="CM258">
        <v>5.3</v>
      </c>
      <c r="CN258">
        <v>1.4</v>
      </c>
      <c r="CO258">
        <v>6.9</v>
      </c>
      <c r="CP258">
        <v>-5.5</v>
      </c>
      <c r="CQ258">
        <v>0</v>
      </c>
      <c r="CR258">
        <v>0</v>
      </c>
      <c r="CS258">
        <v>0</v>
      </c>
      <c r="CT258" cm="1">
        <f t="array" ref="CT258:DD258">VLOOKUP(A258,velocity_pitchers_2019!A:N,{3,4,5,6,7,8,9,10,11,12,13},FALSE)</f>
        <v>60</v>
      </c>
      <c r="CU258">
        <v>97.4</v>
      </c>
      <c r="CV258">
        <v>92.5</v>
      </c>
      <c r="CW258">
        <v>0</v>
      </c>
      <c r="CX258">
        <v>97.6</v>
      </c>
      <c r="CY258">
        <v>87.9</v>
      </c>
      <c r="CZ258">
        <v>93.6</v>
      </c>
      <c r="DA258">
        <v>80.099999999999994</v>
      </c>
      <c r="DB258">
        <v>0</v>
      </c>
      <c r="DC258">
        <v>0</v>
      </c>
      <c r="DD258">
        <v>0</v>
      </c>
    </row>
    <row r="259" spans="1:108" x14ac:dyDescent="0.3">
      <c r="A259" t="s">
        <v>281</v>
      </c>
      <c r="B259" t="str" cm="1">
        <f t="array" ref="B259:Y259">VLOOKUP(A259,standard_pitchers_2019!A:Y,{2,3,4,5,6,7,8,9,10,11,12,13,14,15,16,17,18,19,20,21,22,23,24,25},FALSE)</f>
        <v>Astros</v>
      </c>
      <c r="C259">
        <v>4</v>
      </c>
      <c r="D259">
        <v>5</v>
      </c>
      <c r="E259">
        <v>4.7</v>
      </c>
      <c r="F259">
        <v>35</v>
      </c>
      <c r="G259">
        <v>8</v>
      </c>
      <c r="H259">
        <v>0</v>
      </c>
      <c r="I259">
        <v>0</v>
      </c>
      <c r="J259">
        <v>0</v>
      </c>
      <c r="K259">
        <v>4</v>
      </c>
      <c r="L259">
        <v>0</v>
      </c>
      <c r="M259">
        <v>74.2</v>
      </c>
      <c r="N259">
        <v>317</v>
      </c>
      <c r="O259">
        <v>62</v>
      </c>
      <c r="P259">
        <v>41</v>
      </c>
      <c r="Q259">
        <v>39</v>
      </c>
      <c r="R259">
        <v>12</v>
      </c>
      <c r="S259">
        <v>30</v>
      </c>
      <c r="T259">
        <v>0</v>
      </c>
      <c r="U259">
        <v>3</v>
      </c>
      <c r="V259">
        <v>0</v>
      </c>
      <c r="W259">
        <v>0</v>
      </c>
      <c r="X259">
        <v>82</v>
      </c>
      <c r="Y259">
        <v>7531</v>
      </c>
      <c r="Z259" cm="1">
        <f t="array" ref="Z259:AR259">VLOOKUP(A259,advanced_pitchers_2019!A:Y,{3,4,5,6,7,8,9,10,11,12,13,14,15,16,17,18,19,20,21},FALSE)</f>
        <v>9.8800000000000008</v>
      </c>
      <c r="AA259">
        <v>3.62</v>
      </c>
      <c r="AB259">
        <v>2.73</v>
      </c>
      <c r="AC259">
        <v>1.45</v>
      </c>
      <c r="AD259">
        <v>0.25900000000000001</v>
      </c>
      <c r="AE259">
        <v>9.5000000000000001E-2</v>
      </c>
      <c r="AF259">
        <v>0.16400000000000001</v>
      </c>
      <c r="AG259">
        <v>0.218</v>
      </c>
      <c r="AH259">
        <v>1.23</v>
      </c>
      <c r="AI259">
        <v>0.26300000000000001</v>
      </c>
      <c r="AJ259">
        <v>0.69099999999999995</v>
      </c>
      <c r="AK259">
        <v>105</v>
      </c>
      <c r="AL259">
        <v>98</v>
      </c>
      <c r="AM259">
        <v>95</v>
      </c>
      <c r="AN259">
        <v>4.7</v>
      </c>
      <c r="AO259">
        <v>4.43</v>
      </c>
      <c r="AP259">
        <v>0.27</v>
      </c>
      <c r="AQ259">
        <v>4.34</v>
      </c>
      <c r="AR259">
        <v>4.2300000000000004</v>
      </c>
      <c r="AS259" cm="1">
        <f t="array" ref="AS259:BA259">VLOOKUP(A259,plate_discipline_pitchers_2019!A:L,{3,4,5,6,7,8,9,10,11},FALSE)</f>
        <v>0.31</v>
      </c>
      <c r="AT259">
        <v>0.59599999999999997</v>
      </c>
      <c r="AU259">
        <v>0.434</v>
      </c>
      <c r="AV259">
        <v>0.55800000000000005</v>
      </c>
      <c r="AW259">
        <v>0.86299999999999999</v>
      </c>
      <c r="AX259">
        <v>0.74</v>
      </c>
      <c r="AY259">
        <v>0.436</v>
      </c>
      <c r="AZ259">
        <v>0.59</v>
      </c>
      <c r="BA259">
        <v>0.113</v>
      </c>
      <c r="BB259" cm="1">
        <f t="array" ref="BB259:BP259">VLOOKUP(A259,pitchvalue_pitchers_2019!A:Q,{3,4,5,6,7,8,9,10,11,12,13,14,15,16,17},FALSE)</f>
        <v>-4.9000000000000004</v>
      </c>
      <c r="BC259">
        <v>7.9</v>
      </c>
      <c r="BD259">
        <v>2.1</v>
      </c>
      <c r="BE259">
        <v>-2.8</v>
      </c>
      <c r="BF259">
        <v>0.1</v>
      </c>
      <c r="BG259">
        <v>0</v>
      </c>
      <c r="BH259">
        <v>0</v>
      </c>
      <c r="BI259">
        <v>-1.1399999999999999</v>
      </c>
      <c r="BJ259">
        <v>1.42</v>
      </c>
      <c r="BK259">
        <v>1.38</v>
      </c>
      <c r="BL259">
        <v>-2.64</v>
      </c>
      <c r="BM259">
        <v>0.17</v>
      </c>
      <c r="BN259">
        <v>0</v>
      </c>
      <c r="BO259">
        <v>0</v>
      </c>
      <c r="BP259">
        <v>7531</v>
      </c>
      <c r="BQ259" cm="1">
        <f t="array" ref="BQ259:CH259">VLOOKUP(A259,battedball_pitchers_2019!A:U,{3,4,5,6,7,8,9,10,11,12,13,14,15,16,17,18,19,20},FALSE)</f>
        <v>0.26300000000000001</v>
      </c>
      <c r="BR259">
        <v>1.01</v>
      </c>
      <c r="BS259">
        <v>0.245</v>
      </c>
      <c r="BT259">
        <v>0.38</v>
      </c>
      <c r="BU259">
        <v>0.375</v>
      </c>
      <c r="BV259">
        <v>6.7000000000000004E-2</v>
      </c>
      <c r="BW259">
        <v>0.16</v>
      </c>
      <c r="BX259">
        <v>43</v>
      </c>
      <c r="BY259">
        <v>5.18</v>
      </c>
      <c r="BZ259">
        <v>477</v>
      </c>
      <c r="CA259">
        <v>817</v>
      </c>
      <c r="CB259">
        <v>1294</v>
      </c>
      <c r="CC259">
        <v>0.38300000000000001</v>
      </c>
      <c r="CD259">
        <v>0.34300000000000003</v>
      </c>
      <c r="CE259">
        <v>0.27400000000000002</v>
      </c>
      <c r="CF259">
        <v>0.154</v>
      </c>
      <c r="CG259">
        <v>0.46300000000000002</v>
      </c>
      <c r="CH259">
        <v>0.38300000000000001</v>
      </c>
      <c r="CI259" cm="1">
        <f t="array" ref="CI259:CS259">VLOOKUP(A259,verticalmove_pitchers_2019!A:N,{3,4,5,6,7,8,9,10,11,12,13},FALSE)</f>
        <v>74.2</v>
      </c>
      <c r="CJ259">
        <v>8.4</v>
      </c>
      <c r="CK259">
        <v>3.4</v>
      </c>
      <c r="CL259">
        <v>0</v>
      </c>
      <c r="CM259">
        <v>5.0999999999999996</v>
      </c>
      <c r="CN259">
        <v>3.4</v>
      </c>
      <c r="CO259">
        <v>-0.9</v>
      </c>
      <c r="CP259">
        <v>-8.1999999999999993</v>
      </c>
      <c r="CQ259">
        <v>0</v>
      </c>
      <c r="CR259">
        <v>0</v>
      </c>
      <c r="CS259">
        <v>0</v>
      </c>
      <c r="CT259" cm="1">
        <f t="array" ref="CT259:DD259">VLOOKUP(A259,velocity_pitchers_2019!A:N,{3,4,5,6,7,8,9,10,11,12,13},FALSE)</f>
        <v>74.2</v>
      </c>
      <c r="CU259">
        <v>91</v>
      </c>
      <c r="CV259">
        <v>87.3</v>
      </c>
      <c r="CW259">
        <v>0</v>
      </c>
      <c r="CX259">
        <v>88.8</v>
      </c>
      <c r="CY259">
        <v>84.2</v>
      </c>
      <c r="CZ259">
        <v>79.900000000000006</v>
      </c>
      <c r="DA259">
        <v>74.900000000000006</v>
      </c>
      <c r="DB259">
        <v>0</v>
      </c>
      <c r="DC259">
        <v>0</v>
      </c>
      <c r="DD259">
        <v>0</v>
      </c>
    </row>
    <row r="260" spans="1:108" x14ac:dyDescent="0.3">
      <c r="A260" t="s">
        <v>375</v>
      </c>
      <c r="B260" t="str" cm="1">
        <f t="array" ref="B260:Y260">VLOOKUP(A260,standard_pitchers_2019!A:Y,{2,3,4,5,6,7,8,9,10,11,12,13,14,15,16,17,18,19,20,21,22,23,24,25},FALSE)</f>
        <v>Blue Jays</v>
      </c>
      <c r="C260">
        <v>3</v>
      </c>
      <c r="D260">
        <v>6</v>
      </c>
      <c r="E260">
        <v>6.16</v>
      </c>
      <c r="F260">
        <v>37</v>
      </c>
      <c r="G260">
        <v>7</v>
      </c>
      <c r="H260">
        <v>0</v>
      </c>
      <c r="I260">
        <v>0</v>
      </c>
      <c r="J260">
        <v>0</v>
      </c>
      <c r="K260">
        <v>1</v>
      </c>
      <c r="L260">
        <v>0</v>
      </c>
      <c r="M260">
        <v>73</v>
      </c>
      <c r="N260">
        <v>325</v>
      </c>
      <c r="O260">
        <v>73</v>
      </c>
      <c r="P260">
        <v>51</v>
      </c>
      <c r="Q260">
        <v>50</v>
      </c>
      <c r="R260">
        <v>13</v>
      </c>
      <c r="S260">
        <v>31</v>
      </c>
      <c r="T260">
        <v>1</v>
      </c>
      <c r="U260">
        <v>6</v>
      </c>
      <c r="V260">
        <v>6</v>
      </c>
      <c r="W260">
        <v>0</v>
      </c>
      <c r="X260">
        <v>69</v>
      </c>
      <c r="Y260">
        <v>17281</v>
      </c>
      <c r="Z260" cm="1">
        <f t="array" ref="Z260:AR260">VLOOKUP(A260,advanced_pitchers_2019!A:Y,{3,4,5,6,7,8,9,10,11,12,13,14,15,16,17,18,19,20,21},FALSE)</f>
        <v>8.51</v>
      </c>
      <c r="AA260">
        <v>3.82</v>
      </c>
      <c r="AB260">
        <v>2.23</v>
      </c>
      <c r="AC260">
        <v>1.6</v>
      </c>
      <c r="AD260">
        <v>0.21199999999999999</v>
      </c>
      <c r="AE260">
        <v>9.5000000000000001E-2</v>
      </c>
      <c r="AF260">
        <v>0.11700000000000001</v>
      </c>
      <c r="AG260">
        <v>0.253</v>
      </c>
      <c r="AH260">
        <v>1.42</v>
      </c>
      <c r="AI260">
        <v>0.29099999999999998</v>
      </c>
      <c r="AJ260">
        <v>0.64300000000000002</v>
      </c>
      <c r="AK260">
        <v>134</v>
      </c>
      <c r="AL260">
        <v>111</v>
      </c>
      <c r="AM260">
        <v>121</v>
      </c>
      <c r="AN260">
        <v>6.16</v>
      </c>
      <c r="AO260">
        <v>5.16</v>
      </c>
      <c r="AP260">
        <v>1.01</v>
      </c>
      <c r="AQ260">
        <v>5.54</v>
      </c>
      <c r="AR260">
        <v>4.8</v>
      </c>
      <c r="AS260" cm="1">
        <f t="array" ref="AS260:BA260">VLOOKUP(A260,plate_discipline_pitchers_2019!A:L,{3,4,5,6,7,8,9,10,11},FALSE)</f>
        <v>0.318</v>
      </c>
      <c r="AT260">
        <v>0.69899999999999995</v>
      </c>
      <c r="AU260">
        <v>0.46899999999999997</v>
      </c>
      <c r="AV260">
        <v>0.74</v>
      </c>
      <c r="AW260">
        <v>0.78600000000000003</v>
      </c>
      <c r="AX260">
        <v>0.76700000000000002</v>
      </c>
      <c r="AY260">
        <v>0.39400000000000002</v>
      </c>
      <c r="AZ260">
        <v>0.58499999999999996</v>
      </c>
      <c r="BA260">
        <v>0.109</v>
      </c>
      <c r="BB260" cm="1">
        <f t="array" ref="BB260:BP260">VLOOKUP(A260,pitchvalue_pitchers_2019!A:Q,{3,4,5,6,7,8,9,10,11,12,13,14,15,16,17},FALSE)</f>
        <v>-4.9000000000000004</v>
      </c>
      <c r="BC260">
        <v>0</v>
      </c>
      <c r="BD260">
        <v>-0.5</v>
      </c>
      <c r="BE260">
        <v>-1.2</v>
      </c>
      <c r="BF260">
        <v>1.4</v>
      </c>
      <c r="BG260">
        <v>0</v>
      </c>
      <c r="BH260">
        <v>0</v>
      </c>
      <c r="BI260">
        <v>-0.64</v>
      </c>
      <c r="BJ260">
        <v>0</v>
      </c>
      <c r="BK260">
        <v>-50.87</v>
      </c>
      <c r="BL260">
        <v>-0.43</v>
      </c>
      <c r="BM260">
        <v>0.71</v>
      </c>
      <c r="BN260">
        <v>0</v>
      </c>
      <c r="BO260">
        <v>0</v>
      </c>
      <c r="BP260">
        <v>17281</v>
      </c>
      <c r="BQ260" cm="1">
        <f t="array" ref="BQ260:CH260">VLOOKUP(A260,battedball_pitchers_2019!A:U,{3,4,5,6,7,8,9,10,11,12,13,14,15,16,17,18,19,20},FALSE)</f>
        <v>0.29099999999999998</v>
      </c>
      <c r="BR260">
        <v>0.72</v>
      </c>
      <c r="BS260">
        <v>0.21299999999999999</v>
      </c>
      <c r="BT260">
        <v>0.32900000000000001</v>
      </c>
      <c r="BU260">
        <v>0.45800000000000002</v>
      </c>
      <c r="BV260">
        <v>7.0999999999999994E-2</v>
      </c>
      <c r="BW260">
        <v>0.13100000000000001</v>
      </c>
      <c r="BX260">
        <v>31</v>
      </c>
      <c r="BY260">
        <v>3.82</v>
      </c>
      <c r="BZ260">
        <v>453</v>
      </c>
      <c r="CA260">
        <v>802</v>
      </c>
      <c r="CB260">
        <v>1255</v>
      </c>
      <c r="CC260">
        <v>0.38800000000000001</v>
      </c>
      <c r="CD260">
        <v>0.33800000000000002</v>
      </c>
      <c r="CE260">
        <v>0.27400000000000002</v>
      </c>
      <c r="CF260">
        <v>0.13700000000000001</v>
      </c>
      <c r="CG260">
        <v>0.46100000000000002</v>
      </c>
      <c r="CH260">
        <v>0.40200000000000002</v>
      </c>
      <c r="CI260" cm="1">
        <f t="array" ref="CI260:CS260">VLOOKUP(A260,verticalmove_pitchers_2019!A:N,{3,4,5,6,7,8,9,10,11,12,13},FALSE)</f>
        <v>73</v>
      </c>
      <c r="CJ260">
        <v>8.5</v>
      </c>
      <c r="CK260">
        <v>4.2</v>
      </c>
      <c r="CL260">
        <v>0</v>
      </c>
      <c r="CM260">
        <v>7.7</v>
      </c>
      <c r="CN260">
        <v>3.9</v>
      </c>
      <c r="CO260">
        <v>0</v>
      </c>
      <c r="CP260">
        <v>-4.8</v>
      </c>
      <c r="CQ260">
        <v>0</v>
      </c>
      <c r="CR260">
        <v>0</v>
      </c>
      <c r="CS260">
        <v>0</v>
      </c>
      <c r="CT260" cm="1">
        <f t="array" ref="CT260:DD260">VLOOKUP(A260,velocity_pitchers_2019!A:N,{3,4,5,6,7,8,9,10,11,12,13},FALSE)</f>
        <v>73</v>
      </c>
      <c r="CU260">
        <v>90.1</v>
      </c>
      <c r="CV260">
        <v>84.9</v>
      </c>
      <c r="CW260">
        <v>0</v>
      </c>
      <c r="CX260">
        <v>91.6</v>
      </c>
      <c r="CY260">
        <v>83.7</v>
      </c>
      <c r="CZ260">
        <v>0</v>
      </c>
      <c r="DA260">
        <v>74</v>
      </c>
      <c r="DB260">
        <v>0</v>
      </c>
      <c r="DC260">
        <v>0</v>
      </c>
      <c r="DD260">
        <v>0</v>
      </c>
    </row>
    <row r="261" spans="1:108" x14ac:dyDescent="0.3">
      <c r="A261" t="s">
        <v>365</v>
      </c>
      <c r="B261" t="str" cm="1">
        <f t="array" ref="B261:Y261">VLOOKUP(A261,standard_pitchers_2019!A:Y,{2,3,4,5,6,7,8,9,10,11,12,13,14,15,16,17,18,19,20,21,22,23,24,25},FALSE)</f>
        <v>Tigers</v>
      </c>
      <c r="C261">
        <v>4</v>
      </c>
      <c r="D261">
        <v>3</v>
      </c>
      <c r="E261">
        <v>5.9</v>
      </c>
      <c r="F261">
        <v>22</v>
      </c>
      <c r="G261">
        <v>4</v>
      </c>
      <c r="H261">
        <v>0</v>
      </c>
      <c r="I261">
        <v>0</v>
      </c>
      <c r="J261">
        <v>0</v>
      </c>
      <c r="K261">
        <v>1</v>
      </c>
      <c r="L261">
        <v>0</v>
      </c>
      <c r="M261">
        <v>58</v>
      </c>
      <c r="N261">
        <v>258</v>
      </c>
      <c r="O261">
        <v>70</v>
      </c>
      <c r="P261">
        <v>40</v>
      </c>
      <c r="Q261">
        <v>38</v>
      </c>
      <c r="R261">
        <v>9</v>
      </c>
      <c r="S261">
        <v>23</v>
      </c>
      <c r="T261">
        <v>1</v>
      </c>
      <c r="U261">
        <v>4</v>
      </c>
      <c r="V261">
        <v>3</v>
      </c>
      <c r="W261">
        <v>0</v>
      </c>
      <c r="X261">
        <v>51</v>
      </c>
      <c r="Y261">
        <v>13424</v>
      </c>
      <c r="Z261" cm="1">
        <f t="array" ref="Z261:AR261">VLOOKUP(A261,advanced_pitchers_2019!A:Y,{3,4,5,6,7,8,9,10,11,12,13,14,15,16,17,18,19,20,21},FALSE)</f>
        <v>7.91</v>
      </c>
      <c r="AA261">
        <v>3.57</v>
      </c>
      <c r="AB261">
        <v>2.2200000000000002</v>
      </c>
      <c r="AC261">
        <v>1.4</v>
      </c>
      <c r="AD261">
        <v>0.19800000000000001</v>
      </c>
      <c r="AE261">
        <v>8.8999999999999996E-2</v>
      </c>
      <c r="AF261">
        <v>0.109</v>
      </c>
      <c r="AG261">
        <v>0.30299999999999999</v>
      </c>
      <c r="AH261">
        <v>1.6</v>
      </c>
      <c r="AI261">
        <v>0.35699999999999998</v>
      </c>
      <c r="AJ261">
        <v>0.67500000000000004</v>
      </c>
      <c r="AK261">
        <v>126</v>
      </c>
      <c r="AL261">
        <v>105</v>
      </c>
      <c r="AM261">
        <v>102</v>
      </c>
      <c r="AN261">
        <v>5.9</v>
      </c>
      <c r="AO261">
        <v>4.87</v>
      </c>
      <c r="AP261">
        <v>1.03</v>
      </c>
      <c r="AQ261">
        <v>4.67</v>
      </c>
      <c r="AR261">
        <v>4.55</v>
      </c>
      <c r="AS261" cm="1">
        <f t="array" ref="AS261:BA261">VLOOKUP(A261,plate_discipline_pitchers_2019!A:L,{3,4,5,6,7,8,9,10,11},FALSE)</f>
        <v>0.28000000000000003</v>
      </c>
      <c r="AT261">
        <v>0.63400000000000001</v>
      </c>
      <c r="AU261">
        <v>0.44500000000000001</v>
      </c>
      <c r="AV261">
        <v>0.56000000000000005</v>
      </c>
      <c r="AW261">
        <v>0.90300000000000002</v>
      </c>
      <c r="AX261">
        <v>0.78800000000000003</v>
      </c>
      <c r="AY261">
        <v>0.46700000000000003</v>
      </c>
      <c r="AZ261">
        <v>0.624</v>
      </c>
      <c r="BA261">
        <v>9.4E-2</v>
      </c>
      <c r="BB261" cm="1">
        <f t="array" ref="BB261:BP261">VLOOKUP(A261,pitchvalue_pitchers_2019!A:Q,{3,4,5,6,7,8,9,10,11,12,13,14,15,16,17},FALSE)</f>
        <v>-5.0999999999999996</v>
      </c>
      <c r="BC261">
        <v>-5.5</v>
      </c>
      <c r="BD261">
        <v>0</v>
      </c>
      <c r="BE261">
        <v>1.5</v>
      </c>
      <c r="BF261">
        <v>0</v>
      </c>
      <c r="BG261">
        <v>0</v>
      </c>
      <c r="BH261">
        <v>0</v>
      </c>
      <c r="BI261">
        <v>-1.03</v>
      </c>
      <c r="BJ261">
        <v>-1.92</v>
      </c>
      <c r="BK261">
        <v>0</v>
      </c>
      <c r="BL261">
        <v>1.01</v>
      </c>
      <c r="BM261">
        <v>-0.47</v>
      </c>
      <c r="BN261">
        <v>0</v>
      </c>
      <c r="BO261">
        <v>0</v>
      </c>
      <c r="BP261">
        <v>13424</v>
      </c>
      <c r="BQ261" cm="1">
        <f t="array" ref="BQ261:CH261">VLOOKUP(A261,battedball_pitchers_2019!A:U,{3,4,5,6,7,8,9,10,11,12,13,14,15,16,17,18,19,20},FALSE)</f>
        <v>0.35699999999999998</v>
      </c>
      <c r="BR261">
        <v>1.74</v>
      </c>
      <c r="BS261">
        <v>0.19400000000000001</v>
      </c>
      <c r="BT261">
        <v>0.51100000000000001</v>
      </c>
      <c r="BU261">
        <v>0.29399999999999998</v>
      </c>
      <c r="BV261">
        <v>9.4E-2</v>
      </c>
      <c r="BW261">
        <v>0.17</v>
      </c>
      <c r="BX261">
        <v>22</v>
      </c>
      <c r="BY261">
        <v>3.41</v>
      </c>
      <c r="BZ261">
        <v>339</v>
      </c>
      <c r="CA261">
        <v>606</v>
      </c>
      <c r="CB261">
        <v>945</v>
      </c>
      <c r="CC261">
        <v>0.49399999999999999</v>
      </c>
      <c r="CD261">
        <v>0.311</v>
      </c>
      <c r="CE261">
        <v>0.19400000000000001</v>
      </c>
      <c r="CF261">
        <v>0.17199999999999999</v>
      </c>
      <c r="CG261">
        <v>0.42799999999999999</v>
      </c>
      <c r="CH261">
        <v>0.4</v>
      </c>
      <c r="CI261" cm="1">
        <f t="array" ref="CI261:CS261">VLOOKUP(A261,verticalmove_pitchers_2019!A:N,{3,4,5,6,7,8,9,10,11,12,13},FALSE)</f>
        <v>58</v>
      </c>
      <c r="CJ261">
        <v>7.9</v>
      </c>
      <c r="CK261">
        <v>0</v>
      </c>
      <c r="CL261">
        <v>0</v>
      </c>
      <c r="CM261">
        <v>4.7</v>
      </c>
      <c r="CN261">
        <v>5.0999999999999996</v>
      </c>
      <c r="CO261">
        <v>-0.6</v>
      </c>
      <c r="CP261">
        <v>-9.8000000000000007</v>
      </c>
      <c r="CQ261">
        <v>0</v>
      </c>
      <c r="CR261">
        <v>0</v>
      </c>
      <c r="CS261">
        <v>0</v>
      </c>
      <c r="CT261" cm="1">
        <f t="array" ref="CT261:DD261">VLOOKUP(A261,velocity_pitchers_2019!A:N,{3,4,5,6,7,8,9,10,11,12,13},FALSE)</f>
        <v>58</v>
      </c>
      <c r="CU261">
        <v>94</v>
      </c>
      <c r="CV261">
        <v>0</v>
      </c>
      <c r="CW261">
        <v>0</v>
      </c>
      <c r="CX261">
        <v>93.2</v>
      </c>
      <c r="CY261">
        <v>88.4</v>
      </c>
      <c r="CZ261">
        <v>84.9</v>
      </c>
      <c r="DA261">
        <v>78.5</v>
      </c>
      <c r="DB261">
        <v>0</v>
      </c>
      <c r="DC261">
        <v>0</v>
      </c>
      <c r="DD261">
        <v>0</v>
      </c>
    </row>
    <row r="262" spans="1:108" x14ac:dyDescent="0.3">
      <c r="A262" t="s">
        <v>322</v>
      </c>
      <c r="B262" t="str" cm="1">
        <f t="array" ref="B262:Y262">VLOOKUP(A262,standard_pitchers_2019!A:Y,{2,3,4,5,6,7,8,9,10,11,12,13,14,15,16,17,18,19,20,21,22,23,24,25},FALSE)</f>
        <v>Pirates</v>
      </c>
      <c r="C262">
        <v>3</v>
      </c>
      <c r="D262">
        <v>9</v>
      </c>
      <c r="E262">
        <v>5.19</v>
      </c>
      <c r="F262">
        <v>23</v>
      </c>
      <c r="G262">
        <v>23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119.2</v>
      </c>
      <c r="N262">
        <v>526</v>
      </c>
      <c r="O262">
        <v>114</v>
      </c>
      <c r="P262">
        <v>73</v>
      </c>
      <c r="Q262">
        <v>69</v>
      </c>
      <c r="R262">
        <v>25</v>
      </c>
      <c r="S262">
        <v>55</v>
      </c>
      <c r="T262">
        <v>2</v>
      </c>
      <c r="U262">
        <v>4</v>
      </c>
      <c r="V262">
        <v>6</v>
      </c>
      <c r="W262">
        <v>0</v>
      </c>
      <c r="X262">
        <v>143</v>
      </c>
      <c r="Y262">
        <v>6345</v>
      </c>
      <c r="Z262" cm="1">
        <f t="array" ref="Z262:AR262">VLOOKUP(A262,advanced_pitchers_2019!A:Y,{3,4,5,6,7,8,9,10,11,12,13,14,15,16,17,18,19,20,21},FALSE)</f>
        <v>10.75</v>
      </c>
      <c r="AA262">
        <v>4.1399999999999997</v>
      </c>
      <c r="AB262">
        <v>2.6</v>
      </c>
      <c r="AC262">
        <v>1.88</v>
      </c>
      <c r="AD262">
        <v>0.27200000000000002</v>
      </c>
      <c r="AE262">
        <v>0.105</v>
      </c>
      <c r="AF262">
        <v>0.16700000000000001</v>
      </c>
      <c r="AG262">
        <v>0.24399999999999999</v>
      </c>
      <c r="AH262">
        <v>1.41</v>
      </c>
      <c r="AI262">
        <v>0.29799999999999999</v>
      </c>
      <c r="AJ262">
        <v>0.72499999999999998</v>
      </c>
      <c r="AK262">
        <v>120</v>
      </c>
      <c r="AL262">
        <v>113</v>
      </c>
      <c r="AM262">
        <v>98</v>
      </c>
      <c r="AN262">
        <v>5.19</v>
      </c>
      <c r="AO262">
        <v>5.0199999999999996</v>
      </c>
      <c r="AP262">
        <v>0.17</v>
      </c>
      <c r="AQ262">
        <v>4.3600000000000003</v>
      </c>
      <c r="AR262">
        <v>4.38</v>
      </c>
      <c r="AS262" cm="1">
        <f t="array" ref="AS262:BA262">VLOOKUP(A262,plate_discipline_pitchers_2019!A:L,{3,4,5,6,7,8,9,10,11},FALSE)</f>
        <v>0.318</v>
      </c>
      <c r="AT262">
        <v>0.65100000000000002</v>
      </c>
      <c r="AU262">
        <v>0.45600000000000002</v>
      </c>
      <c r="AV262">
        <v>0.57499999999999996</v>
      </c>
      <c r="AW262">
        <v>0.81399999999999995</v>
      </c>
      <c r="AX262">
        <v>0.71699999999999997</v>
      </c>
      <c r="AY262">
        <v>0.41399999999999998</v>
      </c>
      <c r="AZ262">
        <v>0.61399999999999999</v>
      </c>
      <c r="BA262">
        <v>0.129</v>
      </c>
      <c r="BB262" cm="1">
        <f t="array" ref="BB262:BP262">VLOOKUP(A262,pitchvalue_pitchers_2019!A:Q,{3,4,5,6,7,8,9,10,11,12,13,14,15,16,17},FALSE)</f>
        <v>-5.2</v>
      </c>
      <c r="BC262">
        <v>-0.1</v>
      </c>
      <c r="BD262">
        <v>0</v>
      </c>
      <c r="BE262">
        <v>-1</v>
      </c>
      <c r="BF262">
        <v>-2.4</v>
      </c>
      <c r="BG262">
        <v>0</v>
      </c>
      <c r="BH262">
        <v>0</v>
      </c>
      <c r="BI262">
        <v>-0.49</v>
      </c>
      <c r="BJ262">
        <v>-0.02</v>
      </c>
      <c r="BK262">
        <v>0</v>
      </c>
      <c r="BL262">
        <v>-2.2999999999999998</v>
      </c>
      <c r="BM262">
        <v>-0.97</v>
      </c>
      <c r="BN262">
        <v>0</v>
      </c>
      <c r="BO262">
        <v>0</v>
      </c>
      <c r="BP262">
        <v>6345</v>
      </c>
      <c r="BQ262" cm="1">
        <f t="array" ref="BQ262:CH262">VLOOKUP(A262,battedball_pitchers_2019!A:U,{3,4,5,6,7,8,9,10,11,12,13,14,15,16,17,18,19,20},FALSE)</f>
        <v>0.29799999999999999</v>
      </c>
      <c r="BR262">
        <v>0.92</v>
      </c>
      <c r="BS262">
        <v>0.24199999999999999</v>
      </c>
      <c r="BT262">
        <v>0.36299999999999999</v>
      </c>
      <c r="BU262">
        <v>0.39500000000000002</v>
      </c>
      <c r="BV262">
        <v>7.2999999999999995E-2</v>
      </c>
      <c r="BW262">
        <v>0.20200000000000001</v>
      </c>
      <c r="BX262">
        <v>62</v>
      </c>
      <c r="BY262">
        <v>4.66</v>
      </c>
      <c r="BZ262">
        <v>774</v>
      </c>
      <c r="CA262">
        <v>1324</v>
      </c>
      <c r="CB262">
        <v>2098</v>
      </c>
      <c r="CC262">
        <v>0.38300000000000001</v>
      </c>
      <c r="CD262">
        <v>0.33</v>
      </c>
      <c r="CE262">
        <v>0.28699999999999998</v>
      </c>
      <c r="CF262">
        <v>0.16400000000000001</v>
      </c>
      <c r="CG262">
        <v>0.435</v>
      </c>
      <c r="CH262">
        <v>0.40100000000000002</v>
      </c>
      <c r="CI262" cm="1">
        <f t="array" ref="CI262:CS262">VLOOKUP(A262,verticalmove_pitchers_2019!A:N,{3,4,5,6,7,8,9,10,11,12,13},FALSE)</f>
        <v>119.2</v>
      </c>
      <c r="CJ262">
        <v>9.8000000000000007</v>
      </c>
      <c r="CK262">
        <v>0</v>
      </c>
      <c r="CL262">
        <v>0</v>
      </c>
      <c r="CM262">
        <v>8.6</v>
      </c>
      <c r="CN262">
        <v>4.0999999999999996</v>
      </c>
      <c r="CO262">
        <v>0.7</v>
      </c>
      <c r="CP262">
        <v>-4.4000000000000004</v>
      </c>
      <c r="CQ262">
        <v>0</v>
      </c>
      <c r="CR262">
        <v>0</v>
      </c>
      <c r="CS262">
        <v>0</v>
      </c>
      <c r="CT262" cm="1">
        <f t="array" ref="CT262:DD262">VLOOKUP(A262,velocity_pitchers_2019!A:N,{3,4,5,6,7,8,9,10,11,12,13},FALSE)</f>
        <v>119.2</v>
      </c>
      <c r="CU262">
        <v>94.3</v>
      </c>
      <c r="CV262">
        <v>0</v>
      </c>
      <c r="CW262">
        <v>0</v>
      </c>
      <c r="CX262">
        <v>94.1</v>
      </c>
      <c r="CY262">
        <v>87.9</v>
      </c>
      <c r="CZ262">
        <v>88.8</v>
      </c>
      <c r="DA262">
        <v>82.6</v>
      </c>
      <c r="DB262">
        <v>0</v>
      </c>
      <c r="DC262">
        <v>0</v>
      </c>
      <c r="DD262">
        <v>0</v>
      </c>
    </row>
    <row r="263" spans="1:108" x14ac:dyDescent="0.3">
      <c r="A263" t="s">
        <v>275</v>
      </c>
      <c r="B263" t="str" cm="1">
        <f t="array" ref="B263:Y263">VLOOKUP(A263,standard_pitchers_2019!A:Y,{2,3,4,5,6,7,8,9,10,11,12,13,14,15,16,17,18,19,20,21,22,23,24,25},FALSE)</f>
        <v>White Sox</v>
      </c>
      <c r="C263">
        <v>4</v>
      </c>
      <c r="D263">
        <v>0</v>
      </c>
      <c r="E263">
        <v>4.66</v>
      </c>
      <c r="F263">
        <v>57</v>
      </c>
      <c r="G263">
        <v>0</v>
      </c>
      <c r="H263">
        <v>0</v>
      </c>
      <c r="I263">
        <v>0</v>
      </c>
      <c r="J263">
        <v>0</v>
      </c>
      <c r="K263">
        <v>2</v>
      </c>
      <c r="L263">
        <v>1</v>
      </c>
      <c r="M263">
        <v>67.2</v>
      </c>
      <c r="N263">
        <v>272</v>
      </c>
      <c r="O263">
        <v>62</v>
      </c>
      <c r="P263">
        <v>38</v>
      </c>
      <c r="Q263">
        <v>35</v>
      </c>
      <c r="R263">
        <v>15</v>
      </c>
      <c r="S263">
        <v>15</v>
      </c>
      <c r="T263">
        <v>1</v>
      </c>
      <c r="U263">
        <v>0</v>
      </c>
      <c r="V263">
        <v>3</v>
      </c>
      <c r="W263">
        <v>0</v>
      </c>
      <c r="X263">
        <v>61</v>
      </c>
      <c r="Y263">
        <v>11528</v>
      </c>
      <c r="Z263" cm="1">
        <f t="array" ref="Z263:AR263">VLOOKUP(A263,advanced_pitchers_2019!A:Y,{3,4,5,6,7,8,9,10,11,12,13,14,15,16,17,18,19,20,21},FALSE)</f>
        <v>8.11</v>
      </c>
      <c r="AA263">
        <v>2</v>
      </c>
      <c r="AB263">
        <v>4.07</v>
      </c>
      <c r="AC263">
        <v>2</v>
      </c>
      <c r="AD263">
        <v>0.224</v>
      </c>
      <c r="AE263">
        <v>5.5E-2</v>
      </c>
      <c r="AF263">
        <v>0.16900000000000001</v>
      </c>
      <c r="AG263">
        <v>0.24099999999999999</v>
      </c>
      <c r="AH263">
        <v>1.1399999999999999</v>
      </c>
      <c r="AI263">
        <v>0.26</v>
      </c>
      <c r="AJ263">
        <v>0.69599999999999995</v>
      </c>
      <c r="AK263">
        <v>103</v>
      </c>
      <c r="AL263">
        <v>107</v>
      </c>
      <c r="AM263">
        <v>91</v>
      </c>
      <c r="AN263">
        <v>4.66</v>
      </c>
      <c r="AO263">
        <v>4.96</v>
      </c>
      <c r="AP263">
        <v>-0.3</v>
      </c>
      <c r="AQ263">
        <v>4.16</v>
      </c>
      <c r="AR263">
        <v>3.93</v>
      </c>
      <c r="AS263" cm="1">
        <f t="array" ref="AS263:BA263">VLOOKUP(A263,plate_discipline_pitchers_2019!A:L,{3,4,5,6,7,8,9,10,11},FALSE)</f>
        <v>0.315</v>
      </c>
      <c r="AT263">
        <v>0.69699999999999995</v>
      </c>
      <c r="AU263">
        <v>0.48399999999999999</v>
      </c>
      <c r="AV263">
        <v>0.55400000000000005</v>
      </c>
      <c r="AW263">
        <v>0.84699999999999998</v>
      </c>
      <c r="AX263">
        <v>0.74099999999999999</v>
      </c>
      <c r="AY263">
        <v>0.44400000000000001</v>
      </c>
      <c r="AZ263">
        <v>0.64300000000000002</v>
      </c>
      <c r="BA263">
        <v>0.125</v>
      </c>
      <c r="BB263" cm="1">
        <f t="array" ref="BB263:BP263">VLOOKUP(A263,pitchvalue_pitchers_2019!A:Q,{3,4,5,6,7,8,9,10,11,12,13,14,15,16,17},FALSE)</f>
        <v>-5.4</v>
      </c>
      <c r="BC263">
        <v>0</v>
      </c>
      <c r="BD263">
        <v>5.7</v>
      </c>
      <c r="BE263">
        <v>2.9</v>
      </c>
      <c r="BF263">
        <v>-0.6</v>
      </c>
      <c r="BG263">
        <v>0</v>
      </c>
      <c r="BH263">
        <v>0</v>
      </c>
      <c r="BI263">
        <v>-3.01</v>
      </c>
      <c r="BJ263">
        <v>0</v>
      </c>
      <c r="BK263">
        <v>0.81</v>
      </c>
      <c r="BL263">
        <v>2.4500000000000002</v>
      </c>
      <c r="BM263">
        <v>-1.24</v>
      </c>
      <c r="BN263">
        <v>0</v>
      </c>
      <c r="BO263">
        <v>0</v>
      </c>
      <c r="BP263">
        <v>11528</v>
      </c>
      <c r="BQ263" cm="1">
        <f t="array" ref="BQ263:CH263">VLOOKUP(A263,battedball_pitchers_2019!A:U,{3,4,5,6,7,8,9,10,11,12,13,14,15,16,17,18,19,20},FALSE)</f>
        <v>0.26</v>
      </c>
      <c r="BR263">
        <v>1.1499999999999999</v>
      </c>
      <c r="BS263">
        <v>0.21099999999999999</v>
      </c>
      <c r="BT263">
        <v>0.42299999999999999</v>
      </c>
      <c r="BU263">
        <v>0.36599999999999999</v>
      </c>
      <c r="BV263">
        <v>7.0000000000000007E-2</v>
      </c>
      <c r="BW263">
        <v>0.21099999999999999</v>
      </c>
      <c r="BX263">
        <v>19</v>
      </c>
      <c r="BY263">
        <v>2.5299999999999998</v>
      </c>
      <c r="BZ263">
        <v>370</v>
      </c>
      <c r="CA263">
        <v>683</v>
      </c>
      <c r="CB263">
        <v>1053</v>
      </c>
      <c r="CC263">
        <v>0.48499999999999999</v>
      </c>
      <c r="CD263">
        <v>0.30099999999999999</v>
      </c>
      <c r="CE263">
        <v>0.214</v>
      </c>
      <c r="CF263">
        <v>0.184</v>
      </c>
      <c r="CG263">
        <v>0.46400000000000002</v>
      </c>
      <c r="CH263">
        <v>0.35199999999999998</v>
      </c>
      <c r="CI263" cm="1">
        <f t="array" ref="CI263:CS263">VLOOKUP(A263,verticalmove_pitchers_2019!A:N,{3,4,5,6,7,8,9,10,11,12,13},FALSE)</f>
        <v>67.2</v>
      </c>
      <c r="CJ263">
        <v>6.7</v>
      </c>
      <c r="CK263">
        <v>3.1</v>
      </c>
      <c r="CL263">
        <v>0</v>
      </c>
      <c r="CM263">
        <v>4.5</v>
      </c>
      <c r="CN263">
        <v>7</v>
      </c>
      <c r="CO263">
        <v>-2.5</v>
      </c>
      <c r="CP263">
        <v>0</v>
      </c>
      <c r="CQ263">
        <v>0</v>
      </c>
      <c r="CR263">
        <v>0</v>
      </c>
      <c r="CS263">
        <v>0</v>
      </c>
      <c r="CT263" cm="1">
        <f t="array" ref="CT263:DD263">VLOOKUP(A263,velocity_pitchers_2019!A:N,{3,4,5,6,7,8,9,10,11,12,13},FALSE)</f>
        <v>67.2</v>
      </c>
      <c r="CU263">
        <v>94.7</v>
      </c>
      <c r="CV263">
        <v>89.5</v>
      </c>
      <c r="CW263">
        <v>0</v>
      </c>
      <c r="CX263">
        <v>94.5</v>
      </c>
      <c r="CY263">
        <v>84.3</v>
      </c>
      <c r="CZ263">
        <v>79.7</v>
      </c>
      <c r="DA263">
        <v>0</v>
      </c>
      <c r="DB263">
        <v>0</v>
      </c>
      <c r="DC263">
        <v>0</v>
      </c>
      <c r="DD263">
        <v>0</v>
      </c>
    </row>
    <row r="264" spans="1:108" x14ac:dyDescent="0.3">
      <c r="A264" t="s">
        <v>213</v>
      </c>
      <c r="B264" t="str" cm="1">
        <f t="array" ref="B264:Y264">VLOOKUP(A264,standard_pitchers_2019!A:Y,{2,3,4,5,6,7,8,9,10,11,12,13,14,15,16,17,18,19,20,21,22,23,24,25},FALSE)</f>
        <v>Rays</v>
      </c>
      <c r="C264">
        <v>11</v>
      </c>
      <c r="D264">
        <v>6</v>
      </c>
      <c r="E264">
        <v>4.13</v>
      </c>
      <c r="F264">
        <v>28</v>
      </c>
      <c r="G264">
        <v>14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141.19999999999999</v>
      </c>
      <c r="N264">
        <v>563</v>
      </c>
      <c r="O264">
        <v>121</v>
      </c>
      <c r="P264">
        <v>69</v>
      </c>
      <c r="Q264">
        <v>65</v>
      </c>
      <c r="R264">
        <v>15</v>
      </c>
      <c r="S264">
        <v>20</v>
      </c>
      <c r="T264">
        <v>2</v>
      </c>
      <c r="U264">
        <v>9</v>
      </c>
      <c r="V264">
        <v>0</v>
      </c>
      <c r="W264">
        <v>1</v>
      </c>
      <c r="X264">
        <v>117</v>
      </c>
      <c r="Y264">
        <v>16502</v>
      </c>
      <c r="Z264" cm="1">
        <f t="array" ref="Z264:AR264">VLOOKUP(A264,advanced_pitchers_2019!A:Y,{3,4,5,6,7,8,9,10,11,12,13,14,15,16,17,18,19,20,21},FALSE)</f>
        <v>7.43</v>
      </c>
      <c r="AA264">
        <v>1.27</v>
      </c>
      <c r="AB264">
        <v>5.85</v>
      </c>
      <c r="AC264">
        <v>0.95</v>
      </c>
      <c r="AD264">
        <v>0.20799999999999999</v>
      </c>
      <c r="AE264">
        <v>3.5999999999999997E-2</v>
      </c>
      <c r="AF264">
        <v>0.17199999999999999</v>
      </c>
      <c r="AG264">
        <v>0.22700000000000001</v>
      </c>
      <c r="AH264">
        <v>1</v>
      </c>
      <c r="AI264">
        <v>0.26400000000000001</v>
      </c>
      <c r="AJ264">
        <v>0.628</v>
      </c>
      <c r="AK264">
        <v>93</v>
      </c>
      <c r="AL264">
        <v>81</v>
      </c>
      <c r="AM264">
        <v>93</v>
      </c>
      <c r="AN264">
        <v>4.13</v>
      </c>
      <c r="AO264">
        <v>3.55</v>
      </c>
      <c r="AP264">
        <v>0.57999999999999996</v>
      </c>
      <c r="AQ264">
        <v>4.24</v>
      </c>
      <c r="AR264">
        <v>4.1100000000000003</v>
      </c>
      <c r="AS264" cm="1">
        <f t="array" ref="AS264:BA264">VLOOKUP(A264,plate_discipline_pitchers_2019!A:L,{3,4,5,6,7,8,9,10,11},FALSE)</f>
        <v>0.35099999999999998</v>
      </c>
      <c r="AT264">
        <v>0.68200000000000005</v>
      </c>
      <c r="AU264">
        <v>0.49199999999999999</v>
      </c>
      <c r="AV264">
        <v>0.7</v>
      </c>
      <c r="AW264">
        <v>0.85599999999999998</v>
      </c>
      <c r="AX264">
        <v>0.79300000000000004</v>
      </c>
      <c r="AY264">
        <v>0.42699999999999999</v>
      </c>
      <c r="AZ264">
        <v>0.65500000000000003</v>
      </c>
      <c r="BA264">
        <v>0.10199999999999999</v>
      </c>
      <c r="BB264" cm="1">
        <f t="array" ref="BB264:BP264">VLOOKUP(A264,pitchvalue_pitchers_2019!A:Q,{3,4,5,6,7,8,9,10,11,12,13,14,15,16,17},FALSE)</f>
        <v>-5.4</v>
      </c>
      <c r="BC264">
        <v>5.3</v>
      </c>
      <c r="BD264">
        <v>11.2</v>
      </c>
      <c r="BE264">
        <v>0</v>
      </c>
      <c r="BF264">
        <v>11.1</v>
      </c>
      <c r="BG264">
        <v>0</v>
      </c>
      <c r="BH264">
        <v>0</v>
      </c>
      <c r="BI264">
        <v>-1.0900000000000001</v>
      </c>
      <c r="BJ264">
        <v>1.92</v>
      </c>
      <c r="BK264">
        <v>1.47</v>
      </c>
      <c r="BL264">
        <v>0</v>
      </c>
      <c r="BM264">
        <v>2.11</v>
      </c>
      <c r="BN264">
        <v>0</v>
      </c>
      <c r="BO264">
        <v>0</v>
      </c>
      <c r="BP264">
        <v>16502</v>
      </c>
      <c r="BQ264" cm="1">
        <f t="array" ref="BQ264:CH264">VLOOKUP(A264,battedball_pitchers_2019!A:U,{3,4,5,6,7,8,9,10,11,12,13,14,15,16,17,18,19,20},FALSE)</f>
        <v>0.26400000000000001</v>
      </c>
      <c r="BR264">
        <v>1.22</v>
      </c>
      <c r="BS264">
        <v>0.20300000000000001</v>
      </c>
      <c r="BT264">
        <v>0.438</v>
      </c>
      <c r="BU264">
        <v>0.35899999999999999</v>
      </c>
      <c r="BV264">
        <v>0.109</v>
      </c>
      <c r="BW264">
        <v>0.10199999999999999</v>
      </c>
      <c r="BX264">
        <v>71</v>
      </c>
      <c r="BY264">
        <v>4.51</v>
      </c>
      <c r="BZ264">
        <v>680</v>
      </c>
      <c r="CA264">
        <v>1377</v>
      </c>
      <c r="CB264">
        <v>2057</v>
      </c>
      <c r="CC264">
        <v>0.38700000000000001</v>
      </c>
      <c r="CD264">
        <v>0.35299999999999998</v>
      </c>
      <c r="CE264">
        <v>0.26</v>
      </c>
      <c r="CF264">
        <v>0.185</v>
      </c>
      <c r="CG264">
        <v>0.50700000000000001</v>
      </c>
      <c r="CH264">
        <v>0.308</v>
      </c>
      <c r="CI264" cm="1">
        <f t="array" ref="CI264:CS264">VLOOKUP(A264,verticalmove_pitchers_2019!A:N,{3,4,5,6,7,8,9,10,11,12,13},FALSE)</f>
        <v>141.19999999999999</v>
      </c>
      <c r="CJ264">
        <v>5.7</v>
      </c>
      <c r="CK264">
        <v>3.6</v>
      </c>
      <c r="CL264">
        <v>0</v>
      </c>
      <c r="CM264">
        <v>0</v>
      </c>
      <c r="CN264">
        <v>2.7</v>
      </c>
      <c r="CO264">
        <v>0.2</v>
      </c>
      <c r="CP264">
        <v>0</v>
      </c>
      <c r="CQ264">
        <v>0</v>
      </c>
      <c r="CR264">
        <v>0</v>
      </c>
      <c r="CS264">
        <v>0</v>
      </c>
      <c r="CT264" cm="1">
        <f t="array" ref="CT264:DD264">VLOOKUP(A264,velocity_pitchers_2019!A:N,{3,4,5,6,7,8,9,10,11,12,13},FALSE)</f>
        <v>141.19999999999999</v>
      </c>
      <c r="CU264">
        <v>88.4</v>
      </c>
      <c r="CV264">
        <v>84.3</v>
      </c>
      <c r="CW264">
        <v>0</v>
      </c>
      <c r="CX264">
        <v>0</v>
      </c>
      <c r="CY264">
        <v>79.8</v>
      </c>
      <c r="CZ264">
        <v>73.099999999999994</v>
      </c>
      <c r="DA264">
        <v>0</v>
      </c>
      <c r="DB264">
        <v>0</v>
      </c>
      <c r="DC264">
        <v>0</v>
      </c>
      <c r="DD264">
        <v>0</v>
      </c>
    </row>
    <row r="265" spans="1:108" x14ac:dyDescent="0.3">
      <c r="A265" t="s">
        <v>297</v>
      </c>
      <c r="B265" t="str" cm="1">
        <f t="array" ref="B265:Y265">VLOOKUP(A265,standard_pitchers_2019!A:Y,{2,3,4,5,6,7,8,9,10,11,12,13,14,15,16,17,18,19,20,21,22,23,24,25},FALSE)</f>
        <v>Blue Jays</v>
      </c>
      <c r="C265">
        <v>6</v>
      </c>
      <c r="D265">
        <v>9</v>
      </c>
      <c r="E265">
        <v>4.84</v>
      </c>
      <c r="F265">
        <v>32</v>
      </c>
      <c r="G265">
        <v>29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154.1</v>
      </c>
      <c r="N265">
        <v>677</v>
      </c>
      <c r="O265">
        <v>156</v>
      </c>
      <c r="P265">
        <v>87</v>
      </c>
      <c r="Q265">
        <v>83</v>
      </c>
      <c r="R265">
        <v>24</v>
      </c>
      <c r="S265">
        <v>61</v>
      </c>
      <c r="T265">
        <v>0</v>
      </c>
      <c r="U265">
        <v>5</v>
      </c>
      <c r="V265">
        <v>5</v>
      </c>
      <c r="W265">
        <v>0</v>
      </c>
      <c r="X265">
        <v>149</v>
      </c>
      <c r="Y265">
        <v>17948</v>
      </c>
      <c r="Z265" cm="1">
        <f t="array" ref="Z265:AR265">VLOOKUP(A265,advanced_pitchers_2019!A:Y,{3,4,5,6,7,8,9,10,11,12,13,14,15,16,17,18,19,20,21},FALSE)</f>
        <v>8.69</v>
      </c>
      <c r="AA265">
        <v>3.56</v>
      </c>
      <c r="AB265">
        <v>2.44</v>
      </c>
      <c r="AC265">
        <v>1.4</v>
      </c>
      <c r="AD265">
        <v>0.22</v>
      </c>
      <c r="AE265">
        <v>0.09</v>
      </c>
      <c r="AF265">
        <v>0.13</v>
      </c>
      <c r="AG265">
        <v>0.255</v>
      </c>
      <c r="AH265">
        <v>1.41</v>
      </c>
      <c r="AI265">
        <v>0.30099999999999999</v>
      </c>
      <c r="AJ265">
        <v>0.71699999999999997</v>
      </c>
      <c r="AK265">
        <v>105</v>
      </c>
      <c r="AL265">
        <v>99</v>
      </c>
      <c r="AM265">
        <v>108</v>
      </c>
      <c r="AN265">
        <v>4.84</v>
      </c>
      <c r="AO265">
        <v>4.59</v>
      </c>
      <c r="AP265">
        <v>0.25</v>
      </c>
      <c r="AQ265">
        <v>4.9400000000000004</v>
      </c>
      <c r="AR265">
        <v>4.8</v>
      </c>
      <c r="AS265" cm="1">
        <f t="array" ref="AS265:BA265">VLOOKUP(A265,plate_discipline_pitchers_2019!A:L,{3,4,5,6,7,8,9,10,11},FALSE)</f>
        <v>0.313</v>
      </c>
      <c r="AT265">
        <v>0.64500000000000002</v>
      </c>
      <c r="AU265">
        <v>0.442</v>
      </c>
      <c r="AV265">
        <v>0.63500000000000001</v>
      </c>
      <c r="AW265">
        <v>0.88</v>
      </c>
      <c r="AX265">
        <v>0.77400000000000002</v>
      </c>
      <c r="AY265">
        <v>0.39</v>
      </c>
      <c r="AZ265">
        <v>0.60099999999999998</v>
      </c>
      <c r="BA265">
        <v>0.1</v>
      </c>
      <c r="BB265" cm="1">
        <f t="array" ref="BB265:BP265">VLOOKUP(A265,pitchvalue_pitchers_2019!A:Q,{3,4,5,6,7,8,9,10,11,12,13,14,15,16,17},FALSE)</f>
        <v>-5.4</v>
      </c>
      <c r="BC265">
        <v>0.5</v>
      </c>
      <c r="BD265">
        <v>-4</v>
      </c>
      <c r="BE265">
        <v>0.1</v>
      </c>
      <c r="BF265">
        <v>3.9</v>
      </c>
      <c r="BG265">
        <v>0</v>
      </c>
      <c r="BH265">
        <v>0</v>
      </c>
      <c r="BI265">
        <v>-0.42</v>
      </c>
      <c r="BJ265">
        <v>0.12</v>
      </c>
      <c r="BK265">
        <v>-0.89</v>
      </c>
      <c r="BL265">
        <v>0.03</v>
      </c>
      <c r="BM265">
        <v>1.59</v>
      </c>
      <c r="BN265">
        <v>0</v>
      </c>
      <c r="BO265">
        <v>0</v>
      </c>
      <c r="BP265">
        <v>17948</v>
      </c>
      <c r="BQ265" cm="1">
        <f t="array" ref="BQ265:CH265">VLOOKUP(A265,battedball_pitchers_2019!A:U,{3,4,5,6,7,8,9,10,11,12,13,14,15,16,17,18,19,20},FALSE)</f>
        <v>0.30099999999999999</v>
      </c>
      <c r="BR265">
        <v>0.8</v>
      </c>
      <c r="BS265">
        <v>0.27400000000000002</v>
      </c>
      <c r="BT265">
        <v>0.32400000000000001</v>
      </c>
      <c r="BU265">
        <v>0.40300000000000002</v>
      </c>
      <c r="BV265">
        <v>0.12</v>
      </c>
      <c r="BW265">
        <v>0.13</v>
      </c>
      <c r="BX265">
        <v>90</v>
      </c>
      <c r="BY265">
        <v>5.25</v>
      </c>
      <c r="BZ265">
        <v>1072</v>
      </c>
      <c r="CA265">
        <v>1687</v>
      </c>
      <c r="CB265">
        <v>2759</v>
      </c>
      <c r="CC265">
        <v>0.40300000000000002</v>
      </c>
      <c r="CD265">
        <v>0.32900000000000001</v>
      </c>
      <c r="CE265">
        <v>0.26800000000000002</v>
      </c>
      <c r="CF265">
        <v>0.19900000000000001</v>
      </c>
      <c r="CG265">
        <v>0.439</v>
      </c>
      <c r="CH265">
        <v>0.36099999999999999</v>
      </c>
      <c r="CI265" cm="1">
        <f t="array" ref="CI265:CS265">VLOOKUP(A265,verticalmove_pitchers_2019!A:N,{3,4,5,6,7,8,9,10,11,12,13},FALSE)</f>
        <v>154.1</v>
      </c>
      <c r="CJ265">
        <v>8.8000000000000007</v>
      </c>
      <c r="CK265">
        <v>2.4</v>
      </c>
      <c r="CL265">
        <v>4.5</v>
      </c>
      <c r="CM265">
        <v>6.1</v>
      </c>
      <c r="CN265">
        <v>0</v>
      </c>
      <c r="CO265">
        <v>-4.3</v>
      </c>
      <c r="CP265">
        <v>-7.1</v>
      </c>
      <c r="CQ265">
        <v>0</v>
      </c>
      <c r="CR265">
        <v>0</v>
      </c>
      <c r="CS265">
        <v>0</v>
      </c>
      <c r="CT265" cm="1">
        <f t="array" ref="CT265:DD265">VLOOKUP(A265,velocity_pitchers_2019!A:N,{3,4,5,6,7,8,9,10,11,12,13},FALSE)</f>
        <v>154.1</v>
      </c>
      <c r="CU265">
        <v>93.2</v>
      </c>
      <c r="CV265">
        <v>88.3</v>
      </c>
      <c r="CW265">
        <v>83.5</v>
      </c>
      <c r="CX265">
        <v>92.1</v>
      </c>
      <c r="CY265">
        <v>0</v>
      </c>
      <c r="CZ265">
        <v>80.900000000000006</v>
      </c>
      <c r="DA265">
        <v>79.8</v>
      </c>
      <c r="DB265">
        <v>0</v>
      </c>
      <c r="DC265">
        <v>0</v>
      </c>
      <c r="DD265">
        <v>0</v>
      </c>
    </row>
    <row r="266" spans="1:108" x14ac:dyDescent="0.3">
      <c r="A266" t="s">
        <v>147</v>
      </c>
      <c r="B266" t="str" cm="1">
        <f t="array" ref="B266:Y266">VLOOKUP(A266,standard_pitchers_2019!A:Y,{2,3,4,5,6,7,8,9,10,11,12,13,14,15,16,17,18,19,20,21,22,23,24,25},FALSE)</f>
        <v>- - -</v>
      </c>
      <c r="C266">
        <v>5</v>
      </c>
      <c r="D266">
        <v>2</v>
      </c>
      <c r="E266">
        <v>3.61</v>
      </c>
      <c r="F266">
        <v>66</v>
      </c>
      <c r="G266">
        <v>0</v>
      </c>
      <c r="H266">
        <v>0</v>
      </c>
      <c r="I266">
        <v>0</v>
      </c>
      <c r="J266">
        <v>12</v>
      </c>
      <c r="K266">
        <v>5</v>
      </c>
      <c r="L266">
        <v>0</v>
      </c>
      <c r="M266">
        <v>67.099999999999994</v>
      </c>
      <c r="N266">
        <v>284</v>
      </c>
      <c r="O266">
        <v>71</v>
      </c>
      <c r="P266">
        <v>28</v>
      </c>
      <c r="Q266">
        <v>27</v>
      </c>
      <c r="R266">
        <v>4</v>
      </c>
      <c r="S266">
        <v>18</v>
      </c>
      <c r="T266">
        <v>2</v>
      </c>
      <c r="U266">
        <v>2</v>
      </c>
      <c r="V266">
        <v>4</v>
      </c>
      <c r="W266">
        <v>0</v>
      </c>
      <c r="X266">
        <v>68</v>
      </c>
      <c r="Y266">
        <v>4264</v>
      </c>
      <c r="Z266" cm="1">
        <f t="array" ref="Z266:AR266">VLOOKUP(A266,advanced_pitchers_2019!A:Y,{3,4,5,6,7,8,9,10,11,12,13,14,15,16,17,18,19,20,21},FALSE)</f>
        <v>9.09</v>
      </c>
      <c r="AA266">
        <v>2.41</v>
      </c>
      <c r="AB266">
        <v>3.78</v>
      </c>
      <c r="AC266">
        <v>0.53</v>
      </c>
      <c r="AD266">
        <v>0.23899999999999999</v>
      </c>
      <c r="AE266">
        <v>6.3E-2</v>
      </c>
      <c r="AF266">
        <v>0.17599999999999999</v>
      </c>
      <c r="AG266">
        <v>0.26900000000000002</v>
      </c>
      <c r="AH266">
        <v>1.32</v>
      </c>
      <c r="AI266">
        <v>0.34899999999999998</v>
      </c>
      <c r="AJ266">
        <v>0.73799999999999999</v>
      </c>
      <c r="AK266">
        <v>84</v>
      </c>
      <c r="AL266">
        <v>67</v>
      </c>
      <c r="AM266">
        <v>69</v>
      </c>
      <c r="AN266">
        <v>3.61</v>
      </c>
      <c r="AO266">
        <v>2.86</v>
      </c>
      <c r="AP266">
        <v>0.75</v>
      </c>
      <c r="AQ266">
        <v>3.06</v>
      </c>
      <c r="AR266">
        <v>3.17</v>
      </c>
      <c r="AS266" cm="1">
        <f t="array" ref="AS266:BA266">VLOOKUP(A266,plate_discipline_pitchers_2019!A:L,{3,4,5,6,7,8,9,10,11},FALSE)</f>
        <v>0.32500000000000001</v>
      </c>
      <c r="AT266">
        <v>0.63800000000000001</v>
      </c>
      <c r="AU266">
        <v>0.45</v>
      </c>
      <c r="AV266">
        <v>0.63500000000000001</v>
      </c>
      <c r="AW266">
        <v>0.879</v>
      </c>
      <c r="AX266">
        <v>0.77300000000000002</v>
      </c>
      <c r="AY266">
        <v>0.40100000000000002</v>
      </c>
      <c r="AZ266">
        <v>0.57699999999999996</v>
      </c>
      <c r="BA266">
        <v>0.10199999999999999</v>
      </c>
      <c r="BB266" cm="1">
        <f t="array" ref="BB266:BP266">VLOOKUP(A266,pitchvalue_pitchers_2019!A:Q,{3,4,5,6,7,8,9,10,11,12,13,14,15,16,17},FALSE)</f>
        <v>-5.5</v>
      </c>
      <c r="BC266">
        <v>0</v>
      </c>
      <c r="BD266">
        <v>2.2999999999999998</v>
      </c>
      <c r="BE266">
        <v>8.6</v>
      </c>
      <c r="BF266">
        <v>1.7</v>
      </c>
      <c r="BG266">
        <v>0</v>
      </c>
      <c r="BH266">
        <v>0</v>
      </c>
      <c r="BI266">
        <v>-2.98</v>
      </c>
      <c r="BJ266">
        <v>0</v>
      </c>
      <c r="BK266">
        <v>0.44</v>
      </c>
      <c r="BL266">
        <v>2.59</v>
      </c>
      <c r="BM266">
        <v>6.15</v>
      </c>
      <c r="BN266">
        <v>0</v>
      </c>
      <c r="BO266">
        <v>0</v>
      </c>
      <c r="BP266">
        <v>4264</v>
      </c>
      <c r="BQ266" cm="1">
        <f t="array" ref="BQ266:CH266">VLOOKUP(A266,battedball_pitchers_2019!A:U,{3,4,5,6,7,8,9,10,11,12,13,14,15,16,17,18,19,20},FALSE)</f>
        <v>0.34899999999999998</v>
      </c>
      <c r="BR266">
        <v>3.67</v>
      </c>
      <c r="BS266">
        <v>0.21</v>
      </c>
      <c r="BT266">
        <v>0.621</v>
      </c>
      <c r="BU266">
        <v>0.16900000000000001</v>
      </c>
      <c r="BV266">
        <v>0.121</v>
      </c>
      <c r="BW266">
        <v>0.121</v>
      </c>
      <c r="BX266">
        <v>27</v>
      </c>
      <c r="BY266">
        <v>3.61</v>
      </c>
      <c r="BZ266">
        <v>387</v>
      </c>
      <c r="CA266">
        <v>681</v>
      </c>
      <c r="CB266">
        <v>1068</v>
      </c>
      <c r="CC266">
        <v>0.39800000000000002</v>
      </c>
      <c r="CD266">
        <v>0.378</v>
      </c>
      <c r="CE266">
        <v>0.224</v>
      </c>
      <c r="CF266">
        <v>0.16300000000000001</v>
      </c>
      <c r="CG266">
        <v>0.45400000000000001</v>
      </c>
      <c r="CH266">
        <v>0.38300000000000001</v>
      </c>
      <c r="CI266" cm="1">
        <f t="array" ref="CI266:CS266">VLOOKUP(A266,verticalmove_pitchers_2019!A:N,{3,4,5,6,7,8,9,10,11,12,13},FALSE)</f>
        <v>67.099999999999994</v>
      </c>
      <c r="CJ266">
        <v>6.9</v>
      </c>
      <c r="CK266">
        <v>5.5</v>
      </c>
      <c r="CL266">
        <v>5.4</v>
      </c>
      <c r="CM266">
        <v>4.9000000000000004</v>
      </c>
      <c r="CN266">
        <v>0</v>
      </c>
      <c r="CO266">
        <v>0</v>
      </c>
      <c r="CP266">
        <v>-9.6999999999999993</v>
      </c>
      <c r="CQ266">
        <v>0</v>
      </c>
      <c r="CR266">
        <v>0</v>
      </c>
      <c r="CS266">
        <v>0</v>
      </c>
      <c r="CT266" cm="1">
        <f t="array" ref="CT266:DD266">VLOOKUP(A266,velocity_pitchers_2019!A:N,{3,4,5,6,7,8,9,10,11,12,13},FALSE)</f>
        <v>67.099999999999994</v>
      </c>
      <c r="CU266">
        <v>92.5</v>
      </c>
      <c r="CV266">
        <v>92.1</v>
      </c>
      <c r="CW266">
        <v>83.7</v>
      </c>
      <c r="CX266">
        <v>93</v>
      </c>
      <c r="CY266">
        <v>0</v>
      </c>
      <c r="CZ266">
        <v>0</v>
      </c>
      <c r="DA266">
        <v>82.3</v>
      </c>
      <c r="DB266">
        <v>0</v>
      </c>
      <c r="DC266">
        <v>0</v>
      </c>
      <c r="DD266">
        <v>0</v>
      </c>
    </row>
    <row r="267" spans="1:108" x14ac:dyDescent="0.3">
      <c r="A267" t="s">
        <v>254</v>
      </c>
      <c r="B267" t="str" cm="1">
        <f t="array" ref="B267:Y267">VLOOKUP(A267,standard_pitchers_2019!A:Y,{2,3,4,5,6,7,8,9,10,11,12,13,14,15,16,17,18,19,20,21,22,23,24,25},FALSE)</f>
        <v>Nationals</v>
      </c>
      <c r="C267">
        <v>4</v>
      </c>
      <c r="D267">
        <v>2</v>
      </c>
      <c r="E267">
        <v>4.5</v>
      </c>
      <c r="F267">
        <v>21</v>
      </c>
      <c r="G267">
        <v>12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78</v>
      </c>
      <c r="N267">
        <v>334</v>
      </c>
      <c r="O267">
        <v>81</v>
      </c>
      <c r="P267">
        <v>39</v>
      </c>
      <c r="Q267">
        <v>39</v>
      </c>
      <c r="R267">
        <v>11</v>
      </c>
      <c r="S267">
        <v>33</v>
      </c>
      <c r="T267">
        <v>2</v>
      </c>
      <c r="U267">
        <v>2</v>
      </c>
      <c r="V267">
        <v>1</v>
      </c>
      <c r="W267">
        <v>0</v>
      </c>
      <c r="X267">
        <v>41</v>
      </c>
      <c r="Y267">
        <v>17425</v>
      </c>
      <c r="Z267" cm="1">
        <f t="array" ref="Z267:AR267">VLOOKUP(A267,advanced_pitchers_2019!A:Y,{3,4,5,6,7,8,9,10,11,12,13,14,15,16,17,18,19,20,21},FALSE)</f>
        <v>4.7300000000000004</v>
      </c>
      <c r="AA267">
        <v>3.81</v>
      </c>
      <c r="AB267">
        <v>1.24</v>
      </c>
      <c r="AC267">
        <v>1.27</v>
      </c>
      <c r="AD267">
        <v>0.123</v>
      </c>
      <c r="AE267">
        <v>9.9000000000000005E-2</v>
      </c>
      <c r="AF267">
        <v>2.4E-2</v>
      </c>
      <c r="AG267">
        <v>0.27100000000000002</v>
      </c>
      <c r="AH267">
        <v>1.46</v>
      </c>
      <c r="AI267">
        <v>0.28299999999999997</v>
      </c>
      <c r="AJ267">
        <v>0.76500000000000001</v>
      </c>
      <c r="AK267">
        <v>100</v>
      </c>
      <c r="AL267">
        <v>118</v>
      </c>
      <c r="AM267">
        <v>119</v>
      </c>
      <c r="AN267">
        <v>4.5</v>
      </c>
      <c r="AO267">
        <v>5.34</v>
      </c>
      <c r="AP267">
        <v>-0.84</v>
      </c>
      <c r="AQ267">
        <v>5.27</v>
      </c>
      <c r="AR267">
        <v>5.69</v>
      </c>
      <c r="AS267" cm="1">
        <f t="array" ref="AS267:BA267">VLOOKUP(A267,plate_discipline_pitchers_2019!A:L,{3,4,5,6,7,8,9,10,11},FALSE)</f>
        <v>0.27100000000000002</v>
      </c>
      <c r="AT267">
        <v>0.68100000000000005</v>
      </c>
      <c r="AU267">
        <v>0.43</v>
      </c>
      <c r="AV267">
        <v>0.70899999999999996</v>
      </c>
      <c r="AW267">
        <v>0.91500000000000004</v>
      </c>
      <c r="AX267">
        <v>0.83599999999999997</v>
      </c>
      <c r="AY267">
        <v>0.38900000000000001</v>
      </c>
      <c r="AZ267">
        <v>0.59</v>
      </c>
      <c r="BA267">
        <v>7.0999999999999994E-2</v>
      </c>
      <c r="BB267" cm="1">
        <f t="array" ref="BB267:BP267">VLOOKUP(A267,pitchvalue_pitchers_2019!A:Q,{3,4,5,6,7,8,9,10,11,12,13,14,15,16,17},FALSE)</f>
        <v>-5.5</v>
      </c>
      <c r="BC267">
        <v>-0.5</v>
      </c>
      <c r="BD267">
        <v>4.2</v>
      </c>
      <c r="BE267">
        <v>0</v>
      </c>
      <c r="BF267">
        <v>-1.3</v>
      </c>
      <c r="BG267">
        <v>0</v>
      </c>
      <c r="BH267">
        <v>0</v>
      </c>
      <c r="BI267">
        <v>-0.77</v>
      </c>
      <c r="BJ267">
        <v>-0.19</v>
      </c>
      <c r="BK267">
        <v>1.84</v>
      </c>
      <c r="BL267">
        <v>0</v>
      </c>
      <c r="BM267">
        <v>-1.37</v>
      </c>
      <c r="BN267">
        <v>0</v>
      </c>
      <c r="BO267">
        <v>0</v>
      </c>
      <c r="BP267">
        <v>17425</v>
      </c>
      <c r="BQ267" cm="1">
        <f t="array" ref="BQ267:CH267">VLOOKUP(A267,battedball_pitchers_2019!A:U,{3,4,5,6,7,8,9,10,11,12,13,14,15,16,17,18,19,20},FALSE)</f>
        <v>0.28299999999999997</v>
      </c>
      <c r="BR267">
        <v>1.86</v>
      </c>
      <c r="BS267">
        <v>0.215</v>
      </c>
      <c r="BT267">
        <v>0.51</v>
      </c>
      <c r="BU267">
        <v>0.27500000000000002</v>
      </c>
      <c r="BV267">
        <v>8.6999999999999994E-2</v>
      </c>
      <c r="BW267">
        <v>0.159</v>
      </c>
      <c r="BX267">
        <v>48</v>
      </c>
      <c r="BY267">
        <v>5.54</v>
      </c>
      <c r="BZ267">
        <v>521</v>
      </c>
      <c r="CA267">
        <v>766</v>
      </c>
      <c r="CB267">
        <v>1287</v>
      </c>
      <c r="CC267">
        <v>0.40300000000000002</v>
      </c>
      <c r="CD267">
        <v>0.34100000000000003</v>
      </c>
      <c r="CE267">
        <v>0.25600000000000001</v>
      </c>
      <c r="CF267">
        <v>0.20899999999999999</v>
      </c>
      <c r="CG267">
        <v>0.438</v>
      </c>
      <c r="CH267">
        <v>0.35299999999999998</v>
      </c>
      <c r="CI267" cm="1">
        <f t="array" ref="CI267:CS267">VLOOKUP(A267,verticalmove_pitchers_2019!A:N,{3,4,5,6,7,8,9,10,11,12,13},FALSE)</f>
        <v>78</v>
      </c>
      <c r="CJ267">
        <v>0</v>
      </c>
      <c r="CK267">
        <v>1.6</v>
      </c>
      <c r="CL267">
        <v>1.1000000000000001</v>
      </c>
      <c r="CM267">
        <v>4.5</v>
      </c>
      <c r="CN267">
        <v>0</v>
      </c>
      <c r="CO267">
        <v>-2.5</v>
      </c>
      <c r="CP267">
        <v>-4.7</v>
      </c>
      <c r="CQ267">
        <v>0</v>
      </c>
      <c r="CR267">
        <v>0</v>
      </c>
      <c r="CS267">
        <v>0</v>
      </c>
      <c r="CT267" cm="1">
        <f t="array" ref="CT267:DD267">VLOOKUP(A267,velocity_pitchers_2019!A:N,{3,4,5,6,7,8,9,10,11,12,13},FALSE)</f>
        <v>78</v>
      </c>
      <c r="CU267">
        <v>0</v>
      </c>
      <c r="CV267">
        <v>87.5</v>
      </c>
      <c r="CW267">
        <v>85.7</v>
      </c>
      <c r="CX267">
        <v>92.6</v>
      </c>
      <c r="CY267">
        <v>0</v>
      </c>
      <c r="CZ267">
        <v>80.099999999999994</v>
      </c>
      <c r="DA267">
        <v>79.2</v>
      </c>
      <c r="DB267">
        <v>0</v>
      </c>
      <c r="DC267">
        <v>0</v>
      </c>
      <c r="DD267">
        <v>0</v>
      </c>
    </row>
    <row r="268" spans="1:108" x14ac:dyDescent="0.3">
      <c r="A268" t="s">
        <v>291</v>
      </c>
      <c r="B268" t="str" cm="1">
        <f t="array" ref="B268:Y268">VLOOKUP(A268,standard_pitchers_2019!A:Y,{2,3,4,5,6,7,8,9,10,11,12,13,14,15,16,17,18,19,20,21,22,23,24,25},FALSE)</f>
        <v>Rangers</v>
      </c>
      <c r="C268">
        <v>2</v>
      </c>
      <c r="D268">
        <v>3</v>
      </c>
      <c r="E268">
        <v>4.76</v>
      </c>
      <c r="F268">
        <v>51</v>
      </c>
      <c r="G268">
        <v>2</v>
      </c>
      <c r="H268">
        <v>0</v>
      </c>
      <c r="I268">
        <v>0</v>
      </c>
      <c r="J268">
        <v>0</v>
      </c>
      <c r="K268">
        <v>4</v>
      </c>
      <c r="L268">
        <v>1</v>
      </c>
      <c r="M268">
        <v>62.1</v>
      </c>
      <c r="N268">
        <v>280</v>
      </c>
      <c r="O268">
        <v>72</v>
      </c>
      <c r="P268">
        <v>38</v>
      </c>
      <c r="Q268">
        <v>33</v>
      </c>
      <c r="R268">
        <v>7</v>
      </c>
      <c r="S268">
        <v>18</v>
      </c>
      <c r="T268">
        <v>2</v>
      </c>
      <c r="U268">
        <v>2</v>
      </c>
      <c r="V268">
        <v>3</v>
      </c>
      <c r="W268">
        <v>0</v>
      </c>
      <c r="X268">
        <v>62</v>
      </c>
      <c r="Y268">
        <v>17369</v>
      </c>
      <c r="Z268" cm="1">
        <f t="array" ref="Z268:AR268">VLOOKUP(A268,advanced_pitchers_2019!A:Y,{3,4,5,6,7,8,9,10,11,12,13,14,15,16,17,18,19,20,21},FALSE)</f>
        <v>8.9499999999999993</v>
      </c>
      <c r="AA268">
        <v>2.6</v>
      </c>
      <c r="AB268">
        <v>3.44</v>
      </c>
      <c r="AC268">
        <v>1.01</v>
      </c>
      <c r="AD268">
        <v>0.221</v>
      </c>
      <c r="AE268">
        <v>6.4000000000000001E-2</v>
      </c>
      <c r="AF268">
        <v>0.157</v>
      </c>
      <c r="AG268">
        <v>0.27700000000000002</v>
      </c>
      <c r="AH268">
        <v>1.44</v>
      </c>
      <c r="AI268">
        <v>0.34</v>
      </c>
      <c r="AJ268">
        <v>0.65700000000000003</v>
      </c>
      <c r="AK268">
        <v>95</v>
      </c>
      <c r="AL268">
        <v>77</v>
      </c>
      <c r="AM268">
        <v>80</v>
      </c>
      <c r="AN268">
        <v>4.76</v>
      </c>
      <c r="AO268">
        <v>3.65</v>
      </c>
      <c r="AP268">
        <v>1.1200000000000001</v>
      </c>
      <c r="AQ268">
        <v>3.66</v>
      </c>
      <c r="AR268">
        <v>3.7</v>
      </c>
      <c r="AS268" cm="1">
        <f t="array" ref="AS268:BA268">VLOOKUP(A268,plate_discipline_pitchers_2019!A:L,{3,4,5,6,7,8,9,10,11},FALSE)</f>
        <v>0.33600000000000002</v>
      </c>
      <c r="AT268">
        <v>0.70899999999999996</v>
      </c>
      <c r="AU268">
        <v>0.51200000000000001</v>
      </c>
      <c r="AV268">
        <v>0.53800000000000003</v>
      </c>
      <c r="AW268">
        <v>0.85</v>
      </c>
      <c r="AX268">
        <v>0.74199999999999999</v>
      </c>
      <c r="AY268">
        <v>0.47099999999999997</v>
      </c>
      <c r="AZ268">
        <v>0.621</v>
      </c>
      <c r="BA268">
        <v>0.13200000000000001</v>
      </c>
      <c r="BB268" cm="1">
        <f t="array" ref="BB268:BP268">VLOOKUP(A268,pitchvalue_pitchers_2019!A:Q,{3,4,5,6,7,8,9,10,11,12,13,14,15,16,17},FALSE)</f>
        <v>-5.5</v>
      </c>
      <c r="BC268">
        <v>3.3</v>
      </c>
      <c r="BD268">
        <v>0</v>
      </c>
      <c r="BE268">
        <v>0.1</v>
      </c>
      <c r="BF268">
        <v>0</v>
      </c>
      <c r="BG268">
        <v>0</v>
      </c>
      <c r="BH268">
        <v>0</v>
      </c>
      <c r="BI268">
        <v>-1.03</v>
      </c>
      <c r="BJ268">
        <v>0.97</v>
      </c>
      <c r="BK268">
        <v>0</v>
      </c>
      <c r="BL268">
        <v>0.04</v>
      </c>
      <c r="BM268">
        <v>0</v>
      </c>
      <c r="BN268">
        <v>0</v>
      </c>
      <c r="BO268">
        <v>0</v>
      </c>
      <c r="BP268">
        <v>17369</v>
      </c>
      <c r="BQ268" cm="1">
        <f t="array" ref="BQ268:CH268">VLOOKUP(A268,battedball_pitchers_2019!A:U,{3,4,5,6,7,8,9,10,11,12,13,14,15,16,17,18,19,20},FALSE)</f>
        <v>0.34</v>
      </c>
      <c r="BR268">
        <v>2.2999999999999998</v>
      </c>
      <c r="BS268">
        <v>0.22800000000000001</v>
      </c>
      <c r="BT268">
        <v>0.53800000000000003</v>
      </c>
      <c r="BU268">
        <v>0.23400000000000001</v>
      </c>
      <c r="BV268">
        <v>0.13</v>
      </c>
      <c r="BW268">
        <v>0.152</v>
      </c>
      <c r="BX268">
        <v>47</v>
      </c>
      <c r="BY268">
        <v>6.79</v>
      </c>
      <c r="BZ268">
        <v>343</v>
      </c>
      <c r="CA268">
        <v>679</v>
      </c>
      <c r="CB268">
        <v>1022</v>
      </c>
      <c r="CC268">
        <v>0.45500000000000002</v>
      </c>
      <c r="CD268">
        <v>0.36399999999999999</v>
      </c>
      <c r="CE268">
        <v>0.182</v>
      </c>
      <c r="CF268">
        <v>0.182</v>
      </c>
      <c r="CG268">
        <v>0.42899999999999999</v>
      </c>
      <c r="CH268">
        <v>0.38900000000000001</v>
      </c>
      <c r="CI268" cm="1">
        <f t="array" ref="CI268:CS268">VLOOKUP(A268,verticalmove_pitchers_2019!A:N,{3,4,5,6,7,8,9,10,11,12,13},FALSE)</f>
        <v>62.1</v>
      </c>
      <c r="CJ268">
        <v>7.9</v>
      </c>
      <c r="CK268">
        <v>0</v>
      </c>
      <c r="CL268">
        <v>0</v>
      </c>
      <c r="CM268">
        <v>5.0999999999999996</v>
      </c>
      <c r="CN268">
        <v>2.5</v>
      </c>
      <c r="CO268">
        <v>-0.4</v>
      </c>
      <c r="CP268">
        <v>-6.4</v>
      </c>
      <c r="CQ268">
        <v>0</v>
      </c>
      <c r="CR268">
        <v>0</v>
      </c>
      <c r="CS268">
        <v>0</v>
      </c>
      <c r="CT268" cm="1">
        <f t="array" ref="CT268:DD268">VLOOKUP(A268,velocity_pitchers_2019!A:N,{3,4,5,6,7,8,9,10,11,12,13},FALSE)</f>
        <v>62.1</v>
      </c>
      <c r="CU268">
        <v>94.2</v>
      </c>
      <c r="CV268">
        <v>0</v>
      </c>
      <c r="CW268">
        <v>0</v>
      </c>
      <c r="CX268">
        <v>93.8</v>
      </c>
      <c r="CY268">
        <v>89.7</v>
      </c>
      <c r="CZ268">
        <v>85.3</v>
      </c>
      <c r="DA268">
        <v>81.2</v>
      </c>
      <c r="DB268">
        <v>0</v>
      </c>
      <c r="DC268">
        <v>0</v>
      </c>
      <c r="DD268">
        <v>0</v>
      </c>
    </row>
    <row r="269" spans="1:108" x14ac:dyDescent="0.3">
      <c r="A269" t="s">
        <v>186</v>
      </c>
      <c r="B269" t="str" cm="1">
        <f t="array" ref="B269:Y269">VLOOKUP(A269,standard_pitchers_2019!A:Y,{2,3,4,5,6,7,8,9,10,11,12,13,14,15,16,17,18,19,20,21,22,23,24,25},FALSE)</f>
        <v>- - -</v>
      </c>
      <c r="C269">
        <v>4</v>
      </c>
      <c r="D269">
        <v>2</v>
      </c>
      <c r="E269">
        <v>3.96</v>
      </c>
      <c r="F269">
        <v>48</v>
      </c>
      <c r="G269">
        <v>0</v>
      </c>
      <c r="H269">
        <v>0</v>
      </c>
      <c r="I269">
        <v>0</v>
      </c>
      <c r="J269">
        <v>14</v>
      </c>
      <c r="K269">
        <v>2</v>
      </c>
      <c r="L269">
        <v>3</v>
      </c>
      <c r="M269">
        <v>50</v>
      </c>
      <c r="N269">
        <v>216</v>
      </c>
      <c r="O269">
        <v>46</v>
      </c>
      <c r="P269">
        <v>32</v>
      </c>
      <c r="Q269">
        <v>22</v>
      </c>
      <c r="R269">
        <v>10</v>
      </c>
      <c r="S269">
        <v>18</v>
      </c>
      <c r="T269">
        <v>1</v>
      </c>
      <c r="U269">
        <v>1</v>
      </c>
      <c r="V269">
        <v>1</v>
      </c>
      <c r="W269">
        <v>1</v>
      </c>
      <c r="X269">
        <v>47</v>
      </c>
      <c r="Y269">
        <v>12673</v>
      </c>
      <c r="Z269" cm="1">
        <f t="array" ref="Z269:AR269">VLOOKUP(A269,advanced_pitchers_2019!A:Y,{3,4,5,6,7,8,9,10,11,12,13,14,15,16,17,18,19,20,21},FALSE)</f>
        <v>8.4600000000000009</v>
      </c>
      <c r="AA269">
        <v>3.24</v>
      </c>
      <c r="AB269">
        <v>2.61</v>
      </c>
      <c r="AC269">
        <v>1.8</v>
      </c>
      <c r="AD269">
        <v>0.218</v>
      </c>
      <c r="AE269">
        <v>8.3000000000000004E-2</v>
      </c>
      <c r="AF269">
        <v>0.13400000000000001</v>
      </c>
      <c r="AG269">
        <v>0.23400000000000001</v>
      </c>
      <c r="AH269">
        <v>1.28</v>
      </c>
      <c r="AI269">
        <v>0.25700000000000001</v>
      </c>
      <c r="AJ269">
        <v>0.64700000000000002</v>
      </c>
      <c r="AK269">
        <v>89</v>
      </c>
      <c r="AL269">
        <v>113</v>
      </c>
      <c r="AM269">
        <v>105</v>
      </c>
      <c r="AN269">
        <v>3.96</v>
      </c>
      <c r="AO269">
        <v>5.07</v>
      </c>
      <c r="AP269">
        <v>-1.1100000000000001</v>
      </c>
      <c r="AQ269">
        <v>4.78</v>
      </c>
      <c r="AR269">
        <v>4.4000000000000004</v>
      </c>
      <c r="AS269" cm="1">
        <f t="array" ref="AS269:BA269">VLOOKUP(A269,plate_discipline_pitchers_2019!A:L,{3,4,5,6,7,8,9,10,11},FALSE)</f>
        <v>0.30299999999999999</v>
      </c>
      <c r="AT269">
        <v>0.69799999999999995</v>
      </c>
      <c r="AU269">
        <v>0.48499999999999999</v>
      </c>
      <c r="AV269">
        <v>0.68799999999999994</v>
      </c>
      <c r="AW269">
        <v>0.79900000000000004</v>
      </c>
      <c r="AX269">
        <v>0.76200000000000001</v>
      </c>
      <c r="AY269">
        <v>0.46200000000000002</v>
      </c>
      <c r="AZ269">
        <v>0.61599999999999999</v>
      </c>
      <c r="BA269">
        <v>0.11600000000000001</v>
      </c>
      <c r="BB269" cm="1">
        <f t="array" ref="BB269:BP269">VLOOKUP(A269,pitchvalue_pitchers_2019!A:Q,{3,4,5,6,7,8,9,10,11,12,13,14,15,16,17},FALSE)</f>
        <v>-5.7</v>
      </c>
      <c r="BC269">
        <v>-0.5</v>
      </c>
      <c r="BD269">
        <v>0</v>
      </c>
      <c r="BE269">
        <v>-0.3</v>
      </c>
      <c r="BF269">
        <v>6.2</v>
      </c>
      <c r="BG269">
        <v>0</v>
      </c>
      <c r="BH269">
        <v>0</v>
      </c>
      <c r="BI269">
        <v>-1.19</v>
      </c>
      <c r="BJ269">
        <v>-1.52</v>
      </c>
      <c r="BK269">
        <v>0</v>
      </c>
      <c r="BL269">
        <v>-0.34</v>
      </c>
      <c r="BM269">
        <v>2.44</v>
      </c>
      <c r="BN269">
        <v>0</v>
      </c>
      <c r="BO269">
        <v>0</v>
      </c>
      <c r="BP269">
        <v>12673</v>
      </c>
      <c r="BQ269" cm="1">
        <f t="array" ref="BQ269:CH269">VLOOKUP(A269,battedball_pitchers_2019!A:U,{3,4,5,6,7,8,9,10,11,12,13,14,15,16,17,18,19,20},FALSE)</f>
        <v>0.25700000000000001</v>
      </c>
      <c r="BR269">
        <v>0.88</v>
      </c>
      <c r="BS269">
        <v>0.26400000000000001</v>
      </c>
      <c r="BT269">
        <v>0.34499999999999997</v>
      </c>
      <c r="BU269">
        <v>0.39200000000000002</v>
      </c>
      <c r="BV269">
        <v>0.155</v>
      </c>
      <c r="BW269">
        <v>0.17199999999999999</v>
      </c>
      <c r="BX269">
        <v>25</v>
      </c>
      <c r="BY269">
        <v>4.5</v>
      </c>
      <c r="BZ269">
        <v>305</v>
      </c>
      <c r="CA269">
        <v>542</v>
      </c>
      <c r="CB269">
        <v>847</v>
      </c>
      <c r="CC269">
        <v>0.42</v>
      </c>
      <c r="CD269">
        <v>0.32</v>
      </c>
      <c r="CE269">
        <v>0.26</v>
      </c>
      <c r="CF269">
        <v>0.14699999999999999</v>
      </c>
      <c r="CG269">
        <v>0.54</v>
      </c>
      <c r="CH269">
        <v>0.313</v>
      </c>
      <c r="CI269" cm="1">
        <f t="array" ref="CI269:CS269">VLOOKUP(A269,verticalmove_pitchers_2019!A:N,{3,4,5,6,7,8,9,10,11,12,13},FALSE)</f>
        <v>50</v>
      </c>
      <c r="CJ269">
        <v>9.6</v>
      </c>
      <c r="CK269">
        <v>0</v>
      </c>
      <c r="CL269">
        <v>0</v>
      </c>
      <c r="CM269">
        <v>7.4</v>
      </c>
      <c r="CN269">
        <v>3.9</v>
      </c>
      <c r="CO269">
        <v>5.8</v>
      </c>
      <c r="CP269">
        <v>-8.1</v>
      </c>
      <c r="CQ269">
        <v>0</v>
      </c>
      <c r="CR269">
        <v>0</v>
      </c>
      <c r="CS269">
        <v>0</v>
      </c>
      <c r="CT269" cm="1">
        <f t="array" ref="CT269:DD269">VLOOKUP(A269,velocity_pitchers_2019!A:N,{3,4,5,6,7,8,9,10,11,12,13},FALSE)</f>
        <v>50</v>
      </c>
      <c r="CU269">
        <v>94.3</v>
      </c>
      <c r="CV269">
        <v>0</v>
      </c>
      <c r="CW269">
        <v>0</v>
      </c>
      <c r="CX269">
        <v>94.1</v>
      </c>
      <c r="CY269">
        <v>86.9</v>
      </c>
      <c r="CZ269">
        <v>87.6</v>
      </c>
      <c r="DA269">
        <v>77.8</v>
      </c>
      <c r="DB269">
        <v>0</v>
      </c>
      <c r="DC269">
        <v>0</v>
      </c>
      <c r="DD269">
        <v>0</v>
      </c>
    </row>
    <row r="270" spans="1:108" x14ac:dyDescent="0.3">
      <c r="A270" t="s">
        <v>278</v>
      </c>
      <c r="B270" t="str" cm="1">
        <f t="array" ref="B270:Y270">VLOOKUP(A270,standard_pitchers_2019!A:Y,{2,3,4,5,6,7,8,9,10,11,12,13,14,15,16,17,18,19,20,21,22,23,24,25},FALSE)</f>
        <v>- - -</v>
      </c>
      <c r="C270">
        <v>11</v>
      </c>
      <c r="D270">
        <v>8</v>
      </c>
      <c r="E270">
        <v>4.68</v>
      </c>
      <c r="F270">
        <v>42</v>
      </c>
      <c r="G270">
        <v>23</v>
      </c>
      <c r="H270">
        <v>0</v>
      </c>
      <c r="I270">
        <v>0</v>
      </c>
      <c r="J270">
        <v>1</v>
      </c>
      <c r="K270">
        <v>4</v>
      </c>
      <c r="L270">
        <v>0</v>
      </c>
      <c r="M270">
        <v>150</v>
      </c>
      <c r="N270">
        <v>636</v>
      </c>
      <c r="O270">
        <v>144</v>
      </c>
      <c r="P270">
        <v>84</v>
      </c>
      <c r="Q270">
        <v>78</v>
      </c>
      <c r="R270">
        <v>19</v>
      </c>
      <c r="S270">
        <v>58</v>
      </c>
      <c r="T270">
        <v>0</v>
      </c>
      <c r="U270">
        <v>4</v>
      </c>
      <c r="V270">
        <v>8</v>
      </c>
      <c r="W270">
        <v>0</v>
      </c>
      <c r="X270">
        <v>108</v>
      </c>
      <c r="Y270">
        <v>8782</v>
      </c>
      <c r="Z270" cm="1">
        <f t="array" ref="Z270:AR270">VLOOKUP(A270,advanced_pitchers_2019!A:Y,{3,4,5,6,7,8,9,10,11,12,13,14,15,16,17,18,19,20,21},FALSE)</f>
        <v>6.48</v>
      </c>
      <c r="AA270">
        <v>3.48</v>
      </c>
      <c r="AB270">
        <v>1.86</v>
      </c>
      <c r="AC270">
        <v>1.1399999999999999</v>
      </c>
      <c r="AD270">
        <v>0.17</v>
      </c>
      <c r="AE270">
        <v>9.0999999999999998E-2</v>
      </c>
      <c r="AF270">
        <v>7.9000000000000001E-2</v>
      </c>
      <c r="AG270">
        <v>0.251</v>
      </c>
      <c r="AH270">
        <v>1.35</v>
      </c>
      <c r="AI270">
        <v>0.28000000000000003</v>
      </c>
      <c r="AJ270">
        <v>0.68</v>
      </c>
      <c r="AK270">
        <v>98</v>
      </c>
      <c r="AL270">
        <v>100</v>
      </c>
      <c r="AM270">
        <v>112</v>
      </c>
      <c r="AN270">
        <v>4.68</v>
      </c>
      <c r="AO270">
        <v>4.66</v>
      </c>
      <c r="AP270">
        <v>0.02</v>
      </c>
      <c r="AQ270">
        <v>5.1100000000000003</v>
      </c>
      <c r="AR270">
        <v>5.2</v>
      </c>
      <c r="AS270" cm="1">
        <f t="array" ref="AS270:BA270">VLOOKUP(A270,plate_discipline_pitchers_2019!A:L,{3,4,5,6,7,8,9,10,11},FALSE)</f>
        <v>0.28899999999999998</v>
      </c>
      <c r="AT270">
        <v>0.69199999999999995</v>
      </c>
      <c r="AU270">
        <v>0.45200000000000001</v>
      </c>
      <c r="AV270">
        <v>0.67600000000000005</v>
      </c>
      <c r="AW270">
        <v>0.86099999999999999</v>
      </c>
      <c r="AX270">
        <v>0.79</v>
      </c>
      <c r="AY270">
        <v>0.40500000000000003</v>
      </c>
      <c r="AZ270">
        <v>0.54700000000000004</v>
      </c>
      <c r="BA270">
        <v>9.5000000000000001E-2</v>
      </c>
      <c r="BB270" cm="1">
        <f t="array" ref="BB270:BP270">VLOOKUP(A270,pitchvalue_pitchers_2019!A:Q,{3,4,5,6,7,8,9,10,11,12,13,14,15,16,17},FALSE)</f>
        <v>-5.9</v>
      </c>
      <c r="BC270">
        <v>1.3</v>
      </c>
      <c r="BD270">
        <v>0</v>
      </c>
      <c r="BE270">
        <v>-5.5</v>
      </c>
      <c r="BF270">
        <v>11.9</v>
      </c>
      <c r="BG270">
        <v>0</v>
      </c>
      <c r="BH270">
        <v>0</v>
      </c>
      <c r="BI270">
        <v>-0.48</v>
      </c>
      <c r="BJ270">
        <v>0.41</v>
      </c>
      <c r="BK270">
        <v>0</v>
      </c>
      <c r="BL270">
        <v>-2.02</v>
      </c>
      <c r="BM270">
        <v>1.7</v>
      </c>
      <c r="BN270">
        <v>0</v>
      </c>
      <c r="BO270">
        <v>0</v>
      </c>
      <c r="BP270">
        <v>8782</v>
      </c>
      <c r="BQ270" cm="1">
        <f t="array" ref="BQ270:CH270">VLOOKUP(A270,battedball_pitchers_2019!A:U,{3,4,5,6,7,8,9,10,11,12,13,14,15,16,17,18,19,20},FALSE)</f>
        <v>0.28000000000000003</v>
      </c>
      <c r="BR270">
        <v>1.42</v>
      </c>
      <c r="BS270">
        <v>0.17299999999999999</v>
      </c>
      <c r="BT270">
        <v>0.48499999999999999</v>
      </c>
      <c r="BU270">
        <v>0.34200000000000003</v>
      </c>
      <c r="BV270">
        <v>5.7000000000000002E-2</v>
      </c>
      <c r="BW270">
        <v>0.12</v>
      </c>
      <c r="BX270">
        <v>115</v>
      </c>
      <c r="BY270">
        <v>6.9</v>
      </c>
      <c r="BZ270">
        <v>981</v>
      </c>
      <c r="CA270">
        <v>1530</v>
      </c>
      <c r="CB270">
        <v>2511</v>
      </c>
      <c r="CC270">
        <v>0.36099999999999999</v>
      </c>
      <c r="CD270">
        <v>0.36699999999999999</v>
      </c>
      <c r="CE270">
        <v>0.27300000000000002</v>
      </c>
      <c r="CF270">
        <v>0.14199999999999999</v>
      </c>
      <c r="CG270">
        <v>0.48299999999999998</v>
      </c>
      <c r="CH270">
        <v>0.376</v>
      </c>
      <c r="CI270" cm="1">
        <f t="array" ref="CI270:CS270">VLOOKUP(A270,verticalmove_pitchers_2019!A:N,{3,4,5,6,7,8,9,10,11,12,13},FALSE)</f>
        <v>150</v>
      </c>
      <c r="CJ270">
        <v>8.9</v>
      </c>
      <c r="CK270">
        <v>2.4</v>
      </c>
      <c r="CL270">
        <v>0</v>
      </c>
      <c r="CM270">
        <v>7.8</v>
      </c>
      <c r="CN270">
        <v>4.5</v>
      </c>
      <c r="CO270">
        <v>0.7</v>
      </c>
      <c r="CP270">
        <v>-6.7</v>
      </c>
      <c r="CQ270">
        <v>0</v>
      </c>
      <c r="CR270">
        <v>0</v>
      </c>
      <c r="CS270">
        <v>0</v>
      </c>
      <c r="CT270" cm="1">
        <f t="array" ref="CT270:DD270">VLOOKUP(A270,velocity_pitchers_2019!A:N,{3,4,5,6,7,8,9,10,11,12,13},FALSE)</f>
        <v>150</v>
      </c>
      <c r="CU270">
        <v>94.2</v>
      </c>
      <c r="CV270">
        <v>86.9</v>
      </c>
      <c r="CW270">
        <v>0</v>
      </c>
      <c r="CX270">
        <v>92.4</v>
      </c>
      <c r="CY270">
        <v>84.8</v>
      </c>
      <c r="CZ270">
        <v>85.9</v>
      </c>
      <c r="DA270">
        <v>80.8</v>
      </c>
      <c r="DB270">
        <v>0</v>
      </c>
      <c r="DC270">
        <v>0</v>
      </c>
      <c r="DD270">
        <v>0</v>
      </c>
    </row>
    <row r="271" spans="1:108" x14ac:dyDescent="0.3">
      <c r="A271" t="s">
        <v>389</v>
      </c>
      <c r="B271" t="str" cm="1">
        <f t="array" ref="B271:Y271">VLOOKUP(A271,standard_pitchers_2019!A:Y,{2,3,4,5,6,7,8,9,10,11,12,13,14,15,16,17,18,19,20,21,22,23,24,25},FALSE)</f>
        <v>White Sox</v>
      </c>
      <c r="C271">
        <v>3</v>
      </c>
      <c r="D271">
        <v>4</v>
      </c>
      <c r="E271">
        <v>6.93</v>
      </c>
      <c r="F271">
        <v>16</v>
      </c>
      <c r="G271">
        <v>8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50.2</v>
      </c>
      <c r="N271">
        <v>235</v>
      </c>
      <c r="O271">
        <v>60</v>
      </c>
      <c r="P271">
        <v>39</v>
      </c>
      <c r="Q271">
        <v>39</v>
      </c>
      <c r="R271">
        <v>12</v>
      </c>
      <c r="S271">
        <v>33</v>
      </c>
      <c r="T271">
        <v>3</v>
      </c>
      <c r="U271">
        <v>1</v>
      </c>
      <c r="V271">
        <v>2</v>
      </c>
      <c r="W271">
        <v>1</v>
      </c>
      <c r="X271">
        <v>44</v>
      </c>
      <c r="Y271">
        <v>5365</v>
      </c>
      <c r="Z271" cm="1">
        <f t="array" ref="Z271:AR271">VLOOKUP(A271,advanced_pitchers_2019!A:Y,{3,4,5,6,7,8,9,10,11,12,13,14,15,16,17,18,19,20,21},FALSE)</f>
        <v>7.82</v>
      </c>
      <c r="AA271">
        <v>5.86</v>
      </c>
      <c r="AB271">
        <v>1.33</v>
      </c>
      <c r="AC271">
        <v>2.13</v>
      </c>
      <c r="AD271">
        <v>0.187</v>
      </c>
      <c r="AE271">
        <v>0.14000000000000001</v>
      </c>
      <c r="AF271">
        <v>4.7E-2</v>
      </c>
      <c r="AG271">
        <v>0.29899999999999999</v>
      </c>
      <c r="AH271">
        <v>1.84</v>
      </c>
      <c r="AI271">
        <v>0.33100000000000002</v>
      </c>
      <c r="AJ271">
        <v>0.71199999999999997</v>
      </c>
      <c r="AK271">
        <v>153</v>
      </c>
      <c r="AL271">
        <v>141</v>
      </c>
      <c r="AM271">
        <v>132</v>
      </c>
      <c r="AN271">
        <v>6.93</v>
      </c>
      <c r="AO271">
        <v>6.57</v>
      </c>
      <c r="AP271">
        <v>0.36</v>
      </c>
      <c r="AQ271">
        <v>6.04</v>
      </c>
      <c r="AR271">
        <v>5.81</v>
      </c>
      <c r="AS271" cm="1">
        <f t="array" ref="AS271:BA271">VLOOKUP(A271,plate_discipline_pitchers_2019!A:L,{3,4,5,6,7,8,9,10,11},FALSE)</f>
        <v>0.26800000000000002</v>
      </c>
      <c r="AT271">
        <v>0.67800000000000005</v>
      </c>
      <c r="AU271">
        <v>0.42799999999999999</v>
      </c>
      <c r="AV271">
        <v>0.61899999999999999</v>
      </c>
      <c r="AW271">
        <v>0.88800000000000001</v>
      </c>
      <c r="AX271">
        <v>0.78500000000000003</v>
      </c>
      <c r="AY271">
        <v>0.39</v>
      </c>
      <c r="AZ271">
        <v>0.56200000000000006</v>
      </c>
      <c r="BA271">
        <v>9.1999999999999998E-2</v>
      </c>
      <c r="BB271" cm="1">
        <f t="array" ref="BB271:BP271">VLOOKUP(A271,pitchvalue_pitchers_2019!A:Q,{3,4,5,6,7,8,9,10,11,12,13,14,15,16,17},FALSE)</f>
        <v>-6.2</v>
      </c>
      <c r="BC271">
        <v>-3.2</v>
      </c>
      <c r="BD271">
        <v>0</v>
      </c>
      <c r="BE271">
        <v>-1.7</v>
      </c>
      <c r="BF271">
        <v>-1.9</v>
      </c>
      <c r="BG271">
        <v>0</v>
      </c>
      <c r="BH271">
        <v>0</v>
      </c>
      <c r="BI271">
        <v>-1.38</v>
      </c>
      <c r="BJ271">
        <v>-1.01</v>
      </c>
      <c r="BK271">
        <v>0</v>
      </c>
      <c r="BL271">
        <v>-1.76</v>
      </c>
      <c r="BM271">
        <v>-2.5</v>
      </c>
      <c r="BN271">
        <v>0</v>
      </c>
      <c r="BO271">
        <v>0</v>
      </c>
      <c r="BP271">
        <v>5365</v>
      </c>
      <c r="BQ271" cm="1">
        <f t="array" ref="BQ271:CH271">VLOOKUP(A271,battedball_pitchers_2019!A:U,{3,4,5,6,7,8,9,10,11,12,13,14,15,16,17,18,19,20},FALSE)</f>
        <v>0.33100000000000002</v>
      </c>
      <c r="BR271">
        <v>0.78</v>
      </c>
      <c r="BS271">
        <v>0.247</v>
      </c>
      <c r="BT271">
        <v>0.33100000000000002</v>
      </c>
      <c r="BU271">
        <v>0.42199999999999999</v>
      </c>
      <c r="BV271">
        <v>6.2E-2</v>
      </c>
      <c r="BW271">
        <v>0.185</v>
      </c>
      <c r="BX271">
        <v>26</v>
      </c>
      <c r="BY271">
        <v>4.62</v>
      </c>
      <c r="BZ271">
        <v>387</v>
      </c>
      <c r="CA271">
        <v>561</v>
      </c>
      <c r="CB271">
        <v>948</v>
      </c>
      <c r="CC271">
        <v>0.38900000000000001</v>
      </c>
      <c r="CD271">
        <v>0.38900000000000001</v>
      </c>
      <c r="CE271">
        <v>0.223</v>
      </c>
      <c r="CF271">
        <v>0.153</v>
      </c>
      <c r="CG271">
        <v>0.54100000000000004</v>
      </c>
      <c r="CH271">
        <v>0.30599999999999999</v>
      </c>
      <c r="CI271" cm="1">
        <f t="array" ref="CI271:CS271">VLOOKUP(A271,verticalmove_pitchers_2019!A:N,{3,4,5,6,7,8,9,10,11,12,13},FALSE)</f>
        <v>50.2</v>
      </c>
      <c r="CJ271">
        <v>7.4</v>
      </c>
      <c r="CK271">
        <v>0</v>
      </c>
      <c r="CL271">
        <v>0</v>
      </c>
      <c r="CM271">
        <v>3</v>
      </c>
      <c r="CN271">
        <v>1.8</v>
      </c>
      <c r="CO271">
        <v>1.4</v>
      </c>
      <c r="CP271">
        <v>-2.2999999999999998</v>
      </c>
      <c r="CQ271">
        <v>0</v>
      </c>
      <c r="CR271">
        <v>0</v>
      </c>
      <c r="CS271">
        <v>0</v>
      </c>
      <c r="CT271" cm="1">
        <f t="array" ref="CT271:DD271">VLOOKUP(A271,velocity_pitchers_2019!A:N,{3,4,5,6,7,8,9,10,11,12,13},FALSE)</f>
        <v>50.2</v>
      </c>
      <c r="CU271">
        <v>92.5</v>
      </c>
      <c r="CV271">
        <v>0</v>
      </c>
      <c r="CW271">
        <v>0</v>
      </c>
      <c r="CX271">
        <v>92</v>
      </c>
      <c r="CY271">
        <v>83.3</v>
      </c>
      <c r="CZ271">
        <v>85.8</v>
      </c>
      <c r="DA271">
        <v>79.3</v>
      </c>
      <c r="DB271">
        <v>0</v>
      </c>
      <c r="DC271">
        <v>0</v>
      </c>
      <c r="DD271">
        <v>0</v>
      </c>
    </row>
    <row r="272" spans="1:108" x14ac:dyDescent="0.3">
      <c r="A272" t="s">
        <v>387</v>
      </c>
      <c r="B272" t="str" cm="1">
        <f t="array" ref="B272:Y272">VLOOKUP(A272,standard_pitchers_2019!A:Y,{2,3,4,5,6,7,8,9,10,11,12,13,14,15,16,17,18,19,20,21,22,23,24,25},FALSE)</f>
        <v>Padres</v>
      </c>
      <c r="C272">
        <v>2</v>
      </c>
      <c r="D272">
        <v>6</v>
      </c>
      <c r="E272">
        <v>6.79</v>
      </c>
      <c r="F272">
        <v>17</v>
      </c>
      <c r="G272">
        <v>12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57</v>
      </c>
      <c r="N272">
        <v>263</v>
      </c>
      <c r="O272">
        <v>73</v>
      </c>
      <c r="P272">
        <v>46</v>
      </c>
      <c r="Q272">
        <v>43</v>
      </c>
      <c r="R272">
        <v>12</v>
      </c>
      <c r="S272">
        <v>19</v>
      </c>
      <c r="T272">
        <v>1</v>
      </c>
      <c r="U272">
        <v>3</v>
      </c>
      <c r="V272">
        <v>1</v>
      </c>
      <c r="W272">
        <v>0</v>
      </c>
      <c r="X272">
        <v>42</v>
      </c>
      <c r="Y272">
        <v>20395</v>
      </c>
      <c r="Z272" cm="1">
        <f t="array" ref="Z272:AR272">VLOOKUP(A272,advanced_pitchers_2019!A:Y,{3,4,5,6,7,8,9,10,11,12,13,14,15,16,17,18,19,20,21},FALSE)</f>
        <v>6.63</v>
      </c>
      <c r="AA272">
        <v>3</v>
      </c>
      <c r="AB272">
        <v>2.21</v>
      </c>
      <c r="AC272">
        <v>1.89</v>
      </c>
      <c r="AD272">
        <v>0.16</v>
      </c>
      <c r="AE272">
        <v>7.1999999999999995E-2</v>
      </c>
      <c r="AF272">
        <v>8.6999999999999994E-2</v>
      </c>
      <c r="AG272">
        <v>0.30299999999999999</v>
      </c>
      <c r="AH272">
        <v>1.61</v>
      </c>
      <c r="AI272">
        <v>0.32600000000000001</v>
      </c>
      <c r="AJ272">
        <v>0.627</v>
      </c>
      <c r="AK272">
        <v>159</v>
      </c>
      <c r="AL272">
        <v>128</v>
      </c>
      <c r="AM272">
        <v>112</v>
      </c>
      <c r="AN272">
        <v>6.79</v>
      </c>
      <c r="AO272">
        <v>5.64</v>
      </c>
      <c r="AP272">
        <v>1.1499999999999999</v>
      </c>
      <c r="AQ272">
        <v>4.96</v>
      </c>
      <c r="AR272">
        <v>5.13</v>
      </c>
      <c r="AS272" cm="1">
        <f t="array" ref="AS272:BA272">VLOOKUP(A272,plate_discipline_pitchers_2019!A:L,{3,4,5,6,7,8,9,10,11},FALSE)</f>
        <v>0.27100000000000002</v>
      </c>
      <c r="AT272">
        <v>0.70099999999999996</v>
      </c>
      <c r="AU272">
        <v>0.45600000000000002</v>
      </c>
      <c r="AV272">
        <v>0.66900000000000004</v>
      </c>
      <c r="AW272">
        <v>0.85099999999999998</v>
      </c>
      <c r="AX272">
        <v>0.78900000000000003</v>
      </c>
      <c r="AY272">
        <v>0.43</v>
      </c>
      <c r="AZ272">
        <v>0.54</v>
      </c>
      <c r="BA272">
        <v>9.6000000000000002E-2</v>
      </c>
      <c r="BB272" cm="1">
        <f t="array" ref="BB272:BP272">VLOOKUP(A272,pitchvalue_pitchers_2019!A:Q,{3,4,5,6,7,8,9,10,11,12,13,14,15,16,17},FALSE)</f>
        <v>-6.5</v>
      </c>
      <c r="BC272">
        <v>-6.7</v>
      </c>
      <c r="BD272">
        <v>0</v>
      </c>
      <c r="BE272">
        <v>-1.9</v>
      </c>
      <c r="BF272">
        <v>1.4</v>
      </c>
      <c r="BG272">
        <v>0</v>
      </c>
      <c r="BH272">
        <v>0</v>
      </c>
      <c r="BI272">
        <v>-1.26</v>
      </c>
      <c r="BJ272">
        <v>-2.81</v>
      </c>
      <c r="BK272">
        <v>0</v>
      </c>
      <c r="BL272">
        <v>-1.51</v>
      </c>
      <c r="BM272">
        <v>1.9</v>
      </c>
      <c r="BN272">
        <v>0</v>
      </c>
      <c r="BO272">
        <v>0</v>
      </c>
      <c r="BP272">
        <v>20395</v>
      </c>
      <c r="BQ272" cm="1">
        <f t="array" ref="BQ272:CH272">VLOOKUP(A272,battedball_pitchers_2019!A:U,{3,4,5,6,7,8,9,10,11,12,13,14,15,16,17,18,19,20},FALSE)</f>
        <v>0.32600000000000001</v>
      </c>
      <c r="BR272">
        <v>1.44</v>
      </c>
      <c r="BS272">
        <v>0.254</v>
      </c>
      <c r="BT272">
        <v>0.44</v>
      </c>
      <c r="BU272">
        <v>0.30599999999999999</v>
      </c>
      <c r="BV272">
        <v>8.5000000000000006E-2</v>
      </c>
      <c r="BW272">
        <v>0.20300000000000001</v>
      </c>
      <c r="BX272">
        <v>25</v>
      </c>
      <c r="BY272">
        <v>3.95</v>
      </c>
      <c r="BZ272">
        <v>357</v>
      </c>
      <c r="CA272">
        <v>601</v>
      </c>
      <c r="CB272">
        <v>958</v>
      </c>
      <c r="CC272">
        <v>0.437</v>
      </c>
      <c r="CD272">
        <v>0.29599999999999999</v>
      </c>
      <c r="CE272">
        <v>0.26600000000000001</v>
      </c>
      <c r="CF272">
        <v>0.161</v>
      </c>
      <c r="CG272">
        <v>0.46700000000000003</v>
      </c>
      <c r="CH272">
        <v>0.372</v>
      </c>
      <c r="CI272" cm="1">
        <f t="array" ref="CI272:CS272">VLOOKUP(A272,verticalmove_pitchers_2019!A:N,{3,4,5,6,7,8,9,10,11,12,13},FALSE)</f>
        <v>57</v>
      </c>
      <c r="CJ272">
        <v>9.4</v>
      </c>
      <c r="CK272">
        <v>0</v>
      </c>
      <c r="CL272">
        <v>0</v>
      </c>
      <c r="CM272">
        <v>10.5</v>
      </c>
      <c r="CN272">
        <v>5.8</v>
      </c>
      <c r="CO272">
        <v>-0.1</v>
      </c>
      <c r="CP272">
        <v>-7.3</v>
      </c>
      <c r="CQ272">
        <v>0</v>
      </c>
      <c r="CR272">
        <v>0</v>
      </c>
      <c r="CS272">
        <v>0</v>
      </c>
      <c r="CT272" cm="1">
        <f t="array" ref="CT272:DD272">VLOOKUP(A272,velocity_pitchers_2019!A:N,{3,4,5,6,7,8,9,10,11,12,13},FALSE)</f>
        <v>57</v>
      </c>
      <c r="CU272">
        <v>88.6</v>
      </c>
      <c r="CV272">
        <v>0</v>
      </c>
      <c r="CW272">
        <v>0</v>
      </c>
      <c r="CX272">
        <v>89</v>
      </c>
      <c r="CY272">
        <v>79.3</v>
      </c>
      <c r="CZ272">
        <v>80.599999999999994</v>
      </c>
      <c r="DA272">
        <v>71.2</v>
      </c>
      <c r="DB272">
        <v>0</v>
      </c>
      <c r="DC272">
        <v>0</v>
      </c>
      <c r="DD272">
        <v>0</v>
      </c>
    </row>
    <row r="273" spans="1:108" x14ac:dyDescent="0.3">
      <c r="A273" t="s">
        <v>353</v>
      </c>
      <c r="B273" t="str" cm="1">
        <f t="array" ref="B273:Y273">VLOOKUP(A273,standard_pitchers_2019!A:Y,{2,3,4,5,6,7,8,9,10,11,12,13,14,15,16,17,18,19,20,21,22,23,24,25},FALSE)</f>
        <v>Mets</v>
      </c>
      <c r="C273">
        <v>4</v>
      </c>
      <c r="D273">
        <v>2</v>
      </c>
      <c r="E273">
        <v>5.7</v>
      </c>
      <c r="F273">
        <v>66</v>
      </c>
      <c r="G273">
        <v>0</v>
      </c>
      <c r="H273">
        <v>0</v>
      </c>
      <c r="I273">
        <v>0</v>
      </c>
      <c r="J273">
        <v>0</v>
      </c>
      <c r="K273">
        <v>14</v>
      </c>
      <c r="L273">
        <v>4</v>
      </c>
      <c r="M273">
        <v>60</v>
      </c>
      <c r="N273">
        <v>274</v>
      </c>
      <c r="O273">
        <v>62</v>
      </c>
      <c r="P273">
        <v>39</v>
      </c>
      <c r="Q273">
        <v>38</v>
      </c>
      <c r="R273">
        <v>7</v>
      </c>
      <c r="S273">
        <v>42</v>
      </c>
      <c r="T273">
        <v>4</v>
      </c>
      <c r="U273">
        <v>3</v>
      </c>
      <c r="V273">
        <v>3</v>
      </c>
      <c r="W273">
        <v>0</v>
      </c>
      <c r="X273">
        <v>63</v>
      </c>
      <c r="Y273">
        <v>5114</v>
      </c>
      <c r="Z273" cm="1">
        <f t="array" ref="Z273:AR273">VLOOKUP(A273,advanced_pitchers_2019!A:Y,{3,4,5,6,7,8,9,10,11,12,13,14,15,16,17,18,19,20,21},FALSE)</f>
        <v>9.4499999999999993</v>
      </c>
      <c r="AA273">
        <v>6.3</v>
      </c>
      <c r="AB273">
        <v>1.5</v>
      </c>
      <c r="AC273">
        <v>1.05</v>
      </c>
      <c r="AD273">
        <v>0.23</v>
      </c>
      <c r="AE273">
        <v>0.153</v>
      </c>
      <c r="AF273">
        <v>7.6999999999999999E-2</v>
      </c>
      <c r="AG273">
        <v>0.27100000000000002</v>
      </c>
      <c r="AH273">
        <v>1.73</v>
      </c>
      <c r="AI273">
        <v>0.34599999999999997</v>
      </c>
      <c r="AJ273">
        <v>0.7</v>
      </c>
      <c r="AK273">
        <v>138</v>
      </c>
      <c r="AL273">
        <v>112</v>
      </c>
      <c r="AM273">
        <v>113</v>
      </c>
      <c r="AN273">
        <v>5.7</v>
      </c>
      <c r="AO273">
        <v>4.88</v>
      </c>
      <c r="AP273">
        <v>0.82</v>
      </c>
      <c r="AQ273">
        <v>4.99</v>
      </c>
      <c r="AR273">
        <v>5.05</v>
      </c>
      <c r="AS273" cm="1">
        <f t="array" ref="AS273:BA273">VLOOKUP(A273,plate_discipline_pitchers_2019!A:L,{3,4,5,6,7,8,9,10,11},FALSE)</f>
        <v>0.30099999999999999</v>
      </c>
      <c r="AT273">
        <v>0.58399999999999996</v>
      </c>
      <c r="AU273">
        <v>0.41599999999999998</v>
      </c>
      <c r="AV273">
        <v>0.57499999999999996</v>
      </c>
      <c r="AW273">
        <v>0.87</v>
      </c>
      <c r="AX273">
        <v>0.74399999999999999</v>
      </c>
      <c r="AY273">
        <v>0.40600000000000003</v>
      </c>
      <c r="AZ273">
        <v>0.55100000000000005</v>
      </c>
      <c r="BA273">
        <v>0.107</v>
      </c>
      <c r="BB273" cm="1">
        <f t="array" ref="BB273:BP273">VLOOKUP(A273,pitchvalue_pitchers_2019!A:Q,{3,4,5,6,7,8,9,10,11,12,13,14,15,16,17},FALSE)</f>
        <v>-6.6</v>
      </c>
      <c r="BC273">
        <v>3</v>
      </c>
      <c r="BD273">
        <v>0</v>
      </c>
      <c r="BE273">
        <v>0</v>
      </c>
      <c r="BF273">
        <v>0</v>
      </c>
      <c r="BG273">
        <v>0.4</v>
      </c>
      <c r="BH273">
        <v>0</v>
      </c>
      <c r="BI273">
        <v>-0.98</v>
      </c>
      <c r="BJ273">
        <v>1.08</v>
      </c>
      <c r="BK273">
        <v>0</v>
      </c>
      <c r="BL273">
        <v>0</v>
      </c>
      <c r="BM273">
        <v>0</v>
      </c>
      <c r="BN273">
        <v>0.51</v>
      </c>
      <c r="BO273">
        <v>0</v>
      </c>
      <c r="BP273">
        <v>5114</v>
      </c>
      <c r="BQ273" cm="1">
        <f t="array" ref="BQ273:CH273">VLOOKUP(A273,battedball_pitchers_2019!A:U,{3,4,5,6,7,8,9,10,11,12,13,14,15,16,17,18,19,20},FALSE)</f>
        <v>0.34599999999999997</v>
      </c>
      <c r="BR273">
        <v>1.69</v>
      </c>
      <c r="BS273">
        <v>0.19</v>
      </c>
      <c r="BT273">
        <v>0.50900000000000001</v>
      </c>
      <c r="BU273">
        <v>0.30099999999999999</v>
      </c>
      <c r="BV273">
        <v>6.0999999999999999E-2</v>
      </c>
      <c r="BW273">
        <v>0.14299999999999999</v>
      </c>
      <c r="BX273">
        <v>39</v>
      </c>
      <c r="BY273">
        <v>5.85</v>
      </c>
      <c r="BZ273">
        <v>411</v>
      </c>
      <c r="CA273">
        <v>630</v>
      </c>
      <c r="CB273">
        <v>1041</v>
      </c>
      <c r="CC273">
        <v>0.45800000000000002</v>
      </c>
      <c r="CD273">
        <v>0.35499999999999998</v>
      </c>
      <c r="CE273">
        <v>0.187</v>
      </c>
      <c r="CF273">
        <v>0.157</v>
      </c>
      <c r="CG273">
        <v>0.48799999999999999</v>
      </c>
      <c r="CH273">
        <v>0.35499999999999998</v>
      </c>
      <c r="CI273" cm="1">
        <f t="array" ref="CI273:CS273">VLOOKUP(A273,verticalmove_pitchers_2019!A:N,{3,4,5,6,7,8,9,10,11,12,13},FALSE)</f>
        <v>60</v>
      </c>
      <c r="CJ273">
        <v>6.7</v>
      </c>
      <c r="CK273">
        <v>0</v>
      </c>
      <c r="CL273">
        <v>1.1000000000000001</v>
      </c>
      <c r="CM273">
        <v>3.1</v>
      </c>
      <c r="CN273">
        <v>0</v>
      </c>
      <c r="CO273">
        <v>2.1</v>
      </c>
      <c r="CP273">
        <v>0</v>
      </c>
      <c r="CQ273">
        <v>0</v>
      </c>
      <c r="CR273">
        <v>0</v>
      </c>
      <c r="CS273">
        <v>0</v>
      </c>
      <c r="CT273" cm="1">
        <f t="array" ref="CT273:DD273">VLOOKUP(A273,velocity_pitchers_2019!A:N,{3,4,5,6,7,8,9,10,11,12,13},FALSE)</f>
        <v>60</v>
      </c>
      <c r="CU273">
        <v>95.8</v>
      </c>
      <c r="CV273">
        <v>0</v>
      </c>
      <c r="CW273">
        <v>92.6</v>
      </c>
      <c r="CX273">
        <v>96.1</v>
      </c>
      <c r="CY273">
        <v>0</v>
      </c>
      <c r="CZ273">
        <v>88.3</v>
      </c>
      <c r="DA273">
        <v>0</v>
      </c>
      <c r="DB273">
        <v>0</v>
      </c>
      <c r="DC273">
        <v>0</v>
      </c>
      <c r="DD273">
        <v>0</v>
      </c>
    </row>
    <row r="274" spans="1:108" x14ac:dyDescent="0.3">
      <c r="A274" t="s">
        <v>164</v>
      </c>
      <c r="B274" t="str" cm="1">
        <f t="array" ref="B274:Y274">VLOOKUP(A274,standard_pitchers_2019!A:Y,{2,3,4,5,6,7,8,9,10,11,12,13,14,15,16,17,18,19,20,21,22,23,24,25},FALSE)</f>
        <v>Reds</v>
      </c>
      <c r="C274">
        <v>3</v>
      </c>
      <c r="D274">
        <v>2</v>
      </c>
      <c r="E274">
        <v>3.76</v>
      </c>
      <c r="F274">
        <v>57</v>
      </c>
      <c r="G274">
        <v>0</v>
      </c>
      <c r="H274">
        <v>0</v>
      </c>
      <c r="I274">
        <v>0</v>
      </c>
      <c r="J274">
        <v>0</v>
      </c>
      <c r="K274">
        <v>11</v>
      </c>
      <c r="L274">
        <v>4</v>
      </c>
      <c r="M274">
        <v>64.2</v>
      </c>
      <c r="N274">
        <v>262</v>
      </c>
      <c r="O274">
        <v>43</v>
      </c>
      <c r="P274">
        <v>30</v>
      </c>
      <c r="Q274">
        <v>27</v>
      </c>
      <c r="R274">
        <v>9</v>
      </c>
      <c r="S274">
        <v>24</v>
      </c>
      <c r="T274">
        <v>4</v>
      </c>
      <c r="U274">
        <v>0</v>
      </c>
      <c r="V274">
        <v>3</v>
      </c>
      <c r="W274">
        <v>0</v>
      </c>
      <c r="X274">
        <v>81</v>
      </c>
      <c r="Y274">
        <v>13594</v>
      </c>
      <c r="Z274" cm="1">
        <f t="array" ref="Z274:AR274">VLOOKUP(A274,advanced_pitchers_2019!A:Y,{3,4,5,6,7,8,9,10,11,12,13,14,15,16,17,18,19,20,21},FALSE)</f>
        <v>11.27</v>
      </c>
      <c r="AA274">
        <v>3.34</v>
      </c>
      <c r="AB274">
        <v>3.38</v>
      </c>
      <c r="AC274">
        <v>1.25</v>
      </c>
      <c r="AD274">
        <v>0.309</v>
      </c>
      <c r="AE274">
        <v>9.1999999999999998E-2</v>
      </c>
      <c r="AF274">
        <v>0.218</v>
      </c>
      <c r="AG274">
        <v>0.18099999999999999</v>
      </c>
      <c r="AH274">
        <v>1.04</v>
      </c>
      <c r="AI274">
        <v>0.23</v>
      </c>
      <c r="AJ274">
        <v>0.68</v>
      </c>
      <c r="AK274">
        <v>84</v>
      </c>
      <c r="AL274">
        <v>80</v>
      </c>
      <c r="AM274">
        <v>90</v>
      </c>
      <c r="AN274">
        <v>3.76</v>
      </c>
      <c r="AO274">
        <v>3.63</v>
      </c>
      <c r="AP274">
        <v>0.13</v>
      </c>
      <c r="AQ274">
        <v>4.01</v>
      </c>
      <c r="AR274">
        <v>3.51</v>
      </c>
      <c r="AS274" cm="1">
        <f t="array" ref="AS274:BA274">VLOOKUP(A274,plate_discipline_pitchers_2019!A:L,{3,4,5,6,7,8,9,10,11},FALSE)</f>
        <v>0.36299999999999999</v>
      </c>
      <c r="AT274">
        <v>0.69499999999999995</v>
      </c>
      <c r="AU274">
        <v>0.497</v>
      </c>
      <c r="AV274">
        <v>0.40100000000000002</v>
      </c>
      <c r="AW274">
        <v>0.78900000000000003</v>
      </c>
      <c r="AX274">
        <v>0.62</v>
      </c>
      <c r="AY274">
        <v>0.40500000000000003</v>
      </c>
      <c r="AZ274">
        <v>0.63</v>
      </c>
      <c r="BA274">
        <v>0.189</v>
      </c>
      <c r="BB274" cm="1">
        <f t="array" ref="BB274:BP274">VLOOKUP(A274,pitchvalue_pitchers_2019!A:Q,{3,4,5,6,7,8,9,10,11,12,13,14,15,16,17},FALSE)</f>
        <v>-6.7</v>
      </c>
      <c r="BC274">
        <v>17.100000000000001</v>
      </c>
      <c r="BD274">
        <v>0</v>
      </c>
      <c r="BE274">
        <v>0</v>
      </c>
      <c r="BF274">
        <v>0.3</v>
      </c>
      <c r="BG274">
        <v>0</v>
      </c>
      <c r="BH274">
        <v>0</v>
      </c>
      <c r="BI274">
        <v>-1.78</v>
      </c>
      <c r="BJ274">
        <v>2.93</v>
      </c>
      <c r="BK274">
        <v>0</v>
      </c>
      <c r="BL274">
        <v>0</v>
      </c>
      <c r="BM274">
        <v>0.37</v>
      </c>
      <c r="BN274">
        <v>0</v>
      </c>
      <c r="BO274">
        <v>0</v>
      </c>
      <c r="BP274">
        <v>13594</v>
      </c>
      <c r="BQ274" cm="1">
        <f t="array" ref="BQ274:CH274">VLOOKUP(A274,battedball_pitchers_2019!A:U,{3,4,5,6,7,8,9,10,11,12,13,14,15,16,17,18,19,20},FALSE)</f>
        <v>0.23</v>
      </c>
      <c r="BR274">
        <v>0.69</v>
      </c>
      <c r="BS274">
        <v>0.221</v>
      </c>
      <c r="BT274">
        <v>0.318</v>
      </c>
      <c r="BU274">
        <v>0.46100000000000002</v>
      </c>
      <c r="BV274">
        <v>0.113</v>
      </c>
      <c r="BW274">
        <v>0.127</v>
      </c>
      <c r="BX274">
        <v>30</v>
      </c>
      <c r="BY274">
        <v>4.18</v>
      </c>
      <c r="BZ274">
        <v>351</v>
      </c>
      <c r="CA274">
        <v>677</v>
      </c>
      <c r="CB274">
        <v>1028</v>
      </c>
      <c r="CC274">
        <v>0.44900000000000001</v>
      </c>
      <c r="CD274">
        <v>0.33300000000000002</v>
      </c>
      <c r="CE274">
        <v>0.218</v>
      </c>
      <c r="CF274">
        <v>0.16</v>
      </c>
      <c r="CG274">
        <v>0.47399999999999998</v>
      </c>
      <c r="CH274">
        <v>0.36499999999999999</v>
      </c>
      <c r="CI274" cm="1">
        <f t="array" ref="CI274:CS274">VLOOKUP(A274,verticalmove_pitchers_2019!A:N,{3,4,5,6,7,8,9,10,11,12,13},FALSE)</f>
        <v>64.2</v>
      </c>
      <c r="CJ274">
        <v>8.6</v>
      </c>
      <c r="CK274">
        <v>0</v>
      </c>
      <c r="CL274">
        <v>0</v>
      </c>
      <c r="CM274">
        <v>0</v>
      </c>
      <c r="CN274">
        <v>6.6</v>
      </c>
      <c r="CO274">
        <v>-1.3</v>
      </c>
      <c r="CP274">
        <v>-4.3</v>
      </c>
      <c r="CQ274">
        <v>0</v>
      </c>
      <c r="CR274">
        <v>0</v>
      </c>
      <c r="CS274">
        <v>0</v>
      </c>
      <c r="CT274" cm="1">
        <f t="array" ref="CT274:DD274">VLOOKUP(A274,velocity_pitchers_2019!A:N,{3,4,5,6,7,8,9,10,11,12,13},FALSE)</f>
        <v>64.2</v>
      </c>
      <c r="CU274">
        <v>95</v>
      </c>
      <c r="CV274">
        <v>0</v>
      </c>
      <c r="CW274">
        <v>0</v>
      </c>
      <c r="CX274">
        <v>0</v>
      </c>
      <c r="CY274">
        <v>87.2</v>
      </c>
      <c r="CZ274">
        <v>84.6</v>
      </c>
      <c r="DA274">
        <v>84.1</v>
      </c>
      <c r="DB274">
        <v>0</v>
      </c>
      <c r="DC274">
        <v>0</v>
      </c>
      <c r="DD274">
        <v>0</v>
      </c>
    </row>
    <row r="275" spans="1:108" x14ac:dyDescent="0.3">
      <c r="A275" t="s">
        <v>355</v>
      </c>
      <c r="B275" t="str" cm="1">
        <f t="array" ref="B275:Y275">VLOOKUP(A275,standard_pitchers_2019!A:Y,{2,3,4,5,6,7,8,9,10,11,12,13,14,15,16,17,18,19,20,21,22,23,24,25},FALSE)</f>
        <v>Mariners</v>
      </c>
      <c r="C275">
        <v>6</v>
      </c>
      <c r="D275">
        <v>7</v>
      </c>
      <c r="E275">
        <v>5.71</v>
      </c>
      <c r="F275">
        <v>26</v>
      </c>
      <c r="G275">
        <v>8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121.1</v>
      </c>
      <c r="N275">
        <v>532</v>
      </c>
      <c r="O275">
        <v>145</v>
      </c>
      <c r="P275">
        <v>80</v>
      </c>
      <c r="Q275">
        <v>77</v>
      </c>
      <c r="R275">
        <v>28</v>
      </c>
      <c r="S275">
        <v>31</v>
      </c>
      <c r="T275">
        <v>1</v>
      </c>
      <c r="U275">
        <v>1</v>
      </c>
      <c r="V275">
        <v>0</v>
      </c>
      <c r="W275">
        <v>0</v>
      </c>
      <c r="X275">
        <v>92</v>
      </c>
      <c r="Y275">
        <v>5221</v>
      </c>
      <c r="Z275" cm="1">
        <f t="array" ref="Z275:AR275">VLOOKUP(A275,advanced_pitchers_2019!A:Y,{3,4,5,6,7,8,9,10,11,12,13,14,15,16,17,18,19,20,21},FALSE)</f>
        <v>6.82</v>
      </c>
      <c r="AA275">
        <v>2.2999999999999998</v>
      </c>
      <c r="AB275">
        <v>2.97</v>
      </c>
      <c r="AC275">
        <v>2.08</v>
      </c>
      <c r="AD275">
        <v>0.17299999999999999</v>
      </c>
      <c r="AE275">
        <v>5.8000000000000003E-2</v>
      </c>
      <c r="AF275">
        <v>0.115</v>
      </c>
      <c r="AG275">
        <v>0.28999999999999998</v>
      </c>
      <c r="AH275">
        <v>1.45</v>
      </c>
      <c r="AI275">
        <v>0.308</v>
      </c>
      <c r="AJ275">
        <v>0.70399999999999996</v>
      </c>
      <c r="AK275">
        <v>129</v>
      </c>
      <c r="AL275">
        <v>122</v>
      </c>
      <c r="AM275">
        <v>111</v>
      </c>
      <c r="AN275">
        <v>5.71</v>
      </c>
      <c r="AO275">
        <v>5.49</v>
      </c>
      <c r="AP275">
        <v>0.22</v>
      </c>
      <c r="AQ275">
        <v>5.0999999999999996</v>
      </c>
      <c r="AR275">
        <v>4.7300000000000004</v>
      </c>
      <c r="AS275" cm="1">
        <f t="array" ref="AS275:BA275">VLOOKUP(A275,plate_discipline_pitchers_2019!A:L,{3,4,5,6,7,8,9,10,11},FALSE)</f>
        <v>0.32</v>
      </c>
      <c r="AT275">
        <v>0.68300000000000005</v>
      </c>
      <c r="AU275">
        <v>0.46899999999999997</v>
      </c>
      <c r="AV275">
        <v>0.68799999999999994</v>
      </c>
      <c r="AW275">
        <v>0.86299999999999999</v>
      </c>
      <c r="AX275">
        <v>0.79300000000000004</v>
      </c>
      <c r="AY275">
        <v>0.41</v>
      </c>
      <c r="AZ275">
        <v>0.67300000000000004</v>
      </c>
      <c r="BA275">
        <v>9.7000000000000003E-2</v>
      </c>
      <c r="BB275" cm="1">
        <f t="array" ref="BB275:BP275">VLOOKUP(A275,pitchvalue_pitchers_2019!A:Q,{3,4,5,6,7,8,9,10,11,12,13,14,15,16,17},FALSE)</f>
        <v>-6.9</v>
      </c>
      <c r="BC275">
        <v>-0.4</v>
      </c>
      <c r="BD275">
        <v>-3.9</v>
      </c>
      <c r="BE275">
        <v>-4.7</v>
      </c>
      <c r="BF275">
        <v>0.8</v>
      </c>
      <c r="BG275">
        <v>0</v>
      </c>
      <c r="BH275">
        <v>0</v>
      </c>
      <c r="BI275">
        <v>-1.25</v>
      </c>
      <c r="BJ275">
        <v>-4.5</v>
      </c>
      <c r="BK275">
        <v>-0.67</v>
      </c>
      <c r="BL275">
        <v>-2.2799999999999998</v>
      </c>
      <c r="BM275">
        <v>0.13</v>
      </c>
      <c r="BN275">
        <v>0</v>
      </c>
      <c r="BO275">
        <v>0</v>
      </c>
      <c r="BP275">
        <v>5221</v>
      </c>
      <c r="BQ275" cm="1">
        <f t="array" ref="BQ275:CH275">VLOOKUP(A275,battedball_pitchers_2019!A:U,{3,4,5,6,7,8,9,10,11,12,13,14,15,16,17,18,19,20},FALSE)</f>
        <v>0.308</v>
      </c>
      <c r="BR275">
        <v>1.02</v>
      </c>
      <c r="BS275">
        <v>0.20699999999999999</v>
      </c>
      <c r="BT275">
        <v>0.4</v>
      </c>
      <c r="BU275">
        <v>0.39300000000000002</v>
      </c>
      <c r="BV275">
        <v>0.107</v>
      </c>
      <c r="BW275">
        <v>0.17599999999999999</v>
      </c>
      <c r="BX275">
        <v>74</v>
      </c>
      <c r="BY275">
        <v>5.49</v>
      </c>
      <c r="BZ275">
        <v>683</v>
      </c>
      <c r="CA275">
        <v>1272</v>
      </c>
      <c r="CB275">
        <v>1955</v>
      </c>
      <c r="CC275">
        <v>0.45100000000000001</v>
      </c>
      <c r="CD275">
        <v>0.309</v>
      </c>
      <c r="CE275">
        <v>0.24</v>
      </c>
      <c r="CF275">
        <v>0.13500000000000001</v>
      </c>
      <c r="CG275">
        <v>0.51500000000000001</v>
      </c>
      <c r="CH275">
        <v>0.35</v>
      </c>
      <c r="CI275" cm="1">
        <f t="array" ref="CI275:CS275">VLOOKUP(A275,verticalmove_pitchers_2019!A:N,{3,4,5,6,7,8,9,10,11,12,13},FALSE)</f>
        <v>121.1</v>
      </c>
      <c r="CJ275">
        <v>8.3000000000000007</v>
      </c>
      <c r="CK275">
        <v>5.4</v>
      </c>
      <c r="CL275">
        <v>0</v>
      </c>
      <c r="CM275">
        <v>5.7</v>
      </c>
      <c r="CN275">
        <v>3</v>
      </c>
      <c r="CO275">
        <v>-3.4</v>
      </c>
      <c r="CP275">
        <v>-5.2</v>
      </c>
      <c r="CQ275">
        <v>0</v>
      </c>
      <c r="CR275">
        <v>0</v>
      </c>
      <c r="CS275">
        <v>0</v>
      </c>
      <c r="CT275" cm="1">
        <f t="array" ref="CT275:DD275">VLOOKUP(A275,velocity_pitchers_2019!A:N,{3,4,5,6,7,8,9,10,11,12,13},FALSE)</f>
        <v>121.1</v>
      </c>
      <c r="CU275">
        <v>86.7</v>
      </c>
      <c r="CV275">
        <v>84.4</v>
      </c>
      <c r="CW275">
        <v>0</v>
      </c>
      <c r="CX275">
        <v>86.4</v>
      </c>
      <c r="CY275">
        <v>78.900000000000006</v>
      </c>
      <c r="CZ275">
        <v>74.400000000000006</v>
      </c>
      <c r="DA275">
        <v>72.7</v>
      </c>
      <c r="DB275">
        <v>0</v>
      </c>
      <c r="DC275">
        <v>0</v>
      </c>
      <c r="DD275">
        <v>0</v>
      </c>
    </row>
    <row r="276" spans="1:108" x14ac:dyDescent="0.3">
      <c r="A276" t="s">
        <v>108</v>
      </c>
      <c r="B276" t="str" cm="1">
        <f t="array" ref="B276:Y276">VLOOKUP(A276,standard_pitchers_2019!A:Y,{2,3,4,5,6,7,8,9,10,11,12,13,14,15,16,17,18,19,20,21,22,23,24,25},FALSE)</f>
        <v>Reds</v>
      </c>
      <c r="C276">
        <v>5</v>
      </c>
      <c r="D276">
        <v>3</v>
      </c>
      <c r="E276">
        <v>3.21</v>
      </c>
      <c r="F276">
        <v>69</v>
      </c>
      <c r="G276">
        <v>0</v>
      </c>
      <c r="H276">
        <v>0</v>
      </c>
      <c r="I276">
        <v>0</v>
      </c>
      <c r="J276">
        <v>0</v>
      </c>
      <c r="K276">
        <v>22</v>
      </c>
      <c r="L276">
        <v>3</v>
      </c>
      <c r="M276">
        <v>56</v>
      </c>
      <c r="N276">
        <v>246</v>
      </c>
      <c r="O276">
        <v>44</v>
      </c>
      <c r="P276">
        <v>22</v>
      </c>
      <c r="Q276">
        <v>20</v>
      </c>
      <c r="R276">
        <v>7</v>
      </c>
      <c r="S276">
        <v>35</v>
      </c>
      <c r="T276">
        <v>1</v>
      </c>
      <c r="U276">
        <v>4</v>
      </c>
      <c r="V276">
        <v>5</v>
      </c>
      <c r="W276">
        <v>1</v>
      </c>
      <c r="X276">
        <v>78</v>
      </c>
      <c r="Y276">
        <v>14375</v>
      </c>
      <c r="Z276" cm="1">
        <f t="array" ref="Z276:AR276">VLOOKUP(A276,advanced_pitchers_2019!A:Y,{3,4,5,6,7,8,9,10,11,12,13,14,15,16,17,18,19,20,21},FALSE)</f>
        <v>12.54</v>
      </c>
      <c r="AA276">
        <v>5.63</v>
      </c>
      <c r="AB276">
        <v>2.23</v>
      </c>
      <c r="AC276">
        <v>1.1299999999999999</v>
      </c>
      <c r="AD276">
        <v>0.317</v>
      </c>
      <c r="AE276">
        <v>0.14199999999999999</v>
      </c>
      <c r="AF276">
        <v>0.17499999999999999</v>
      </c>
      <c r="AG276">
        <v>0.21299999999999999</v>
      </c>
      <c r="AH276">
        <v>1.41</v>
      </c>
      <c r="AI276">
        <v>0.30299999999999999</v>
      </c>
      <c r="AJ276">
        <v>0.83299999999999996</v>
      </c>
      <c r="AK276">
        <v>72</v>
      </c>
      <c r="AL276">
        <v>91</v>
      </c>
      <c r="AM276">
        <v>85</v>
      </c>
      <c r="AN276">
        <v>3.21</v>
      </c>
      <c r="AO276">
        <v>4.1399999999999997</v>
      </c>
      <c r="AP276">
        <v>-0.93</v>
      </c>
      <c r="AQ276">
        <v>3.8</v>
      </c>
      <c r="AR276">
        <v>3.95</v>
      </c>
      <c r="AS276" cm="1">
        <f t="array" ref="AS276:BA276">VLOOKUP(A276,plate_discipline_pitchers_2019!A:L,{3,4,5,6,7,8,9,10,11},FALSE)</f>
        <v>0.32100000000000001</v>
      </c>
      <c r="AT276">
        <v>0.63</v>
      </c>
      <c r="AU276">
        <v>0.438</v>
      </c>
      <c r="AV276">
        <v>0.48699999999999999</v>
      </c>
      <c r="AW276">
        <v>0.747</v>
      </c>
      <c r="AX276">
        <v>0.629</v>
      </c>
      <c r="AY276">
        <v>0.378</v>
      </c>
      <c r="AZ276">
        <v>0.626</v>
      </c>
      <c r="BA276">
        <v>0.16300000000000001</v>
      </c>
      <c r="BB276" cm="1">
        <f t="array" ref="BB276:BP276">VLOOKUP(A276,pitchvalue_pitchers_2019!A:Q,{3,4,5,6,7,8,9,10,11,12,13,14,15,16,17},FALSE)</f>
        <v>-7</v>
      </c>
      <c r="BC276">
        <v>11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-1.68</v>
      </c>
      <c r="BJ276">
        <v>1.96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14375</v>
      </c>
      <c r="BQ276" cm="1">
        <f t="array" ref="BQ276:CH276">VLOOKUP(A276,battedball_pitchers_2019!A:U,{3,4,5,6,7,8,9,10,11,12,13,14,15,16,17,18,19,20},FALSE)</f>
        <v>0.30299999999999999</v>
      </c>
      <c r="BR276">
        <v>1.92</v>
      </c>
      <c r="BS276">
        <v>0.18</v>
      </c>
      <c r="BT276">
        <v>0.53900000000000003</v>
      </c>
      <c r="BU276">
        <v>0.28100000000000003</v>
      </c>
      <c r="BV276">
        <v>5.6000000000000001E-2</v>
      </c>
      <c r="BW276">
        <v>0.19400000000000001</v>
      </c>
      <c r="BX276">
        <v>24</v>
      </c>
      <c r="BY276">
        <v>3.86</v>
      </c>
      <c r="BZ276">
        <v>386</v>
      </c>
      <c r="CA276">
        <v>592</v>
      </c>
      <c r="CB276">
        <v>978</v>
      </c>
      <c r="CC276">
        <v>0.45700000000000002</v>
      </c>
      <c r="CD276">
        <v>0.318</v>
      </c>
      <c r="CE276">
        <v>0.22500000000000001</v>
      </c>
      <c r="CF276">
        <v>0.186</v>
      </c>
      <c r="CG276">
        <v>0.42599999999999999</v>
      </c>
      <c r="CH276">
        <v>0.38800000000000001</v>
      </c>
      <c r="CI276" cm="1">
        <f t="array" ref="CI276:CS276">VLOOKUP(A276,verticalmove_pitchers_2019!A:N,{3,4,5,6,7,8,9,10,11,12,13},FALSE)</f>
        <v>56</v>
      </c>
      <c r="CJ276">
        <v>6.6</v>
      </c>
      <c r="CK276">
        <v>0</v>
      </c>
      <c r="CL276">
        <v>0</v>
      </c>
      <c r="CM276">
        <v>5.0999999999999996</v>
      </c>
      <c r="CN276">
        <v>2</v>
      </c>
      <c r="CO276">
        <v>1.5</v>
      </c>
      <c r="CP276">
        <v>0</v>
      </c>
      <c r="CQ276">
        <v>0</v>
      </c>
      <c r="CR276">
        <v>0</v>
      </c>
      <c r="CS276">
        <v>0</v>
      </c>
      <c r="CT276" cm="1">
        <f t="array" ref="CT276:DD276">VLOOKUP(A276,velocity_pitchers_2019!A:N,{3,4,5,6,7,8,9,10,11,12,13},FALSE)</f>
        <v>56</v>
      </c>
      <c r="CU276">
        <v>95.9</v>
      </c>
      <c r="CV276">
        <v>0</v>
      </c>
      <c r="CW276">
        <v>0</v>
      </c>
      <c r="CX276">
        <v>95.4</v>
      </c>
      <c r="CY276">
        <v>85.6</v>
      </c>
      <c r="CZ276">
        <v>86</v>
      </c>
      <c r="DA276">
        <v>0</v>
      </c>
      <c r="DB276">
        <v>0</v>
      </c>
      <c r="DC276">
        <v>0</v>
      </c>
      <c r="DD276">
        <v>0</v>
      </c>
    </row>
    <row r="277" spans="1:108" x14ac:dyDescent="0.3">
      <c r="A277" t="s">
        <v>161</v>
      </c>
      <c r="B277" t="str" cm="1">
        <f t="array" ref="B277:Y277">VLOOKUP(A277,standard_pitchers_2019!A:Y,{2,3,4,5,6,7,8,9,10,11,12,13,14,15,16,17,18,19,20,21,22,23,24,25},FALSE)</f>
        <v>Rockies</v>
      </c>
      <c r="C277">
        <v>2</v>
      </c>
      <c r="D277">
        <v>2</v>
      </c>
      <c r="E277">
        <v>3.75</v>
      </c>
      <c r="F277">
        <v>71</v>
      </c>
      <c r="G277">
        <v>0</v>
      </c>
      <c r="H277">
        <v>0</v>
      </c>
      <c r="I277">
        <v>0</v>
      </c>
      <c r="J277">
        <v>0</v>
      </c>
      <c r="K277">
        <v>11</v>
      </c>
      <c r="L277">
        <v>2</v>
      </c>
      <c r="M277">
        <v>72</v>
      </c>
      <c r="N277">
        <v>308</v>
      </c>
      <c r="O277">
        <v>70</v>
      </c>
      <c r="P277">
        <v>34</v>
      </c>
      <c r="Q277">
        <v>30</v>
      </c>
      <c r="R277">
        <v>12</v>
      </c>
      <c r="S277">
        <v>23</v>
      </c>
      <c r="T277">
        <v>1</v>
      </c>
      <c r="U277">
        <v>1</v>
      </c>
      <c r="V277">
        <v>1</v>
      </c>
      <c r="W277">
        <v>1</v>
      </c>
      <c r="X277">
        <v>81</v>
      </c>
      <c r="Y277">
        <v>14542</v>
      </c>
      <c r="Z277" cm="1">
        <f t="array" ref="Z277:AR277">VLOOKUP(A277,advanced_pitchers_2019!A:Y,{3,4,5,6,7,8,9,10,11,12,13,14,15,16,17,18,19,20,21},FALSE)</f>
        <v>10.130000000000001</v>
      </c>
      <c r="AA277">
        <v>2.88</v>
      </c>
      <c r="AB277">
        <v>3.52</v>
      </c>
      <c r="AC277">
        <v>1.5</v>
      </c>
      <c r="AD277">
        <v>0.26300000000000001</v>
      </c>
      <c r="AE277">
        <v>7.4999999999999997E-2</v>
      </c>
      <c r="AF277">
        <v>0.188</v>
      </c>
      <c r="AG277">
        <v>0.246</v>
      </c>
      <c r="AH277">
        <v>1.29</v>
      </c>
      <c r="AI277">
        <v>0.30399999999999999</v>
      </c>
      <c r="AJ277">
        <v>0.77700000000000002</v>
      </c>
      <c r="AK277">
        <v>74</v>
      </c>
      <c r="AL277">
        <v>88</v>
      </c>
      <c r="AM277">
        <v>97</v>
      </c>
      <c r="AN277">
        <v>3.75</v>
      </c>
      <c r="AO277">
        <v>4.13</v>
      </c>
      <c r="AP277">
        <v>-0.38</v>
      </c>
      <c r="AQ277">
        <v>4.3099999999999996</v>
      </c>
      <c r="AR277">
        <v>3.76</v>
      </c>
      <c r="AS277" cm="1">
        <f t="array" ref="AS277:BA277">VLOOKUP(A277,plate_discipline_pitchers_2019!A:L,{3,4,5,6,7,8,9,10,11},FALSE)</f>
        <v>0.27700000000000002</v>
      </c>
      <c r="AT277">
        <v>0.72199999999999998</v>
      </c>
      <c r="AU277">
        <v>0.497</v>
      </c>
      <c r="AV277">
        <v>0.57499999999999996</v>
      </c>
      <c r="AW277">
        <v>0.77600000000000002</v>
      </c>
      <c r="AX277">
        <v>0.71899999999999997</v>
      </c>
      <c r="AY277">
        <v>0.49399999999999999</v>
      </c>
      <c r="AZ277">
        <v>0.64600000000000002</v>
      </c>
      <c r="BA277">
        <v>0.14000000000000001</v>
      </c>
      <c r="BB277" cm="1">
        <f t="array" ref="BB277:BP277">VLOOKUP(A277,pitchvalue_pitchers_2019!A:Q,{3,4,5,6,7,8,9,10,11,12,13,14,15,16,17},FALSE)</f>
        <v>-7.1</v>
      </c>
      <c r="BC277">
        <v>5.2</v>
      </c>
      <c r="BD277">
        <v>0</v>
      </c>
      <c r="BE277">
        <v>0</v>
      </c>
      <c r="BF277">
        <v>0.6</v>
      </c>
      <c r="BG277">
        <v>0</v>
      </c>
      <c r="BH277">
        <v>0</v>
      </c>
      <c r="BI277">
        <v>-0.83</v>
      </c>
      <c r="BJ277">
        <v>1.53</v>
      </c>
      <c r="BK277">
        <v>0</v>
      </c>
      <c r="BL277">
        <v>0</v>
      </c>
      <c r="BM277">
        <v>1.27</v>
      </c>
      <c r="BN277">
        <v>0</v>
      </c>
      <c r="BO277">
        <v>0</v>
      </c>
      <c r="BP277">
        <v>14542</v>
      </c>
      <c r="BQ277" cm="1">
        <f t="array" ref="BQ277:CH277">VLOOKUP(A277,battedball_pitchers_2019!A:U,{3,4,5,6,7,8,9,10,11,12,13,14,15,16,17,18,19,20},FALSE)</f>
        <v>0.30399999999999999</v>
      </c>
      <c r="BR277">
        <v>0.91</v>
      </c>
      <c r="BS277">
        <v>0.19800000000000001</v>
      </c>
      <c r="BT277">
        <v>0.38100000000000001</v>
      </c>
      <c r="BU277">
        <v>0.42099999999999999</v>
      </c>
      <c r="BV277">
        <v>3.5000000000000003E-2</v>
      </c>
      <c r="BW277">
        <v>0.14099999999999999</v>
      </c>
      <c r="BX277">
        <v>45</v>
      </c>
      <c r="BY277">
        <v>5.63</v>
      </c>
      <c r="BZ277">
        <v>425</v>
      </c>
      <c r="CA277">
        <v>815</v>
      </c>
      <c r="CB277">
        <v>1240</v>
      </c>
      <c r="CC277">
        <v>0.33500000000000002</v>
      </c>
      <c r="CD277">
        <v>0.374</v>
      </c>
      <c r="CE277">
        <v>0.29099999999999998</v>
      </c>
      <c r="CF277">
        <v>0.14799999999999999</v>
      </c>
      <c r="CG277">
        <v>0.44800000000000001</v>
      </c>
      <c r="CH277">
        <v>0.40400000000000003</v>
      </c>
      <c r="CI277" cm="1">
        <f t="array" ref="CI277:CS277">VLOOKUP(A277,verticalmove_pitchers_2019!A:N,{3,4,5,6,7,8,9,10,11,12,13},FALSE)</f>
        <v>72</v>
      </c>
      <c r="CJ277">
        <v>8.5</v>
      </c>
      <c r="CK277">
        <v>0</v>
      </c>
      <c r="CL277">
        <v>0</v>
      </c>
      <c r="CM277">
        <v>6.5</v>
      </c>
      <c r="CN277">
        <v>3.8</v>
      </c>
      <c r="CO277">
        <v>0.1</v>
      </c>
      <c r="CP277">
        <v>0</v>
      </c>
      <c r="CQ277">
        <v>0</v>
      </c>
      <c r="CR277">
        <v>0</v>
      </c>
      <c r="CS277">
        <v>0</v>
      </c>
      <c r="CT277" cm="1">
        <f t="array" ref="CT277:DD277">VLOOKUP(A277,velocity_pitchers_2019!A:N,{3,4,5,6,7,8,9,10,11,12,13},FALSE)</f>
        <v>72</v>
      </c>
      <c r="CU277">
        <v>98</v>
      </c>
      <c r="CV277">
        <v>0</v>
      </c>
      <c r="CW277">
        <v>0</v>
      </c>
      <c r="CX277">
        <v>95.4</v>
      </c>
      <c r="CY277">
        <v>90.6</v>
      </c>
      <c r="CZ277">
        <v>87.7</v>
      </c>
      <c r="DA277">
        <v>0</v>
      </c>
      <c r="DB277">
        <v>0</v>
      </c>
      <c r="DC277">
        <v>0</v>
      </c>
      <c r="DD277">
        <v>0</v>
      </c>
    </row>
    <row r="278" spans="1:108" x14ac:dyDescent="0.3">
      <c r="A278" t="s">
        <v>222</v>
      </c>
      <c r="B278" t="str" cm="1">
        <f t="array" ref="B278:Y278">VLOOKUP(A278,standard_pitchers_2019!A:Y,{2,3,4,5,6,7,8,9,10,11,12,13,14,15,16,17,18,19,20,21,22,23,24,25},FALSE)</f>
        <v>Cardinals</v>
      </c>
      <c r="C278">
        <v>14</v>
      </c>
      <c r="D278">
        <v>10</v>
      </c>
      <c r="E278">
        <v>4.1900000000000004</v>
      </c>
      <c r="F278">
        <v>31</v>
      </c>
      <c r="G278">
        <v>31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171.2</v>
      </c>
      <c r="N278">
        <v>745</v>
      </c>
      <c r="O278">
        <v>181</v>
      </c>
      <c r="P278">
        <v>83</v>
      </c>
      <c r="Q278">
        <v>80</v>
      </c>
      <c r="R278">
        <v>22</v>
      </c>
      <c r="S278">
        <v>64</v>
      </c>
      <c r="T278">
        <v>7</v>
      </c>
      <c r="U278">
        <v>8</v>
      </c>
      <c r="V278">
        <v>2</v>
      </c>
      <c r="W278">
        <v>0</v>
      </c>
      <c r="X278">
        <v>153</v>
      </c>
      <c r="Y278">
        <v>2233</v>
      </c>
      <c r="Z278" cm="1">
        <f t="array" ref="Z278:AR278">VLOOKUP(A278,advanced_pitchers_2019!A:Y,{3,4,5,6,7,8,9,10,11,12,13,14,15,16,17,18,19,20,21},FALSE)</f>
        <v>8.02</v>
      </c>
      <c r="AA278">
        <v>3.36</v>
      </c>
      <c r="AB278">
        <v>2.39</v>
      </c>
      <c r="AC278">
        <v>1.1499999999999999</v>
      </c>
      <c r="AD278">
        <v>0.20499999999999999</v>
      </c>
      <c r="AE278">
        <v>8.5999999999999993E-2</v>
      </c>
      <c r="AF278">
        <v>0.11899999999999999</v>
      </c>
      <c r="AG278">
        <v>0.26900000000000002</v>
      </c>
      <c r="AH278">
        <v>1.43</v>
      </c>
      <c r="AI278">
        <v>0.31900000000000001</v>
      </c>
      <c r="AJ278">
        <v>0.76500000000000001</v>
      </c>
      <c r="AK278">
        <v>99</v>
      </c>
      <c r="AL278">
        <v>100</v>
      </c>
      <c r="AM278">
        <v>99</v>
      </c>
      <c r="AN278">
        <v>4.1900000000000004</v>
      </c>
      <c r="AO278">
        <v>4.3600000000000003</v>
      </c>
      <c r="AP278">
        <v>-0.16</v>
      </c>
      <c r="AQ278">
        <v>4.3899999999999997</v>
      </c>
      <c r="AR278">
        <v>4.7</v>
      </c>
      <c r="AS278" cm="1">
        <f t="array" ref="AS278:BA278">VLOOKUP(A278,plate_discipline_pitchers_2019!A:L,{3,4,5,6,7,8,9,10,11},FALSE)</f>
        <v>0.26200000000000001</v>
      </c>
      <c r="AT278">
        <v>0.622</v>
      </c>
      <c r="AU278">
        <v>0.41799999999999998</v>
      </c>
      <c r="AV278">
        <v>0.67700000000000005</v>
      </c>
      <c r="AW278">
        <v>0.89900000000000002</v>
      </c>
      <c r="AX278">
        <v>0.82</v>
      </c>
      <c r="AY278">
        <v>0.434</v>
      </c>
      <c r="AZ278">
        <v>0.58699999999999997</v>
      </c>
      <c r="BA278">
        <v>7.4999999999999997E-2</v>
      </c>
      <c r="BB278" cm="1">
        <f t="array" ref="BB278:BP278">VLOOKUP(A278,pitchvalue_pitchers_2019!A:Q,{3,4,5,6,7,8,9,10,11,12,13,14,15,16,17},FALSE)</f>
        <v>-7.2</v>
      </c>
      <c r="BC278">
        <v>0</v>
      </c>
      <c r="BD278">
        <v>-4.7</v>
      </c>
      <c r="BE278">
        <v>9.1999999999999993</v>
      </c>
      <c r="BF278">
        <v>-1</v>
      </c>
      <c r="BG278">
        <v>-1.1000000000000001</v>
      </c>
      <c r="BH278">
        <v>0</v>
      </c>
      <c r="BI278">
        <v>-0.65</v>
      </c>
      <c r="BJ278">
        <v>0</v>
      </c>
      <c r="BK278">
        <v>-0.71</v>
      </c>
      <c r="BL278">
        <v>0.87</v>
      </c>
      <c r="BM278">
        <v>-2.69</v>
      </c>
      <c r="BN278">
        <v>-5.12</v>
      </c>
      <c r="BO278">
        <v>0</v>
      </c>
      <c r="BP278">
        <v>2233</v>
      </c>
      <c r="BQ278" cm="1">
        <f t="array" ref="BQ278:CH278">VLOOKUP(A278,battedball_pitchers_2019!A:U,{3,4,5,6,7,8,9,10,11,12,13,14,15,16,17,18,19,20},FALSE)</f>
        <v>0.31900000000000001</v>
      </c>
      <c r="BR278">
        <v>1.7</v>
      </c>
      <c r="BS278">
        <v>0.22500000000000001</v>
      </c>
      <c r="BT278">
        <v>0.48799999999999999</v>
      </c>
      <c r="BU278">
        <v>0.28699999999999998</v>
      </c>
      <c r="BV278">
        <v>6.0999999999999999E-2</v>
      </c>
      <c r="BW278">
        <v>0.15</v>
      </c>
      <c r="BX278">
        <v>104</v>
      </c>
      <c r="BY278">
        <v>5.45</v>
      </c>
      <c r="BZ278">
        <v>1080</v>
      </c>
      <c r="CA278">
        <v>1796</v>
      </c>
      <c r="CB278">
        <v>2876</v>
      </c>
      <c r="CC278">
        <v>0.44800000000000001</v>
      </c>
      <c r="CD278">
        <v>0.33500000000000002</v>
      </c>
      <c r="CE278">
        <v>0.217</v>
      </c>
      <c r="CF278">
        <v>0.14399999999999999</v>
      </c>
      <c r="CG278">
        <v>0.435</v>
      </c>
      <c r="CH278">
        <v>0.42099999999999999</v>
      </c>
      <c r="CI278" cm="1">
        <f t="array" ref="CI278:CS278">VLOOKUP(A278,verticalmove_pitchers_2019!A:N,{3,4,5,6,7,8,9,10,11,12,13},FALSE)</f>
        <v>171.2</v>
      </c>
      <c r="CJ278">
        <v>7.2</v>
      </c>
      <c r="CK278">
        <v>2.6</v>
      </c>
      <c r="CL278">
        <v>0</v>
      </c>
      <c r="CM278">
        <v>4.9000000000000004</v>
      </c>
      <c r="CN278">
        <v>3.7</v>
      </c>
      <c r="CO278">
        <v>0</v>
      </c>
      <c r="CP278">
        <v>-8.3000000000000007</v>
      </c>
      <c r="CQ278">
        <v>-7.9</v>
      </c>
      <c r="CR278">
        <v>0</v>
      </c>
      <c r="CS278">
        <v>0</v>
      </c>
      <c r="CT278" cm="1">
        <f t="array" ref="CT278:DD278">VLOOKUP(A278,velocity_pitchers_2019!A:N,{3,4,5,6,7,8,9,10,11,12,13},FALSE)</f>
        <v>171.2</v>
      </c>
      <c r="CU278">
        <v>89.9</v>
      </c>
      <c r="CV278">
        <v>85.1</v>
      </c>
      <c r="CW278">
        <v>0</v>
      </c>
      <c r="CX278">
        <v>90.3</v>
      </c>
      <c r="CY278">
        <v>84.2</v>
      </c>
      <c r="CZ278">
        <v>0</v>
      </c>
      <c r="DA278">
        <v>75.099999999999994</v>
      </c>
      <c r="DB278">
        <v>64.099999999999994</v>
      </c>
      <c r="DC278">
        <v>0</v>
      </c>
      <c r="DD278">
        <v>0</v>
      </c>
    </row>
    <row r="279" spans="1:108" x14ac:dyDescent="0.3">
      <c r="A279" t="s">
        <v>276</v>
      </c>
      <c r="B279" t="str" cm="1">
        <f t="array" ref="B279:Y279">VLOOKUP(A279,standard_pitchers_2019!A:Y,{2,3,4,5,6,7,8,9,10,11,12,13,14,15,16,17,18,19,20,21,22,23,24,25},FALSE)</f>
        <v>Orioles</v>
      </c>
      <c r="C279">
        <v>1</v>
      </c>
      <c r="D279">
        <v>3</v>
      </c>
      <c r="E279">
        <v>4.66</v>
      </c>
      <c r="F279">
        <v>65</v>
      </c>
      <c r="G279">
        <v>0</v>
      </c>
      <c r="H279">
        <v>0</v>
      </c>
      <c r="I279">
        <v>0</v>
      </c>
      <c r="J279">
        <v>2</v>
      </c>
      <c r="K279">
        <v>9</v>
      </c>
      <c r="L279">
        <v>3</v>
      </c>
      <c r="M279">
        <v>73.099999999999994</v>
      </c>
      <c r="N279">
        <v>319</v>
      </c>
      <c r="O279">
        <v>63</v>
      </c>
      <c r="P279">
        <v>42</v>
      </c>
      <c r="Q279">
        <v>38</v>
      </c>
      <c r="R279">
        <v>10</v>
      </c>
      <c r="S279">
        <v>41</v>
      </c>
      <c r="T279">
        <v>3</v>
      </c>
      <c r="U279">
        <v>0</v>
      </c>
      <c r="V279">
        <v>11</v>
      </c>
      <c r="W279">
        <v>2</v>
      </c>
      <c r="X279">
        <v>71</v>
      </c>
      <c r="Y279">
        <v>15684</v>
      </c>
      <c r="Z279" cm="1">
        <f t="array" ref="Z279:AR279">VLOOKUP(A279,advanced_pitchers_2019!A:Y,{3,4,5,6,7,8,9,10,11,12,13,14,15,16,17,18,19,20,21},FALSE)</f>
        <v>8.7100000000000009</v>
      </c>
      <c r="AA279">
        <v>5.03</v>
      </c>
      <c r="AB279">
        <v>1.73</v>
      </c>
      <c r="AC279">
        <v>1.23</v>
      </c>
      <c r="AD279">
        <v>0.223</v>
      </c>
      <c r="AE279">
        <v>0.129</v>
      </c>
      <c r="AF279">
        <v>9.4E-2</v>
      </c>
      <c r="AG279">
        <v>0.22700000000000001</v>
      </c>
      <c r="AH279">
        <v>1.42</v>
      </c>
      <c r="AI279">
        <v>0.26900000000000002</v>
      </c>
      <c r="AJ279">
        <v>0.68899999999999995</v>
      </c>
      <c r="AK279">
        <v>99</v>
      </c>
      <c r="AL279">
        <v>99</v>
      </c>
      <c r="AM279">
        <v>106</v>
      </c>
      <c r="AN279">
        <v>4.66</v>
      </c>
      <c r="AO279">
        <v>4.7300000000000004</v>
      </c>
      <c r="AP279">
        <v>-0.06</v>
      </c>
      <c r="AQ279">
        <v>4.8499999999999996</v>
      </c>
      <c r="AR279">
        <v>4.8</v>
      </c>
      <c r="AS279" cm="1">
        <f t="array" ref="AS279:BA279">VLOOKUP(A279,plate_discipline_pitchers_2019!A:L,{3,4,5,6,7,8,9,10,11},FALSE)</f>
        <v>0.29699999999999999</v>
      </c>
      <c r="AT279">
        <v>0.66500000000000004</v>
      </c>
      <c r="AU279">
        <v>0.442</v>
      </c>
      <c r="AV279">
        <v>0.58099999999999996</v>
      </c>
      <c r="AW279">
        <v>0.84199999999999997</v>
      </c>
      <c r="AX279">
        <v>0.73499999999999999</v>
      </c>
      <c r="AY279">
        <v>0.39300000000000002</v>
      </c>
      <c r="AZ279">
        <v>0.52</v>
      </c>
      <c r="BA279">
        <v>0.11700000000000001</v>
      </c>
      <c r="BB279" cm="1">
        <f t="array" ref="BB279:BP279">VLOOKUP(A279,pitchvalue_pitchers_2019!A:Q,{3,4,5,6,7,8,9,10,11,12,13,14,15,16,17},FALSE)</f>
        <v>-7.2</v>
      </c>
      <c r="BC279">
        <v>6.2</v>
      </c>
      <c r="BD279">
        <v>0</v>
      </c>
      <c r="BE279">
        <v>0</v>
      </c>
      <c r="BF279">
        <v>3.8</v>
      </c>
      <c r="BG279">
        <v>0</v>
      </c>
      <c r="BH279">
        <v>0</v>
      </c>
      <c r="BI279">
        <v>-1.2</v>
      </c>
      <c r="BJ279">
        <v>1.61</v>
      </c>
      <c r="BK279">
        <v>0</v>
      </c>
      <c r="BL279">
        <v>0</v>
      </c>
      <c r="BM279">
        <v>1.55</v>
      </c>
      <c r="BN279">
        <v>0</v>
      </c>
      <c r="BO279">
        <v>0</v>
      </c>
      <c r="BP279">
        <v>15684</v>
      </c>
      <c r="BQ279" cm="1">
        <f t="array" ref="BQ279:CH279">VLOOKUP(A279,battedball_pitchers_2019!A:U,{3,4,5,6,7,8,9,10,11,12,13,14,15,16,17,18,19,20},FALSE)</f>
        <v>0.26900000000000002</v>
      </c>
      <c r="BR279">
        <v>1.44</v>
      </c>
      <c r="BS279">
        <v>0.17399999999999999</v>
      </c>
      <c r="BT279">
        <v>0.48799999999999999</v>
      </c>
      <c r="BU279">
        <v>0.33800000000000002</v>
      </c>
      <c r="BV279">
        <v>0.14299999999999999</v>
      </c>
      <c r="BW279">
        <v>0.14299999999999999</v>
      </c>
      <c r="BX279">
        <v>24</v>
      </c>
      <c r="BY279">
        <v>2.95</v>
      </c>
      <c r="BZ279">
        <v>488</v>
      </c>
      <c r="CA279">
        <v>744</v>
      </c>
      <c r="CB279">
        <v>1232</v>
      </c>
      <c r="CC279">
        <v>0.38600000000000001</v>
      </c>
      <c r="CD279">
        <v>0.43</v>
      </c>
      <c r="CE279">
        <v>0.184</v>
      </c>
      <c r="CF279">
        <v>0.24199999999999999</v>
      </c>
      <c r="CG279">
        <v>0.45900000000000002</v>
      </c>
      <c r="CH279">
        <v>0.3</v>
      </c>
      <c r="CI279" cm="1">
        <f t="array" ref="CI279:CS279">VLOOKUP(A279,verticalmove_pitchers_2019!A:N,{3,4,5,6,7,8,9,10,11,12,13},FALSE)</f>
        <v>73.099999999999994</v>
      </c>
      <c r="CJ279">
        <v>0</v>
      </c>
      <c r="CK279">
        <v>0</v>
      </c>
      <c r="CL279">
        <v>0</v>
      </c>
      <c r="CM279">
        <v>4.2</v>
      </c>
      <c r="CN279">
        <v>2</v>
      </c>
      <c r="CO279">
        <v>-0.9</v>
      </c>
      <c r="CP279">
        <v>0</v>
      </c>
      <c r="CQ279">
        <v>0</v>
      </c>
      <c r="CR279">
        <v>0</v>
      </c>
      <c r="CS279">
        <v>0</v>
      </c>
      <c r="CT279" cm="1">
        <f t="array" ref="CT279:DD279">VLOOKUP(A279,velocity_pitchers_2019!A:N,{3,4,5,6,7,8,9,10,11,12,13},FALSE)</f>
        <v>73.099999999999994</v>
      </c>
      <c r="CU279">
        <v>0</v>
      </c>
      <c r="CV279">
        <v>0</v>
      </c>
      <c r="CW279">
        <v>0</v>
      </c>
      <c r="CX279">
        <v>97.8</v>
      </c>
      <c r="CY279">
        <v>90.9</v>
      </c>
      <c r="CZ279">
        <v>86.5</v>
      </c>
      <c r="DA279">
        <v>0</v>
      </c>
      <c r="DB279">
        <v>0</v>
      </c>
      <c r="DC279">
        <v>0</v>
      </c>
      <c r="DD279">
        <v>0</v>
      </c>
    </row>
    <row r="280" spans="1:108" x14ac:dyDescent="0.3">
      <c r="A280" t="s">
        <v>176</v>
      </c>
      <c r="B280" t="str" cm="1">
        <f t="array" ref="B280:Y280">VLOOKUP(A280,standard_pitchers_2019!A:Y,{2,3,4,5,6,7,8,9,10,11,12,13,14,15,16,17,18,19,20,21,22,23,24,25},FALSE)</f>
        <v>Braves</v>
      </c>
      <c r="C280">
        <v>9</v>
      </c>
      <c r="D280">
        <v>2</v>
      </c>
      <c r="E280">
        <v>3.84</v>
      </c>
      <c r="F280">
        <v>70</v>
      </c>
      <c r="G280">
        <v>0</v>
      </c>
      <c r="H280">
        <v>0</v>
      </c>
      <c r="I280">
        <v>0</v>
      </c>
      <c r="J280">
        <v>18</v>
      </c>
      <c r="K280">
        <v>9</v>
      </c>
      <c r="L280">
        <v>7</v>
      </c>
      <c r="M280">
        <v>72.2</v>
      </c>
      <c r="N280">
        <v>315</v>
      </c>
      <c r="O280">
        <v>76</v>
      </c>
      <c r="P280">
        <v>34</v>
      </c>
      <c r="Q280">
        <v>31</v>
      </c>
      <c r="R280">
        <v>10</v>
      </c>
      <c r="S280">
        <v>26</v>
      </c>
      <c r="T280">
        <v>4</v>
      </c>
      <c r="U280">
        <v>2</v>
      </c>
      <c r="V280">
        <v>3</v>
      </c>
      <c r="W280">
        <v>0</v>
      </c>
      <c r="X280">
        <v>106</v>
      </c>
      <c r="Y280">
        <v>11752</v>
      </c>
      <c r="Z280" cm="1">
        <f t="array" ref="Z280:AR280">VLOOKUP(A280,advanced_pitchers_2019!A:Y,{3,4,5,6,7,8,9,10,11,12,13,14,15,16,17,18,19,20,21},FALSE)</f>
        <v>13.13</v>
      </c>
      <c r="AA280">
        <v>3.22</v>
      </c>
      <c r="AB280">
        <v>4.08</v>
      </c>
      <c r="AC280">
        <v>1.24</v>
      </c>
      <c r="AD280">
        <v>0.33700000000000002</v>
      </c>
      <c r="AE280">
        <v>8.3000000000000004E-2</v>
      </c>
      <c r="AF280">
        <v>0.254</v>
      </c>
      <c r="AG280">
        <v>0.26500000000000001</v>
      </c>
      <c r="AH280">
        <v>1.4</v>
      </c>
      <c r="AI280">
        <v>0.38600000000000001</v>
      </c>
      <c r="AJ280">
        <v>0.77800000000000002</v>
      </c>
      <c r="AK280">
        <v>86</v>
      </c>
      <c r="AL280">
        <v>74</v>
      </c>
      <c r="AM280">
        <v>56</v>
      </c>
      <c r="AN280">
        <v>3.84</v>
      </c>
      <c r="AO280">
        <v>3.24</v>
      </c>
      <c r="AP280">
        <v>0.6</v>
      </c>
      <c r="AQ280">
        <v>2.52</v>
      </c>
      <c r="AR280">
        <v>2.8</v>
      </c>
      <c r="AS280" cm="1">
        <f t="array" ref="AS280:BA280">VLOOKUP(A280,plate_discipline_pitchers_2019!A:L,{3,4,5,6,7,8,9,10,11},FALSE)</f>
        <v>0.36899999999999999</v>
      </c>
      <c r="AT280">
        <v>0.68200000000000005</v>
      </c>
      <c r="AU280">
        <v>0.48799999999999999</v>
      </c>
      <c r="AV280">
        <v>0.48299999999999998</v>
      </c>
      <c r="AW280">
        <v>0.81299999999999994</v>
      </c>
      <c r="AX280">
        <v>0.65800000000000003</v>
      </c>
      <c r="AY280">
        <v>0.38100000000000001</v>
      </c>
      <c r="AZ280">
        <v>0.64400000000000002</v>
      </c>
      <c r="BA280">
        <v>0.16700000000000001</v>
      </c>
      <c r="BB280" cm="1">
        <f t="array" ref="BB280:BP280">VLOOKUP(A280,pitchvalue_pitchers_2019!A:Q,{3,4,5,6,7,8,9,10,11,12,13,14,15,16,17},FALSE)</f>
        <v>-7.2</v>
      </c>
      <c r="BC280">
        <v>12</v>
      </c>
      <c r="BD280">
        <v>0</v>
      </c>
      <c r="BE280">
        <v>-1.5</v>
      </c>
      <c r="BF280">
        <v>0</v>
      </c>
      <c r="BG280">
        <v>0</v>
      </c>
      <c r="BH280">
        <v>0</v>
      </c>
      <c r="BI280">
        <v>-1.53</v>
      </c>
      <c r="BJ280">
        <v>1.79</v>
      </c>
      <c r="BK280">
        <v>0</v>
      </c>
      <c r="BL280">
        <v>-1.34</v>
      </c>
      <c r="BM280">
        <v>-2.98</v>
      </c>
      <c r="BN280">
        <v>0</v>
      </c>
      <c r="BO280">
        <v>0</v>
      </c>
      <c r="BP280">
        <v>11752</v>
      </c>
      <c r="BQ280" cm="1">
        <f t="array" ref="BQ280:CH280">VLOOKUP(A280,battedball_pitchers_2019!A:U,{3,4,5,6,7,8,9,10,11,12,13,14,15,16,17,18,19,20},FALSE)</f>
        <v>0.38600000000000001</v>
      </c>
      <c r="BR280">
        <v>2.74</v>
      </c>
      <c r="BS280">
        <v>0.17499999999999999</v>
      </c>
      <c r="BT280">
        <v>0.60499999999999998</v>
      </c>
      <c r="BU280">
        <v>0.22</v>
      </c>
      <c r="BV280">
        <v>5.0999999999999997E-2</v>
      </c>
      <c r="BW280">
        <v>0.25600000000000001</v>
      </c>
      <c r="BX280">
        <v>48</v>
      </c>
      <c r="BY280">
        <v>5.94</v>
      </c>
      <c r="BZ280">
        <v>450</v>
      </c>
      <c r="CA280">
        <v>804</v>
      </c>
      <c r="CB280">
        <v>1254</v>
      </c>
      <c r="CC280">
        <v>0.38700000000000001</v>
      </c>
      <c r="CD280">
        <v>0.34799999999999998</v>
      </c>
      <c r="CE280">
        <v>0.26500000000000001</v>
      </c>
      <c r="CF280">
        <v>0.155</v>
      </c>
      <c r="CG280">
        <v>0.51900000000000002</v>
      </c>
      <c r="CH280">
        <v>0.32600000000000001</v>
      </c>
      <c r="CI280" cm="1">
        <f t="array" ref="CI280:CS280">VLOOKUP(A280,verticalmove_pitchers_2019!A:N,{3,4,5,6,7,8,9,10,11,12,13},FALSE)</f>
        <v>72.2</v>
      </c>
      <c r="CJ280">
        <v>9.6</v>
      </c>
      <c r="CK280">
        <v>0</v>
      </c>
      <c r="CL280">
        <v>0</v>
      </c>
      <c r="CM280">
        <v>0</v>
      </c>
      <c r="CN280">
        <v>8.5</v>
      </c>
      <c r="CO280">
        <v>-4.5</v>
      </c>
      <c r="CP280">
        <v>-8.4</v>
      </c>
      <c r="CQ280">
        <v>0</v>
      </c>
      <c r="CR280">
        <v>0</v>
      </c>
      <c r="CS280">
        <v>0</v>
      </c>
      <c r="CT280" cm="1">
        <f t="array" ref="CT280:DD280">VLOOKUP(A280,velocity_pitchers_2019!A:N,{3,4,5,6,7,8,9,10,11,12,13},FALSE)</f>
        <v>72.2</v>
      </c>
      <c r="CU280">
        <v>96.3</v>
      </c>
      <c r="CV280">
        <v>0</v>
      </c>
      <c r="CW280">
        <v>0</v>
      </c>
      <c r="CX280">
        <v>0</v>
      </c>
      <c r="CY280">
        <v>83</v>
      </c>
      <c r="CZ280">
        <v>87.8</v>
      </c>
      <c r="DA280">
        <v>83.9</v>
      </c>
      <c r="DB280">
        <v>0</v>
      </c>
      <c r="DC280">
        <v>0</v>
      </c>
      <c r="DD280">
        <v>0</v>
      </c>
    </row>
    <row r="281" spans="1:108" x14ac:dyDescent="0.3">
      <c r="A281" t="s">
        <v>356</v>
      </c>
      <c r="B281" t="str" cm="1">
        <f t="array" ref="B281:Y281">VLOOKUP(A281,standard_pitchers_2019!A:Y,{2,3,4,5,6,7,8,9,10,11,12,13,14,15,16,17,18,19,20,21,22,23,24,25},FALSE)</f>
        <v>- - -</v>
      </c>
      <c r="C281">
        <v>3</v>
      </c>
      <c r="D281">
        <v>9</v>
      </c>
      <c r="E281">
        <v>5.72</v>
      </c>
      <c r="F281">
        <v>31</v>
      </c>
      <c r="G281">
        <v>17</v>
      </c>
      <c r="H281">
        <v>0</v>
      </c>
      <c r="I281">
        <v>0</v>
      </c>
      <c r="J281">
        <v>0</v>
      </c>
      <c r="K281">
        <v>2</v>
      </c>
      <c r="L281">
        <v>0</v>
      </c>
      <c r="M281">
        <v>102.1</v>
      </c>
      <c r="N281">
        <v>451</v>
      </c>
      <c r="O281">
        <v>113</v>
      </c>
      <c r="P281">
        <v>71</v>
      </c>
      <c r="Q281">
        <v>65</v>
      </c>
      <c r="R281">
        <v>15</v>
      </c>
      <c r="S281">
        <v>32</v>
      </c>
      <c r="T281">
        <v>3</v>
      </c>
      <c r="U281">
        <v>5</v>
      </c>
      <c r="V281">
        <v>2</v>
      </c>
      <c r="W281">
        <v>0</v>
      </c>
      <c r="X281">
        <v>114</v>
      </c>
      <c r="Y281">
        <v>14107</v>
      </c>
      <c r="Z281" cm="1">
        <f t="array" ref="Z281:AR281">VLOOKUP(A281,advanced_pitchers_2019!A:Y,{3,4,5,6,7,8,9,10,11,12,13,14,15,16,17,18,19,20,21},FALSE)</f>
        <v>10.029999999999999</v>
      </c>
      <c r="AA281">
        <v>2.81</v>
      </c>
      <c r="AB281">
        <v>3.56</v>
      </c>
      <c r="AC281">
        <v>1.32</v>
      </c>
      <c r="AD281">
        <v>0.253</v>
      </c>
      <c r="AE281">
        <v>7.0999999999999994E-2</v>
      </c>
      <c r="AF281">
        <v>0.182</v>
      </c>
      <c r="AG281">
        <v>0.27300000000000002</v>
      </c>
      <c r="AH281">
        <v>1.42</v>
      </c>
      <c r="AI281">
        <v>0.34399999999999997</v>
      </c>
      <c r="AJ281">
        <v>0.61199999999999999</v>
      </c>
      <c r="AK281">
        <v>129</v>
      </c>
      <c r="AL281">
        <v>90</v>
      </c>
      <c r="AM281">
        <v>91</v>
      </c>
      <c r="AN281">
        <v>5.72</v>
      </c>
      <c r="AO281">
        <v>3.98</v>
      </c>
      <c r="AP281">
        <v>1.74</v>
      </c>
      <c r="AQ281">
        <v>4.05</v>
      </c>
      <c r="AR281">
        <v>4.0999999999999996</v>
      </c>
      <c r="AS281" cm="1">
        <f t="array" ref="AS281:BA281">VLOOKUP(A281,plate_discipline_pitchers_2019!A:L,{3,4,5,6,7,8,9,10,11},FALSE)</f>
        <v>0.378</v>
      </c>
      <c r="AT281">
        <v>0.747</v>
      </c>
      <c r="AU281">
        <v>0.52700000000000002</v>
      </c>
      <c r="AV281">
        <v>0.627</v>
      </c>
      <c r="AW281">
        <v>0.78500000000000003</v>
      </c>
      <c r="AX281">
        <v>0.71699999999999997</v>
      </c>
      <c r="AY281">
        <v>0.40200000000000002</v>
      </c>
      <c r="AZ281">
        <v>0.64300000000000002</v>
      </c>
      <c r="BA281">
        <v>0.14899999999999999</v>
      </c>
      <c r="BB281" cm="1">
        <f t="array" ref="BB281:BP281">VLOOKUP(A281,pitchvalue_pitchers_2019!A:Q,{3,4,5,6,7,8,9,10,11,12,13,14,15,16,17},FALSE)</f>
        <v>-7.3</v>
      </c>
      <c r="BC281">
        <v>-1.4</v>
      </c>
      <c r="BD281">
        <v>0</v>
      </c>
      <c r="BE281">
        <v>-0.1</v>
      </c>
      <c r="BF281">
        <v>-1.6</v>
      </c>
      <c r="BG281">
        <v>5.3</v>
      </c>
      <c r="BH281">
        <v>0</v>
      </c>
      <c r="BI281">
        <v>-0.77</v>
      </c>
      <c r="BJ281">
        <v>-3.9</v>
      </c>
      <c r="BK281">
        <v>0</v>
      </c>
      <c r="BL281">
        <v>-3.89</v>
      </c>
      <c r="BM281">
        <v>-1.69</v>
      </c>
      <c r="BN281">
        <v>0.91</v>
      </c>
      <c r="BO281">
        <v>0</v>
      </c>
      <c r="BP281">
        <v>14107</v>
      </c>
      <c r="BQ281" cm="1">
        <f t="array" ref="BQ281:CH281">VLOOKUP(A281,battedball_pitchers_2019!A:U,{3,4,5,6,7,8,9,10,11,12,13,14,15,16,17,18,19,20},FALSE)</f>
        <v>0.34399999999999997</v>
      </c>
      <c r="BR281">
        <v>1.06</v>
      </c>
      <c r="BS281">
        <v>0.27100000000000002</v>
      </c>
      <c r="BT281">
        <v>0.375</v>
      </c>
      <c r="BU281">
        <v>0.35399999999999998</v>
      </c>
      <c r="BV281">
        <v>0.11799999999999999</v>
      </c>
      <c r="BW281">
        <v>0.14699999999999999</v>
      </c>
      <c r="BX281">
        <v>46</v>
      </c>
      <c r="BY281">
        <v>4.05</v>
      </c>
      <c r="BZ281">
        <v>544</v>
      </c>
      <c r="CA281">
        <v>1127</v>
      </c>
      <c r="CB281">
        <v>1671</v>
      </c>
      <c r="CC281">
        <v>0.36699999999999999</v>
      </c>
      <c r="CD281">
        <v>0.37</v>
      </c>
      <c r="CE281">
        <v>0.26300000000000001</v>
      </c>
      <c r="CF281">
        <v>0.14299999999999999</v>
      </c>
      <c r="CG281">
        <v>0.45700000000000002</v>
      </c>
      <c r="CH281">
        <v>0.4</v>
      </c>
      <c r="CI281" cm="1">
        <f t="array" ref="CI281:CS281">VLOOKUP(A281,verticalmove_pitchers_2019!A:N,{3,4,5,6,7,8,9,10,11,12,13},FALSE)</f>
        <v>102.1</v>
      </c>
      <c r="CJ281">
        <v>8.5</v>
      </c>
      <c r="CK281">
        <v>0</v>
      </c>
      <c r="CL281">
        <v>2</v>
      </c>
      <c r="CM281">
        <v>6.5</v>
      </c>
      <c r="CN281">
        <v>6.2</v>
      </c>
      <c r="CO281">
        <v>1.4</v>
      </c>
      <c r="CP281">
        <v>7.6</v>
      </c>
      <c r="CQ281">
        <v>0</v>
      </c>
      <c r="CR281">
        <v>0</v>
      </c>
      <c r="CS281">
        <v>0</v>
      </c>
      <c r="CT281" cm="1">
        <f t="array" ref="CT281:DD281">VLOOKUP(A281,velocity_pitchers_2019!A:N,{3,4,5,6,7,8,9,10,11,12,13},FALSE)</f>
        <v>102.1</v>
      </c>
      <c r="CU281">
        <v>94.2</v>
      </c>
      <c r="CV281">
        <v>0</v>
      </c>
      <c r="CW281">
        <v>83.6</v>
      </c>
      <c r="CX281">
        <v>91.4</v>
      </c>
      <c r="CY281">
        <v>86.4</v>
      </c>
      <c r="CZ281">
        <v>82.4</v>
      </c>
      <c r="DA281">
        <v>92.7</v>
      </c>
      <c r="DB281">
        <v>0</v>
      </c>
      <c r="DC281">
        <v>0</v>
      </c>
      <c r="DD281">
        <v>0</v>
      </c>
    </row>
    <row r="282" spans="1:108" x14ac:dyDescent="0.3">
      <c r="A282" t="s">
        <v>134</v>
      </c>
      <c r="B282" t="str" cm="1">
        <f t="array" ref="B282:Y282">VLOOKUP(A282,standard_pitchers_2019!A:Y,{2,3,4,5,6,7,8,9,10,11,12,13,14,15,16,17,18,19,20,21,22,23,24,25},FALSE)</f>
        <v>Brewers</v>
      </c>
      <c r="C282">
        <v>3</v>
      </c>
      <c r="D282">
        <v>2</v>
      </c>
      <c r="E282">
        <v>3.5</v>
      </c>
      <c r="F282">
        <v>19</v>
      </c>
      <c r="G282">
        <v>17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87.1</v>
      </c>
      <c r="N282">
        <v>366</v>
      </c>
      <c r="O282">
        <v>76</v>
      </c>
      <c r="P282">
        <v>36</v>
      </c>
      <c r="Q282">
        <v>34</v>
      </c>
      <c r="R282">
        <v>9</v>
      </c>
      <c r="S282">
        <v>37</v>
      </c>
      <c r="T282">
        <v>0</v>
      </c>
      <c r="U282">
        <v>0</v>
      </c>
      <c r="V282">
        <v>5</v>
      </c>
      <c r="W282">
        <v>0</v>
      </c>
      <c r="X282">
        <v>78</v>
      </c>
      <c r="Y282">
        <v>7448</v>
      </c>
      <c r="Z282" cm="1">
        <f t="array" ref="Z282:AR282">VLOOKUP(A282,advanced_pitchers_2019!A:Y,{3,4,5,6,7,8,9,10,11,12,13,14,15,16,17,18,19,20,21},FALSE)</f>
        <v>8.0399999999999991</v>
      </c>
      <c r="AA282">
        <v>3.81</v>
      </c>
      <c r="AB282">
        <v>2.11</v>
      </c>
      <c r="AC282">
        <v>0.93</v>
      </c>
      <c r="AD282">
        <v>0.21299999999999999</v>
      </c>
      <c r="AE282">
        <v>0.10100000000000001</v>
      </c>
      <c r="AF282">
        <v>0.112</v>
      </c>
      <c r="AG282">
        <v>0.23100000000000001</v>
      </c>
      <c r="AH282">
        <v>1.29</v>
      </c>
      <c r="AI282">
        <v>0.27700000000000002</v>
      </c>
      <c r="AJ282">
        <v>0.76700000000000002</v>
      </c>
      <c r="AK282">
        <v>79</v>
      </c>
      <c r="AL282">
        <v>90</v>
      </c>
      <c r="AM282">
        <v>100</v>
      </c>
      <c r="AN282">
        <v>3.5</v>
      </c>
      <c r="AO282">
        <v>4.04</v>
      </c>
      <c r="AP282">
        <v>-0.53</v>
      </c>
      <c r="AQ282">
        <v>4.45</v>
      </c>
      <c r="AR282">
        <v>4.88</v>
      </c>
      <c r="AS282" cm="1">
        <f t="array" ref="AS282:BA282">VLOOKUP(A282,plate_discipline_pitchers_2019!A:L,{3,4,5,6,7,8,9,10,11},FALSE)</f>
        <v>0.33100000000000002</v>
      </c>
      <c r="AT282">
        <v>0.66500000000000004</v>
      </c>
      <c r="AU282">
        <v>0.44</v>
      </c>
      <c r="AV282">
        <v>0.68400000000000005</v>
      </c>
      <c r="AW282">
        <v>0.84599999999999997</v>
      </c>
      <c r="AX282">
        <v>0.76400000000000001</v>
      </c>
      <c r="AY282">
        <v>0.32600000000000001</v>
      </c>
      <c r="AZ282">
        <v>0.48099999999999998</v>
      </c>
      <c r="BA282">
        <v>0.104</v>
      </c>
      <c r="BB282" cm="1">
        <f t="array" ref="BB282:BP282">VLOOKUP(A282,pitchvalue_pitchers_2019!A:Q,{3,4,5,6,7,8,9,10,11,12,13,14,15,16,17},FALSE)</f>
        <v>-7.3</v>
      </c>
      <c r="BC282">
        <v>0</v>
      </c>
      <c r="BD282">
        <v>0</v>
      </c>
      <c r="BE282">
        <v>0.8</v>
      </c>
      <c r="BF282">
        <v>13</v>
      </c>
      <c r="BG282">
        <v>0</v>
      </c>
      <c r="BH282">
        <v>0</v>
      </c>
      <c r="BI282">
        <v>-0.95</v>
      </c>
      <c r="BJ282">
        <v>0</v>
      </c>
      <c r="BK282">
        <v>0</v>
      </c>
      <c r="BL282">
        <v>0.33</v>
      </c>
      <c r="BM282">
        <v>2.74</v>
      </c>
      <c r="BN282">
        <v>0</v>
      </c>
      <c r="BO282">
        <v>0</v>
      </c>
      <c r="BP282">
        <v>7448</v>
      </c>
      <c r="BQ282" cm="1">
        <f t="array" ref="BQ282:CH282">VLOOKUP(A282,battedball_pitchers_2019!A:U,{3,4,5,6,7,8,9,10,11,12,13,14,15,16,17,18,19,20},FALSE)</f>
        <v>0.27700000000000002</v>
      </c>
      <c r="BR282">
        <v>1.42</v>
      </c>
      <c r="BS282">
        <v>0.24099999999999999</v>
      </c>
      <c r="BT282">
        <v>0.44500000000000001</v>
      </c>
      <c r="BU282">
        <v>0.314</v>
      </c>
      <c r="BV282">
        <v>0.104</v>
      </c>
      <c r="BW282">
        <v>0.11700000000000001</v>
      </c>
      <c r="BX282">
        <v>29</v>
      </c>
      <c r="BY282">
        <v>2.99</v>
      </c>
      <c r="BZ282">
        <v>625</v>
      </c>
      <c r="CA282">
        <v>876</v>
      </c>
      <c r="CB282">
        <v>1501</v>
      </c>
      <c r="CC282">
        <v>0.41799999999999998</v>
      </c>
      <c r="CD282">
        <v>0.38600000000000001</v>
      </c>
      <c r="CE282">
        <v>0.19500000000000001</v>
      </c>
      <c r="CF282">
        <v>0.14299999999999999</v>
      </c>
      <c r="CG282">
        <v>0.53400000000000003</v>
      </c>
      <c r="CH282">
        <v>0.32300000000000001</v>
      </c>
      <c r="CI282" cm="1">
        <f t="array" ref="CI282:CS282">VLOOKUP(A282,verticalmove_pitchers_2019!A:N,{3,4,5,6,7,8,9,10,11,12,13},FALSE)</f>
        <v>87.1</v>
      </c>
      <c r="CJ282">
        <v>8.9</v>
      </c>
      <c r="CK282">
        <v>0</v>
      </c>
      <c r="CL282">
        <v>0</v>
      </c>
      <c r="CM282">
        <v>5.9</v>
      </c>
      <c r="CN282">
        <v>3.3</v>
      </c>
      <c r="CO282">
        <v>0</v>
      </c>
      <c r="CP282">
        <v>-10.5</v>
      </c>
      <c r="CQ282">
        <v>0</v>
      </c>
      <c r="CR282">
        <v>0</v>
      </c>
      <c r="CS282">
        <v>0</v>
      </c>
      <c r="CT282" cm="1">
        <f t="array" ref="CT282:DD282">VLOOKUP(A282,velocity_pitchers_2019!A:N,{3,4,5,6,7,8,9,10,11,12,13},FALSE)</f>
        <v>87.1</v>
      </c>
      <c r="CU282">
        <v>89.7</v>
      </c>
      <c r="CV282">
        <v>0</v>
      </c>
      <c r="CW282">
        <v>0</v>
      </c>
      <c r="CX282">
        <v>89.1</v>
      </c>
      <c r="CY282">
        <v>82.5</v>
      </c>
      <c r="CZ282">
        <v>0</v>
      </c>
      <c r="DA282">
        <v>75.400000000000006</v>
      </c>
      <c r="DB282">
        <v>0</v>
      </c>
      <c r="DC282">
        <v>0</v>
      </c>
      <c r="DD282">
        <v>0</v>
      </c>
    </row>
    <row r="283" spans="1:108" x14ac:dyDescent="0.3">
      <c r="A283" t="s">
        <v>288</v>
      </c>
      <c r="B283" t="str" cm="1">
        <f t="array" ref="B283:Y283">VLOOKUP(A283,standard_pitchers_2019!A:Y,{2,3,4,5,6,7,8,9,10,11,12,13,14,15,16,17,18,19,20,21,22,23,24,25},FALSE)</f>
        <v>Mariners</v>
      </c>
      <c r="C283">
        <v>4</v>
      </c>
      <c r="D283">
        <v>10</v>
      </c>
      <c r="E283">
        <v>4.76</v>
      </c>
      <c r="F283">
        <v>23</v>
      </c>
      <c r="G283">
        <v>6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111.2</v>
      </c>
      <c r="N283">
        <v>453</v>
      </c>
      <c r="O283">
        <v>102</v>
      </c>
      <c r="P283">
        <v>61</v>
      </c>
      <c r="Q283">
        <v>59</v>
      </c>
      <c r="R283">
        <v>24</v>
      </c>
      <c r="S283">
        <v>23</v>
      </c>
      <c r="T283">
        <v>2</v>
      </c>
      <c r="U283">
        <v>2</v>
      </c>
      <c r="V283">
        <v>1</v>
      </c>
      <c r="W283">
        <v>0</v>
      </c>
      <c r="X283">
        <v>94</v>
      </c>
      <c r="Y283">
        <v>7608</v>
      </c>
      <c r="Z283" cm="1">
        <f t="array" ref="Z283:AR283">VLOOKUP(A283,advanced_pitchers_2019!A:Y,{3,4,5,6,7,8,9,10,11,12,13,14,15,16,17,18,19,20,21},FALSE)</f>
        <v>7.58</v>
      </c>
      <c r="AA283">
        <v>1.85</v>
      </c>
      <c r="AB283">
        <v>4.09</v>
      </c>
      <c r="AC283">
        <v>1.93</v>
      </c>
      <c r="AD283">
        <v>0.20799999999999999</v>
      </c>
      <c r="AE283">
        <v>5.0999999999999997E-2</v>
      </c>
      <c r="AF283">
        <v>0.157</v>
      </c>
      <c r="AG283">
        <v>0.23799999999999999</v>
      </c>
      <c r="AH283">
        <v>1.1200000000000001</v>
      </c>
      <c r="AI283">
        <v>0.252</v>
      </c>
      <c r="AJ283">
        <v>0.70699999999999996</v>
      </c>
      <c r="AK283">
        <v>107</v>
      </c>
      <c r="AL283">
        <v>111</v>
      </c>
      <c r="AM283">
        <v>106</v>
      </c>
      <c r="AN283">
        <v>4.76</v>
      </c>
      <c r="AO283">
        <v>5</v>
      </c>
      <c r="AP283">
        <v>-0.24</v>
      </c>
      <c r="AQ283">
        <v>4.84</v>
      </c>
      <c r="AR283">
        <v>4.3</v>
      </c>
      <c r="AS283" cm="1">
        <f t="array" ref="AS283:BA283">VLOOKUP(A283,plate_discipline_pitchers_2019!A:L,{3,4,5,6,7,8,9,10,11},FALSE)</f>
        <v>0.36099999999999999</v>
      </c>
      <c r="AT283">
        <v>0.64700000000000002</v>
      </c>
      <c r="AU283">
        <v>0.46700000000000003</v>
      </c>
      <c r="AV283">
        <v>0.67700000000000005</v>
      </c>
      <c r="AW283">
        <v>0.88400000000000001</v>
      </c>
      <c r="AX283">
        <v>0.78400000000000003</v>
      </c>
      <c r="AY283">
        <v>0.373</v>
      </c>
      <c r="AZ283">
        <v>0.71699999999999997</v>
      </c>
      <c r="BA283">
        <v>0.10100000000000001</v>
      </c>
      <c r="BB283" cm="1">
        <f t="array" ref="BB283:BP283">VLOOKUP(A283,pitchvalue_pitchers_2019!A:Q,{3,4,5,6,7,8,9,10,11,12,13,14,15,16,17},FALSE)</f>
        <v>-7.3</v>
      </c>
      <c r="BC283">
        <v>-2.4</v>
      </c>
      <c r="BD283">
        <v>0</v>
      </c>
      <c r="BE283">
        <v>-1.2</v>
      </c>
      <c r="BF283">
        <v>14.4</v>
      </c>
      <c r="BG283">
        <v>0</v>
      </c>
      <c r="BH283">
        <v>0</v>
      </c>
      <c r="BI283">
        <v>-0.96</v>
      </c>
      <c r="BJ283">
        <v>-1.21</v>
      </c>
      <c r="BK283">
        <v>0</v>
      </c>
      <c r="BL283">
        <v>-0.92</v>
      </c>
      <c r="BM283">
        <v>2.1800000000000002</v>
      </c>
      <c r="BN283">
        <v>0</v>
      </c>
      <c r="BO283">
        <v>0</v>
      </c>
      <c r="BP283">
        <v>7608</v>
      </c>
      <c r="BQ283" cm="1">
        <f t="array" ref="BQ283:CH283">VLOOKUP(A283,battedball_pitchers_2019!A:U,{3,4,5,6,7,8,9,10,11,12,13,14,15,16,17,18,19,20},FALSE)</f>
        <v>0.252</v>
      </c>
      <c r="BR283">
        <v>0.82</v>
      </c>
      <c r="BS283">
        <v>0.185</v>
      </c>
      <c r="BT283">
        <v>0.36699999999999999</v>
      </c>
      <c r="BU283">
        <v>0.44800000000000001</v>
      </c>
      <c r="BV283">
        <v>7.3999999999999996E-2</v>
      </c>
      <c r="BW283">
        <v>0.16200000000000001</v>
      </c>
      <c r="BX283">
        <v>47</v>
      </c>
      <c r="BY283">
        <v>3.79</v>
      </c>
      <c r="BZ283">
        <v>600</v>
      </c>
      <c r="CA283">
        <v>1150</v>
      </c>
      <c r="CB283">
        <v>1750</v>
      </c>
      <c r="CC283">
        <v>0.44600000000000001</v>
      </c>
      <c r="CD283">
        <v>0.36199999999999999</v>
      </c>
      <c r="CE283">
        <v>0.192</v>
      </c>
      <c r="CF283">
        <v>0.18</v>
      </c>
      <c r="CG283">
        <v>0.46400000000000002</v>
      </c>
      <c r="CH283">
        <v>0.35599999999999998</v>
      </c>
      <c r="CI283" cm="1">
        <f t="array" ref="CI283:CS283">VLOOKUP(A283,verticalmove_pitchers_2019!A:N,{3,4,5,6,7,8,9,10,11,12,13},FALSE)</f>
        <v>111.2</v>
      </c>
      <c r="CJ283">
        <v>9.6999999999999993</v>
      </c>
      <c r="CK283">
        <v>0</v>
      </c>
      <c r="CL283">
        <v>10.1</v>
      </c>
      <c r="CM283">
        <v>0</v>
      </c>
      <c r="CN283">
        <v>3.6</v>
      </c>
      <c r="CO283">
        <v>-0.4</v>
      </c>
      <c r="CP283">
        <v>-3</v>
      </c>
      <c r="CQ283">
        <v>0</v>
      </c>
      <c r="CR283">
        <v>0</v>
      </c>
      <c r="CS283">
        <v>0</v>
      </c>
      <c r="CT283" cm="1">
        <f t="array" ref="CT283:DD283">VLOOKUP(A283,velocity_pitchers_2019!A:N,{3,4,5,6,7,8,9,10,11,12,13},FALSE)</f>
        <v>111.2</v>
      </c>
      <c r="CU283">
        <v>87.3</v>
      </c>
      <c r="CV283">
        <v>0</v>
      </c>
      <c r="CW283">
        <v>89.1</v>
      </c>
      <c r="CX283">
        <v>0</v>
      </c>
      <c r="CY283">
        <v>79.599999999999994</v>
      </c>
      <c r="CZ283">
        <v>78.099999999999994</v>
      </c>
      <c r="DA283">
        <v>75.7</v>
      </c>
      <c r="DB283">
        <v>0</v>
      </c>
      <c r="DC283">
        <v>0</v>
      </c>
      <c r="DD283">
        <v>0</v>
      </c>
    </row>
    <row r="284" spans="1:108" x14ac:dyDescent="0.3">
      <c r="A284" t="s">
        <v>354</v>
      </c>
      <c r="B284" t="str" cm="1">
        <f t="array" ref="B284:Y284">VLOOKUP(A284,standard_pitchers_2019!A:Y,{2,3,4,5,6,7,8,9,10,11,12,13,14,15,16,17,18,19,20,21,22,23,24,25},FALSE)</f>
        <v>Phillies</v>
      </c>
      <c r="C284">
        <v>3</v>
      </c>
      <c r="D284">
        <v>4</v>
      </c>
      <c r="E284">
        <v>5.71</v>
      </c>
      <c r="F284">
        <v>12</v>
      </c>
      <c r="G284">
        <v>10</v>
      </c>
      <c r="H284">
        <v>0</v>
      </c>
      <c r="I284">
        <v>0</v>
      </c>
      <c r="J284">
        <v>1</v>
      </c>
      <c r="K284">
        <v>0</v>
      </c>
      <c r="L284">
        <v>0</v>
      </c>
      <c r="M284">
        <v>58.1</v>
      </c>
      <c r="N284">
        <v>245</v>
      </c>
      <c r="O284">
        <v>58</v>
      </c>
      <c r="P284">
        <v>37</v>
      </c>
      <c r="Q284">
        <v>37</v>
      </c>
      <c r="R284">
        <v>18</v>
      </c>
      <c r="S284">
        <v>18</v>
      </c>
      <c r="T284">
        <v>0</v>
      </c>
      <c r="U284">
        <v>2</v>
      </c>
      <c r="V284">
        <v>0</v>
      </c>
      <c r="W284">
        <v>0</v>
      </c>
      <c r="X284">
        <v>51</v>
      </c>
      <c r="Y284">
        <v>12664</v>
      </c>
      <c r="Z284" cm="1">
        <f t="array" ref="Z284:AR284">VLOOKUP(A284,advanced_pitchers_2019!A:Y,{3,4,5,6,7,8,9,10,11,12,13,14,15,16,17,18,19,20,21},FALSE)</f>
        <v>7.87</v>
      </c>
      <c r="AA284">
        <v>2.78</v>
      </c>
      <c r="AB284">
        <v>2.83</v>
      </c>
      <c r="AC284">
        <v>2.78</v>
      </c>
      <c r="AD284">
        <v>0.20799999999999999</v>
      </c>
      <c r="AE284">
        <v>7.2999999999999995E-2</v>
      </c>
      <c r="AF284">
        <v>0.13500000000000001</v>
      </c>
      <c r="AG284">
        <v>0.25800000000000001</v>
      </c>
      <c r="AH284">
        <v>1.3</v>
      </c>
      <c r="AI284">
        <v>0.25600000000000001</v>
      </c>
      <c r="AJ284">
        <v>0.77700000000000002</v>
      </c>
      <c r="AK284">
        <v>130</v>
      </c>
      <c r="AL284">
        <v>144</v>
      </c>
      <c r="AM284">
        <v>116</v>
      </c>
      <c r="AN284">
        <v>5.71</v>
      </c>
      <c r="AO284">
        <v>6.51</v>
      </c>
      <c r="AP284">
        <v>-0.8</v>
      </c>
      <c r="AQ284">
        <v>5.15</v>
      </c>
      <c r="AR284">
        <v>4.79</v>
      </c>
      <c r="AS284" cm="1">
        <f t="array" ref="AS284:BA284">VLOOKUP(A284,plate_discipline_pitchers_2019!A:L,{3,4,5,6,7,8,9,10,11},FALSE)</f>
        <v>0.27500000000000002</v>
      </c>
      <c r="AT284">
        <v>0.66900000000000004</v>
      </c>
      <c r="AU284">
        <v>0.44600000000000001</v>
      </c>
      <c r="AV284">
        <v>0.63800000000000001</v>
      </c>
      <c r="AW284">
        <v>0.82</v>
      </c>
      <c r="AX284">
        <v>0.75600000000000001</v>
      </c>
      <c r="AY284">
        <v>0.434</v>
      </c>
      <c r="AZ284">
        <v>0.63700000000000001</v>
      </c>
      <c r="BA284">
        <v>0.109</v>
      </c>
      <c r="BB284" cm="1">
        <f t="array" ref="BB284:BP284">VLOOKUP(A284,pitchvalue_pitchers_2019!A:Q,{3,4,5,6,7,8,9,10,11,12,13,14,15,16,17},FALSE)</f>
        <v>-7.6</v>
      </c>
      <c r="BC284">
        <v>-2</v>
      </c>
      <c r="BD284">
        <v>0</v>
      </c>
      <c r="BE284">
        <v>1.8</v>
      </c>
      <c r="BF284">
        <v>0</v>
      </c>
      <c r="BG284">
        <v>0</v>
      </c>
      <c r="BH284">
        <v>0</v>
      </c>
      <c r="BI284">
        <v>-1.98</v>
      </c>
      <c r="BJ284">
        <v>-0.71</v>
      </c>
      <c r="BK284">
        <v>0</v>
      </c>
      <c r="BL284">
        <v>0.59</v>
      </c>
      <c r="BM284">
        <v>0</v>
      </c>
      <c r="BN284">
        <v>0</v>
      </c>
      <c r="BO284">
        <v>0</v>
      </c>
      <c r="BP284">
        <v>12664</v>
      </c>
      <c r="BQ284" cm="1">
        <f t="array" ref="BQ284:CH284">VLOOKUP(A284,battedball_pitchers_2019!A:U,{3,4,5,6,7,8,9,10,11,12,13,14,15,16,17,18,19,20},FALSE)</f>
        <v>0.25600000000000001</v>
      </c>
      <c r="BR284">
        <v>0.77</v>
      </c>
      <c r="BS284">
        <v>0.183</v>
      </c>
      <c r="BT284">
        <v>0.35499999999999998</v>
      </c>
      <c r="BU284">
        <v>0.46200000000000002</v>
      </c>
      <c r="BV284">
        <v>7.6999999999999999E-2</v>
      </c>
      <c r="BW284">
        <v>0.23100000000000001</v>
      </c>
      <c r="BX284">
        <v>29</v>
      </c>
      <c r="BY284">
        <v>4.47</v>
      </c>
      <c r="BZ284">
        <v>370</v>
      </c>
      <c r="CA284">
        <v>605</v>
      </c>
      <c r="CB284">
        <v>975</v>
      </c>
      <c r="CC284">
        <v>0.42499999999999999</v>
      </c>
      <c r="CD284">
        <v>0.32800000000000001</v>
      </c>
      <c r="CE284">
        <v>0.247</v>
      </c>
      <c r="CF284">
        <v>0.16700000000000001</v>
      </c>
      <c r="CG284">
        <v>0.38500000000000001</v>
      </c>
      <c r="CH284">
        <v>0.44800000000000001</v>
      </c>
      <c r="CI284" cm="1">
        <f t="array" ref="CI284:CS284">VLOOKUP(A284,verticalmove_pitchers_2019!A:N,{3,4,5,6,7,8,9,10,11,12,13},FALSE)</f>
        <v>58.1</v>
      </c>
      <c r="CJ284">
        <v>9.8000000000000007</v>
      </c>
      <c r="CK284">
        <v>0</v>
      </c>
      <c r="CL284">
        <v>0</v>
      </c>
      <c r="CM284">
        <v>7.3</v>
      </c>
      <c r="CN284">
        <v>0</v>
      </c>
      <c r="CO284">
        <v>3</v>
      </c>
      <c r="CP284">
        <v>-7</v>
      </c>
      <c r="CQ284">
        <v>0</v>
      </c>
      <c r="CR284">
        <v>0</v>
      </c>
      <c r="CS284">
        <v>0</v>
      </c>
      <c r="CT284" cm="1">
        <f t="array" ref="CT284:DD284">VLOOKUP(A284,velocity_pitchers_2019!A:N,{3,4,5,6,7,8,9,10,11,12,13},FALSE)</f>
        <v>58.1</v>
      </c>
      <c r="CU284">
        <v>89.9</v>
      </c>
      <c r="CV284">
        <v>0</v>
      </c>
      <c r="CW284">
        <v>0</v>
      </c>
      <c r="CX284">
        <v>90.1</v>
      </c>
      <c r="CY284">
        <v>0</v>
      </c>
      <c r="CZ284">
        <v>84.2</v>
      </c>
      <c r="DA284">
        <v>75</v>
      </c>
      <c r="DB284">
        <v>0</v>
      </c>
      <c r="DC284">
        <v>0</v>
      </c>
      <c r="DD284">
        <v>0</v>
      </c>
    </row>
    <row r="285" spans="1:108" x14ac:dyDescent="0.3">
      <c r="A285" t="s">
        <v>180</v>
      </c>
      <c r="B285" t="str" cm="1">
        <f t="array" ref="B285:Y285">VLOOKUP(A285,standard_pitchers_2019!A:Y,{2,3,4,5,6,7,8,9,10,11,12,13,14,15,16,17,18,19,20,21,22,23,24,25},FALSE)</f>
        <v>Phillies</v>
      </c>
      <c r="C285">
        <v>12</v>
      </c>
      <c r="D285">
        <v>7</v>
      </c>
      <c r="E285">
        <v>3.87</v>
      </c>
      <c r="F285">
        <v>34</v>
      </c>
      <c r="G285">
        <v>34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202.1</v>
      </c>
      <c r="N285">
        <v>852</v>
      </c>
      <c r="O285">
        <v>176</v>
      </c>
      <c r="P285">
        <v>91</v>
      </c>
      <c r="Q285">
        <v>87</v>
      </c>
      <c r="R285">
        <v>27</v>
      </c>
      <c r="S285">
        <v>80</v>
      </c>
      <c r="T285">
        <v>3</v>
      </c>
      <c r="U285">
        <v>11</v>
      </c>
      <c r="V285">
        <v>3</v>
      </c>
      <c r="W285">
        <v>0</v>
      </c>
      <c r="X285">
        <v>229</v>
      </c>
      <c r="Y285">
        <v>16149</v>
      </c>
      <c r="Z285" cm="1">
        <f t="array" ref="Z285:AR285">VLOOKUP(A285,advanced_pitchers_2019!A:Y,{3,4,5,6,7,8,9,10,11,12,13,14,15,16,17,18,19,20,21},FALSE)</f>
        <v>10.19</v>
      </c>
      <c r="AA285">
        <v>3.56</v>
      </c>
      <c r="AB285">
        <v>2.86</v>
      </c>
      <c r="AC285">
        <v>1.2</v>
      </c>
      <c r="AD285">
        <v>0.26900000000000002</v>
      </c>
      <c r="AE285">
        <v>9.4E-2</v>
      </c>
      <c r="AF285">
        <v>0.17499999999999999</v>
      </c>
      <c r="AG285">
        <v>0.23100000000000001</v>
      </c>
      <c r="AH285">
        <v>1.27</v>
      </c>
      <c r="AI285">
        <v>0.29499999999999998</v>
      </c>
      <c r="AJ285">
        <v>0.76800000000000002</v>
      </c>
      <c r="AK285">
        <v>88</v>
      </c>
      <c r="AL285">
        <v>89</v>
      </c>
      <c r="AM285">
        <v>86</v>
      </c>
      <c r="AN285">
        <v>3.87</v>
      </c>
      <c r="AO285">
        <v>4.03</v>
      </c>
      <c r="AP285">
        <v>-0.16</v>
      </c>
      <c r="AQ285">
        <v>3.82</v>
      </c>
      <c r="AR285">
        <v>4.1399999999999997</v>
      </c>
      <c r="AS285" cm="1">
        <f t="array" ref="AS285:BA285">VLOOKUP(A285,plate_discipline_pitchers_2019!A:L,{3,4,5,6,7,8,9,10,11},FALSE)</f>
        <v>0.33500000000000002</v>
      </c>
      <c r="AT285">
        <v>0.60399999999999998</v>
      </c>
      <c r="AU285">
        <v>0.442</v>
      </c>
      <c r="AV285">
        <v>0.626</v>
      </c>
      <c r="AW285">
        <v>0.85699999999999998</v>
      </c>
      <c r="AX285">
        <v>0.752</v>
      </c>
      <c r="AY285">
        <v>0.39900000000000002</v>
      </c>
      <c r="AZ285">
        <v>0.623</v>
      </c>
      <c r="BA285">
        <v>0.11</v>
      </c>
      <c r="BB285" cm="1">
        <f t="array" ref="BB285:BP285">VLOOKUP(A285,pitchvalue_pitchers_2019!A:Q,{3,4,5,6,7,8,9,10,11,12,13,14,15,16,17},FALSE)</f>
        <v>-7.6</v>
      </c>
      <c r="BC285">
        <v>0</v>
      </c>
      <c r="BD285">
        <v>0</v>
      </c>
      <c r="BE285">
        <v>15.9</v>
      </c>
      <c r="BF285">
        <v>4.8</v>
      </c>
      <c r="BG285">
        <v>0</v>
      </c>
      <c r="BH285">
        <v>0</v>
      </c>
      <c r="BI285">
        <v>-0.5</v>
      </c>
      <c r="BJ285">
        <v>0</v>
      </c>
      <c r="BK285">
        <v>0</v>
      </c>
      <c r="BL285">
        <v>1.35</v>
      </c>
      <c r="BM285">
        <v>0.78</v>
      </c>
      <c r="BN285">
        <v>0</v>
      </c>
      <c r="BO285">
        <v>0</v>
      </c>
      <c r="BP285">
        <v>16149</v>
      </c>
      <c r="BQ285" cm="1">
        <f t="array" ref="BQ285:CH285">VLOOKUP(A285,battedball_pitchers_2019!A:U,{3,4,5,6,7,8,9,10,11,12,13,14,15,16,17,18,19,20},FALSE)</f>
        <v>0.29499999999999998</v>
      </c>
      <c r="BR285">
        <v>1.68</v>
      </c>
      <c r="BS285">
        <v>0.20799999999999999</v>
      </c>
      <c r="BT285">
        <v>0.497</v>
      </c>
      <c r="BU285">
        <v>0.29499999999999998</v>
      </c>
      <c r="BV285">
        <v>5.8000000000000003E-2</v>
      </c>
      <c r="BW285">
        <v>0.17399999999999999</v>
      </c>
      <c r="BX285">
        <v>125</v>
      </c>
      <c r="BY285">
        <v>5.56</v>
      </c>
      <c r="BZ285">
        <v>1163</v>
      </c>
      <c r="CA285">
        <v>2169</v>
      </c>
      <c r="CB285">
        <v>3332</v>
      </c>
      <c r="CC285">
        <v>0.442</v>
      </c>
      <c r="CD285">
        <v>0.35699999999999998</v>
      </c>
      <c r="CE285">
        <v>0.20100000000000001</v>
      </c>
      <c r="CF285">
        <v>0.158</v>
      </c>
      <c r="CG285">
        <v>0.42299999999999999</v>
      </c>
      <c r="CH285">
        <v>0.41899999999999998</v>
      </c>
      <c r="CI285" cm="1">
        <f t="array" ref="CI285:CS285">VLOOKUP(A285,verticalmove_pitchers_2019!A:N,{3,4,5,6,7,8,9,10,11,12,13},FALSE)</f>
        <v>202.1</v>
      </c>
      <c r="CJ285">
        <v>7.1</v>
      </c>
      <c r="CK285">
        <v>0</v>
      </c>
      <c r="CL285">
        <v>-5.4</v>
      </c>
      <c r="CM285">
        <v>4.2</v>
      </c>
      <c r="CN285">
        <v>1.5</v>
      </c>
      <c r="CO285">
        <v>0</v>
      </c>
      <c r="CP285">
        <v>-7.1</v>
      </c>
      <c r="CQ285">
        <v>0</v>
      </c>
      <c r="CR285">
        <v>0</v>
      </c>
      <c r="CS285">
        <v>0</v>
      </c>
      <c r="CT285" cm="1">
        <f t="array" ref="CT285:DD285">VLOOKUP(A285,velocity_pitchers_2019!A:N,{3,4,5,6,7,8,9,10,11,12,13},FALSE)</f>
        <v>202.1</v>
      </c>
      <c r="CU285">
        <v>93.4</v>
      </c>
      <c r="CV285">
        <v>0</v>
      </c>
      <c r="CW285">
        <v>79.900000000000006</v>
      </c>
      <c r="CX285">
        <v>92.5</v>
      </c>
      <c r="CY285">
        <v>86.1</v>
      </c>
      <c r="CZ285">
        <v>0</v>
      </c>
      <c r="DA285">
        <v>79.400000000000006</v>
      </c>
      <c r="DB285">
        <v>0</v>
      </c>
      <c r="DC285">
        <v>0</v>
      </c>
      <c r="DD285">
        <v>0</v>
      </c>
    </row>
    <row r="286" spans="1:108" x14ac:dyDescent="0.3">
      <c r="A286" t="s">
        <v>382</v>
      </c>
      <c r="B286" t="str" cm="1">
        <f t="array" ref="B286:Y286">VLOOKUP(A286,standard_pitchers_2019!A:Y,{2,3,4,5,6,7,8,9,10,11,12,13,14,15,16,17,18,19,20,21,22,23,24,25},FALSE)</f>
        <v>Blue Jays</v>
      </c>
      <c r="C286">
        <v>2</v>
      </c>
      <c r="D286">
        <v>5</v>
      </c>
      <c r="E286">
        <v>6.56</v>
      </c>
      <c r="F286">
        <v>12</v>
      </c>
      <c r="G286">
        <v>12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59</v>
      </c>
      <c r="N286">
        <v>254</v>
      </c>
      <c r="O286">
        <v>72</v>
      </c>
      <c r="P286">
        <v>44</v>
      </c>
      <c r="Q286">
        <v>43</v>
      </c>
      <c r="R286">
        <v>13</v>
      </c>
      <c r="S286">
        <v>16</v>
      </c>
      <c r="T286">
        <v>1</v>
      </c>
      <c r="U286">
        <v>1</v>
      </c>
      <c r="V286">
        <v>1</v>
      </c>
      <c r="W286">
        <v>0</v>
      </c>
      <c r="X286">
        <v>39</v>
      </c>
      <c r="Y286">
        <v>3543</v>
      </c>
      <c r="Z286" cm="1">
        <f t="array" ref="Z286:AR286">VLOOKUP(A286,advanced_pitchers_2019!A:Y,{3,4,5,6,7,8,9,10,11,12,13,14,15,16,17,18,19,20,21},FALSE)</f>
        <v>5.95</v>
      </c>
      <c r="AA286">
        <v>2.44</v>
      </c>
      <c r="AB286">
        <v>2.44</v>
      </c>
      <c r="AC286">
        <v>1.98</v>
      </c>
      <c r="AD286">
        <v>0.154</v>
      </c>
      <c r="AE286">
        <v>6.3E-2</v>
      </c>
      <c r="AF286">
        <v>9.0999999999999998E-2</v>
      </c>
      <c r="AG286">
        <v>0.30399999999999999</v>
      </c>
      <c r="AH286">
        <v>1.49</v>
      </c>
      <c r="AI286">
        <v>0.31900000000000001</v>
      </c>
      <c r="AJ286">
        <v>0.63600000000000001</v>
      </c>
      <c r="AK286">
        <v>142</v>
      </c>
      <c r="AL286">
        <v>121</v>
      </c>
      <c r="AM286">
        <v>113</v>
      </c>
      <c r="AN286">
        <v>6.56</v>
      </c>
      <c r="AO286">
        <v>5.62</v>
      </c>
      <c r="AP286">
        <v>0.94</v>
      </c>
      <c r="AQ286">
        <v>5.18</v>
      </c>
      <c r="AR286">
        <v>5.2</v>
      </c>
      <c r="AS286" cm="1">
        <f t="array" ref="AS286:BA286">VLOOKUP(A286,plate_discipline_pitchers_2019!A:L,{3,4,5,6,7,8,9,10,11},FALSE)</f>
        <v>0.34200000000000003</v>
      </c>
      <c r="AT286">
        <v>0.65400000000000003</v>
      </c>
      <c r="AU286">
        <v>0.47</v>
      </c>
      <c r="AV286">
        <v>0.70099999999999996</v>
      </c>
      <c r="AW286">
        <v>0.876</v>
      </c>
      <c r="AX286">
        <v>0.80100000000000005</v>
      </c>
      <c r="AY286">
        <v>0.41099999999999998</v>
      </c>
      <c r="AZ286">
        <v>0.63400000000000001</v>
      </c>
      <c r="BA286">
        <v>9.2999999999999999E-2</v>
      </c>
      <c r="BB286" cm="1">
        <f t="array" ref="BB286:BP286">VLOOKUP(A286,pitchvalue_pitchers_2019!A:Q,{3,4,5,6,7,8,9,10,11,12,13,14,15,16,17},FALSE)</f>
        <v>-7.7</v>
      </c>
      <c r="BC286">
        <v>0</v>
      </c>
      <c r="BD286">
        <v>-0.1</v>
      </c>
      <c r="BE286">
        <v>-1.7</v>
      </c>
      <c r="BF286">
        <v>-0.7</v>
      </c>
      <c r="BG286">
        <v>0</v>
      </c>
      <c r="BH286">
        <v>0</v>
      </c>
      <c r="BI286">
        <v>-2.3199999999999998</v>
      </c>
      <c r="BJ286">
        <v>0</v>
      </c>
      <c r="BK286">
        <v>-0.02</v>
      </c>
      <c r="BL286">
        <v>-1.04</v>
      </c>
      <c r="BM286">
        <v>-0.38</v>
      </c>
      <c r="BN286">
        <v>0</v>
      </c>
      <c r="BO286">
        <v>0</v>
      </c>
      <c r="BP286">
        <v>3543</v>
      </c>
      <c r="BQ286" cm="1">
        <f t="array" ref="BQ286:CH286">VLOOKUP(A286,battedball_pitchers_2019!A:U,{3,4,5,6,7,8,9,10,11,12,13,14,15,16,17,18,19,20},FALSE)</f>
        <v>0.31900000000000001</v>
      </c>
      <c r="BR286">
        <v>1.22</v>
      </c>
      <c r="BS286">
        <v>0.184</v>
      </c>
      <c r="BT286">
        <v>0.44900000000000001</v>
      </c>
      <c r="BU286">
        <v>0.36699999999999999</v>
      </c>
      <c r="BV286">
        <v>8.3000000000000004E-2</v>
      </c>
      <c r="BW286">
        <v>0.18099999999999999</v>
      </c>
      <c r="BX286">
        <v>28</v>
      </c>
      <c r="BY286">
        <v>4.2699999999999996</v>
      </c>
      <c r="BZ286">
        <v>329</v>
      </c>
      <c r="CA286">
        <v>634</v>
      </c>
      <c r="CB286">
        <v>963</v>
      </c>
      <c r="CC286">
        <v>0.41599999999999998</v>
      </c>
      <c r="CD286">
        <v>0.33500000000000002</v>
      </c>
      <c r="CE286">
        <v>0.249</v>
      </c>
      <c r="CF286">
        <v>0.23899999999999999</v>
      </c>
      <c r="CG286">
        <v>0.376</v>
      </c>
      <c r="CH286">
        <v>0.38600000000000001</v>
      </c>
      <c r="CI286" cm="1">
        <f t="array" ref="CI286:CS286">VLOOKUP(A286,verticalmove_pitchers_2019!A:N,{3,4,5,6,7,8,9,10,11,12,13},FALSE)</f>
        <v>59</v>
      </c>
      <c r="CJ286">
        <v>8.6</v>
      </c>
      <c r="CK286">
        <v>3.7</v>
      </c>
      <c r="CL286">
        <v>0</v>
      </c>
      <c r="CM286">
        <v>6</v>
      </c>
      <c r="CN286">
        <v>3.2</v>
      </c>
      <c r="CO286">
        <v>0</v>
      </c>
      <c r="CP286">
        <v>-7.7</v>
      </c>
      <c r="CQ286">
        <v>0</v>
      </c>
      <c r="CR286">
        <v>0</v>
      </c>
      <c r="CS286">
        <v>0</v>
      </c>
      <c r="CT286" cm="1">
        <f t="array" ref="CT286:DD286">VLOOKUP(A286,velocity_pitchers_2019!A:N,{3,4,5,6,7,8,9,10,11,12,13},FALSE)</f>
        <v>59</v>
      </c>
      <c r="CU286">
        <v>90.2</v>
      </c>
      <c r="CV286">
        <v>84.9</v>
      </c>
      <c r="CW286">
        <v>0</v>
      </c>
      <c r="CX286">
        <v>89.7</v>
      </c>
      <c r="CY286">
        <v>77</v>
      </c>
      <c r="CZ286">
        <v>0</v>
      </c>
      <c r="DA286">
        <v>75.5</v>
      </c>
      <c r="DB286">
        <v>0</v>
      </c>
      <c r="DC286">
        <v>0</v>
      </c>
      <c r="DD286">
        <v>0</v>
      </c>
    </row>
    <row r="287" spans="1:108" x14ac:dyDescent="0.3">
      <c r="A287" t="s">
        <v>350</v>
      </c>
      <c r="B287" t="str" cm="1">
        <f t="array" ref="B287:Y287">VLOOKUP(A287,standard_pitchers_2019!A:Y,{2,3,4,5,6,7,8,9,10,11,12,13,14,15,16,17,18,19,20,21,22,23,24,25},FALSE)</f>
        <v>- - -</v>
      </c>
      <c r="C287">
        <v>6</v>
      </c>
      <c r="D287">
        <v>8</v>
      </c>
      <c r="E287">
        <v>5.65</v>
      </c>
      <c r="F287">
        <v>29</v>
      </c>
      <c r="G287">
        <v>18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110</v>
      </c>
      <c r="N287">
        <v>482</v>
      </c>
      <c r="O287">
        <v>118</v>
      </c>
      <c r="P287">
        <v>72</v>
      </c>
      <c r="Q287">
        <v>69</v>
      </c>
      <c r="R287">
        <v>21</v>
      </c>
      <c r="S287">
        <v>34</v>
      </c>
      <c r="T287">
        <v>0</v>
      </c>
      <c r="U287">
        <v>10</v>
      </c>
      <c r="V287">
        <v>4</v>
      </c>
      <c r="W287">
        <v>1</v>
      </c>
      <c r="X287">
        <v>82</v>
      </c>
      <c r="Y287">
        <v>12272</v>
      </c>
      <c r="Z287" cm="1">
        <f t="array" ref="Z287:AR287">VLOOKUP(A287,advanced_pitchers_2019!A:Y,{3,4,5,6,7,8,9,10,11,12,13,14,15,16,17,18,19,20,21},FALSE)</f>
        <v>6.71</v>
      </c>
      <c r="AA287">
        <v>2.78</v>
      </c>
      <c r="AB287">
        <v>2.41</v>
      </c>
      <c r="AC287">
        <v>1.72</v>
      </c>
      <c r="AD287">
        <v>0.17</v>
      </c>
      <c r="AE287">
        <v>7.0999999999999994E-2</v>
      </c>
      <c r="AF287">
        <v>0.1</v>
      </c>
      <c r="AG287">
        <v>0.26900000000000002</v>
      </c>
      <c r="AH287">
        <v>1.38</v>
      </c>
      <c r="AI287">
        <v>0.28999999999999998</v>
      </c>
      <c r="AJ287">
        <v>0.67900000000000005</v>
      </c>
      <c r="AK287">
        <v>123</v>
      </c>
      <c r="AL287">
        <v>117</v>
      </c>
      <c r="AM287">
        <v>117</v>
      </c>
      <c r="AN287">
        <v>5.65</v>
      </c>
      <c r="AO287">
        <v>5.4</v>
      </c>
      <c r="AP287">
        <v>0.24</v>
      </c>
      <c r="AQ287">
        <v>5.35</v>
      </c>
      <c r="AR287">
        <v>5.01</v>
      </c>
      <c r="AS287" cm="1">
        <f t="array" ref="AS287:BA287">VLOOKUP(A287,plate_discipline_pitchers_2019!A:L,{3,4,5,6,7,8,9,10,11},FALSE)</f>
        <v>0.3</v>
      </c>
      <c r="AT287">
        <v>0.68899999999999995</v>
      </c>
      <c r="AU287">
        <v>0.45800000000000002</v>
      </c>
      <c r="AV287">
        <v>0.69799999999999995</v>
      </c>
      <c r="AW287">
        <v>0.9</v>
      </c>
      <c r="AX287">
        <v>0.82199999999999995</v>
      </c>
      <c r="AY287">
        <v>0.40699999999999997</v>
      </c>
      <c r="AZ287">
        <v>0.58899999999999997</v>
      </c>
      <c r="BA287">
        <v>8.2000000000000003E-2</v>
      </c>
      <c r="BB287" cm="1">
        <f t="array" ref="BB287:BP287">VLOOKUP(A287,pitchvalue_pitchers_2019!A:Q,{3,4,5,6,7,8,9,10,11,12,13,14,15,16,17},FALSE)</f>
        <v>-8</v>
      </c>
      <c r="BC287">
        <v>0.9</v>
      </c>
      <c r="BD287">
        <v>0</v>
      </c>
      <c r="BE287">
        <v>-1.6</v>
      </c>
      <c r="BF287">
        <v>-2.7</v>
      </c>
      <c r="BG287">
        <v>0</v>
      </c>
      <c r="BH287">
        <v>0</v>
      </c>
      <c r="BI287">
        <v>-0.78</v>
      </c>
      <c r="BJ287">
        <v>0.22</v>
      </c>
      <c r="BK287">
        <v>0</v>
      </c>
      <c r="BL287">
        <v>-2.38</v>
      </c>
      <c r="BM287">
        <v>-0.7</v>
      </c>
      <c r="BN287">
        <v>0</v>
      </c>
      <c r="BO287">
        <v>0</v>
      </c>
      <c r="BP287">
        <v>12272</v>
      </c>
      <c r="BQ287" cm="1">
        <f t="array" ref="BQ287:CH287">VLOOKUP(A287,battedball_pitchers_2019!A:U,{3,4,5,6,7,8,9,10,11,12,13,14,15,16,17,18,19,20},FALSE)</f>
        <v>0.28999999999999998</v>
      </c>
      <c r="BR287">
        <v>1.1499999999999999</v>
      </c>
      <c r="BS287">
        <v>0.182</v>
      </c>
      <c r="BT287">
        <v>0.438</v>
      </c>
      <c r="BU287">
        <v>0.38100000000000001</v>
      </c>
      <c r="BV287">
        <v>7.4999999999999997E-2</v>
      </c>
      <c r="BW287">
        <v>0.157</v>
      </c>
      <c r="BX287">
        <v>50</v>
      </c>
      <c r="BY287">
        <v>4.09</v>
      </c>
      <c r="BZ287">
        <v>707</v>
      </c>
      <c r="CA287">
        <v>1192</v>
      </c>
      <c r="CB287">
        <v>1899</v>
      </c>
      <c r="CC287">
        <v>0.41299999999999998</v>
      </c>
      <c r="CD287">
        <v>0.35399999999999998</v>
      </c>
      <c r="CE287">
        <v>0.23300000000000001</v>
      </c>
      <c r="CF287">
        <v>0.16900000000000001</v>
      </c>
      <c r="CG287">
        <v>0.46300000000000002</v>
      </c>
      <c r="CH287">
        <v>0.36799999999999999</v>
      </c>
      <c r="CI287" cm="1">
        <f t="array" ref="CI287:CS287">VLOOKUP(A287,verticalmove_pitchers_2019!A:N,{3,4,5,6,7,8,9,10,11,12,13},FALSE)</f>
        <v>110</v>
      </c>
      <c r="CJ287">
        <v>8</v>
      </c>
      <c r="CK287">
        <v>0</v>
      </c>
      <c r="CL287">
        <v>0</v>
      </c>
      <c r="CM287">
        <v>5</v>
      </c>
      <c r="CN287">
        <v>-0.3</v>
      </c>
      <c r="CO287">
        <v>0.6</v>
      </c>
      <c r="CP287">
        <v>-3.5</v>
      </c>
      <c r="CQ287">
        <v>0</v>
      </c>
      <c r="CR287">
        <v>0</v>
      </c>
      <c r="CS287">
        <v>0</v>
      </c>
      <c r="CT287" cm="1">
        <f t="array" ref="CT287:DD287">VLOOKUP(A287,velocity_pitchers_2019!A:N,{3,4,5,6,7,8,9,10,11,12,13},FALSE)</f>
        <v>110</v>
      </c>
      <c r="CU287">
        <v>92.4</v>
      </c>
      <c r="CV287">
        <v>0</v>
      </c>
      <c r="CW287">
        <v>0</v>
      </c>
      <c r="CX287">
        <v>92.1</v>
      </c>
      <c r="CY287">
        <v>85</v>
      </c>
      <c r="CZ287">
        <v>85.9</v>
      </c>
      <c r="DA287">
        <v>79.099999999999994</v>
      </c>
      <c r="DB287">
        <v>0</v>
      </c>
      <c r="DC287">
        <v>0</v>
      </c>
      <c r="DD287">
        <v>0</v>
      </c>
    </row>
    <row r="288" spans="1:108" x14ac:dyDescent="0.3">
      <c r="A288" t="s">
        <v>237</v>
      </c>
      <c r="B288" t="str" cm="1">
        <f t="array" ref="B288:Y288">VLOOKUP(A288,standard_pitchers_2019!A:Y,{2,3,4,5,6,7,8,9,10,11,12,13,14,15,16,17,18,19,20,21,22,23,24,25},FALSE)</f>
        <v>Angels</v>
      </c>
      <c r="C288">
        <v>2</v>
      </c>
      <c r="D288">
        <v>1</v>
      </c>
      <c r="E288">
        <v>4.3499999999999996</v>
      </c>
      <c r="F288">
        <v>64</v>
      </c>
      <c r="G288">
        <v>2</v>
      </c>
      <c r="H288">
        <v>0</v>
      </c>
      <c r="I288">
        <v>0</v>
      </c>
      <c r="J288">
        <v>1</v>
      </c>
      <c r="K288">
        <v>6</v>
      </c>
      <c r="L288">
        <v>2</v>
      </c>
      <c r="M288">
        <v>62</v>
      </c>
      <c r="N288">
        <v>278</v>
      </c>
      <c r="O288">
        <v>61</v>
      </c>
      <c r="P288">
        <v>35</v>
      </c>
      <c r="Q288">
        <v>30</v>
      </c>
      <c r="R288">
        <v>13</v>
      </c>
      <c r="S288">
        <v>33</v>
      </c>
      <c r="T288">
        <v>1</v>
      </c>
      <c r="U288">
        <v>5</v>
      </c>
      <c r="V288">
        <v>7</v>
      </c>
      <c r="W288">
        <v>0</v>
      </c>
      <c r="X288">
        <v>57</v>
      </c>
      <c r="Y288">
        <v>6984</v>
      </c>
      <c r="Z288" cm="1">
        <f t="array" ref="Z288:AR288">VLOOKUP(A288,advanced_pitchers_2019!A:Y,{3,4,5,6,7,8,9,10,11,12,13,14,15,16,17,18,19,20,21},FALSE)</f>
        <v>8.27</v>
      </c>
      <c r="AA288">
        <v>4.79</v>
      </c>
      <c r="AB288">
        <v>1.73</v>
      </c>
      <c r="AC288">
        <v>1.89</v>
      </c>
      <c r="AD288">
        <v>0.20499999999999999</v>
      </c>
      <c r="AE288">
        <v>0.11899999999999999</v>
      </c>
      <c r="AF288">
        <v>8.5999999999999993E-2</v>
      </c>
      <c r="AG288">
        <v>0.254</v>
      </c>
      <c r="AH288">
        <v>1.52</v>
      </c>
      <c r="AI288">
        <v>0.28199999999999997</v>
      </c>
      <c r="AJ288">
        <v>0.79200000000000004</v>
      </c>
      <c r="AK288">
        <v>97</v>
      </c>
      <c r="AL288">
        <v>130</v>
      </c>
      <c r="AM288">
        <v>112</v>
      </c>
      <c r="AN288">
        <v>4.3499999999999996</v>
      </c>
      <c r="AO288">
        <v>5.94</v>
      </c>
      <c r="AP288">
        <v>-1.58</v>
      </c>
      <c r="AQ288">
        <v>5.1100000000000003</v>
      </c>
      <c r="AR288">
        <v>4.88</v>
      </c>
      <c r="AS288" cm="1">
        <f t="array" ref="AS288:BA288">VLOOKUP(A288,plate_discipline_pitchers_2019!A:L,{3,4,5,6,7,8,9,10,11},FALSE)</f>
        <v>0.317</v>
      </c>
      <c r="AT288">
        <v>0.64800000000000002</v>
      </c>
      <c r="AU288">
        <v>0.44800000000000001</v>
      </c>
      <c r="AV288">
        <v>0.53</v>
      </c>
      <c r="AW288">
        <v>0.86599999999999999</v>
      </c>
      <c r="AX288">
        <v>0.72199999999999998</v>
      </c>
      <c r="AY288">
        <v>0.39400000000000002</v>
      </c>
      <c r="AZ288">
        <v>0.55800000000000005</v>
      </c>
      <c r="BA288">
        <v>0.124</v>
      </c>
      <c r="BB288" cm="1">
        <f t="array" ref="BB288:BP288">VLOOKUP(A288,pitchvalue_pitchers_2019!A:Q,{3,4,5,6,7,8,9,10,11,12,13,14,15,16,17},FALSE)</f>
        <v>-8.1</v>
      </c>
      <c r="BC288">
        <v>2.5</v>
      </c>
      <c r="BD288">
        <v>0</v>
      </c>
      <c r="BE288">
        <v>0</v>
      </c>
      <c r="BF288">
        <v>0</v>
      </c>
      <c r="BG288">
        <v>2.4</v>
      </c>
      <c r="BH288">
        <v>0</v>
      </c>
      <c r="BI288">
        <v>-1.62</v>
      </c>
      <c r="BJ288">
        <v>0.7</v>
      </c>
      <c r="BK288">
        <v>0</v>
      </c>
      <c r="BL288">
        <v>0</v>
      </c>
      <c r="BM288">
        <v>0</v>
      </c>
      <c r="BN288">
        <v>1.2</v>
      </c>
      <c r="BO288">
        <v>0</v>
      </c>
      <c r="BP288">
        <v>6984</v>
      </c>
      <c r="BQ288" cm="1">
        <f t="array" ref="BQ288:CH288">VLOOKUP(A288,battedball_pitchers_2019!A:U,{3,4,5,6,7,8,9,10,11,12,13,14,15,16,17,18,19,20},FALSE)</f>
        <v>0.28199999999999997</v>
      </c>
      <c r="BR288">
        <v>1.44</v>
      </c>
      <c r="BS288">
        <v>0.2</v>
      </c>
      <c r="BT288">
        <v>0.47199999999999998</v>
      </c>
      <c r="BU288">
        <v>0.32800000000000001</v>
      </c>
      <c r="BV288">
        <v>8.5000000000000006E-2</v>
      </c>
      <c r="BW288">
        <v>0.22</v>
      </c>
      <c r="BX288">
        <v>46</v>
      </c>
      <c r="BY288">
        <v>6.68</v>
      </c>
      <c r="BZ288">
        <v>421</v>
      </c>
      <c r="CA288">
        <v>632</v>
      </c>
      <c r="CB288">
        <v>1053</v>
      </c>
      <c r="CC288">
        <v>0.36099999999999999</v>
      </c>
      <c r="CD288">
        <v>0.38800000000000001</v>
      </c>
      <c r="CE288">
        <v>0.251</v>
      </c>
      <c r="CF288">
        <v>0.191</v>
      </c>
      <c r="CG288">
        <v>0.41499999999999998</v>
      </c>
      <c r="CH288">
        <v>0.39300000000000002</v>
      </c>
      <c r="CI288" cm="1">
        <f t="array" ref="CI288:CS288">VLOOKUP(A288,verticalmove_pitchers_2019!A:N,{3,4,5,6,7,8,9,10,11,12,13},FALSE)</f>
        <v>62</v>
      </c>
      <c r="CJ288">
        <v>6.9</v>
      </c>
      <c r="CK288">
        <v>0</v>
      </c>
      <c r="CL288">
        <v>1.2</v>
      </c>
      <c r="CM288">
        <v>5.4</v>
      </c>
      <c r="CN288">
        <v>0</v>
      </c>
      <c r="CO288">
        <v>-0.5</v>
      </c>
      <c r="CP288">
        <v>0</v>
      </c>
      <c r="CQ288">
        <v>0</v>
      </c>
      <c r="CR288">
        <v>0</v>
      </c>
      <c r="CS288">
        <v>0</v>
      </c>
      <c r="CT288" cm="1">
        <f t="array" ref="CT288:DD288">VLOOKUP(A288,velocity_pitchers_2019!A:N,{3,4,5,6,7,8,9,10,11,12,13},FALSE)</f>
        <v>62</v>
      </c>
      <c r="CU288">
        <v>97.5</v>
      </c>
      <c r="CV288">
        <v>0</v>
      </c>
      <c r="CW288">
        <v>86.9</v>
      </c>
      <c r="CX288">
        <v>97.3</v>
      </c>
      <c r="CY288">
        <v>0</v>
      </c>
      <c r="CZ288">
        <v>85.5</v>
      </c>
      <c r="DA288">
        <v>0</v>
      </c>
      <c r="DB288">
        <v>0</v>
      </c>
      <c r="DC288">
        <v>0</v>
      </c>
      <c r="DD288">
        <v>0</v>
      </c>
    </row>
    <row r="289" spans="1:108" x14ac:dyDescent="0.3">
      <c r="A289" t="s">
        <v>391</v>
      </c>
      <c r="B289" t="str" cm="1">
        <f t="array" ref="B289:Y289">VLOOKUP(A289,standard_pitchers_2019!A:Y,{2,3,4,5,6,7,8,9,10,11,12,13,14,15,16,17,18,19,20,21,22,23,24,25},FALSE)</f>
        <v>Angels</v>
      </c>
      <c r="C289">
        <v>3</v>
      </c>
      <c r="D289">
        <v>5</v>
      </c>
      <c r="E289">
        <v>7.09</v>
      </c>
      <c r="F289">
        <v>12</v>
      </c>
      <c r="G289">
        <v>12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59.2</v>
      </c>
      <c r="N289">
        <v>266</v>
      </c>
      <c r="O289">
        <v>63</v>
      </c>
      <c r="P289">
        <v>48</v>
      </c>
      <c r="Q289">
        <v>47</v>
      </c>
      <c r="R289">
        <v>13</v>
      </c>
      <c r="S289">
        <v>29</v>
      </c>
      <c r="T289">
        <v>0</v>
      </c>
      <c r="U289">
        <v>3</v>
      </c>
      <c r="V289">
        <v>3</v>
      </c>
      <c r="W289">
        <v>0</v>
      </c>
      <c r="X289">
        <v>39</v>
      </c>
      <c r="Y289">
        <v>11713</v>
      </c>
      <c r="Z289" cm="1">
        <f t="array" ref="Z289:AR289">VLOOKUP(A289,advanced_pitchers_2019!A:Y,{3,4,5,6,7,8,9,10,11,12,13,14,15,16,17,18,19,20,21},FALSE)</f>
        <v>5.88</v>
      </c>
      <c r="AA289">
        <v>4.37</v>
      </c>
      <c r="AB289">
        <v>1.34</v>
      </c>
      <c r="AC289">
        <v>1.96</v>
      </c>
      <c r="AD289">
        <v>0.14699999999999999</v>
      </c>
      <c r="AE289">
        <v>0.109</v>
      </c>
      <c r="AF289">
        <v>3.7999999999999999E-2</v>
      </c>
      <c r="AG289">
        <v>0.26900000000000002</v>
      </c>
      <c r="AH289">
        <v>1.54</v>
      </c>
      <c r="AI289">
        <v>0.27500000000000002</v>
      </c>
      <c r="AJ289">
        <v>0.61199999999999999</v>
      </c>
      <c r="AK289">
        <v>157</v>
      </c>
      <c r="AL289">
        <v>138</v>
      </c>
      <c r="AM289">
        <v>119</v>
      </c>
      <c r="AN289">
        <v>7.09</v>
      </c>
      <c r="AO289">
        <v>6.35</v>
      </c>
      <c r="AP289">
        <v>0.74</v>
      </c>
      <c r="AQ289">
        <v>5.45</v>
      </c>
      <c r="AR289">
        <v>5.81</v>
      </c>
      <c r="AS289" cm="1">
        <f t="array" ref="AS289:BA289">VLOOKUP(A289,plate_discipline_pitchers_2019!A:L,{3,4,5,6,7,8,9,10,11},FALSE)</f>
        <v>0.249</v>
      </c>
      <c r="AT289">
        <v>0.69799999999999995</v>
      </c>
      <c r="AU289">
        <v>0.44600000000000001</v>
      </c>
      <c r="AV289">
        <v>0.61199999999999999</v>
      </c>
      <c r="AW289">
        <v>0.879</v>
      </c>
      <c r="AX289">
        <v>0.79600000000000004</v>
      </c>
      <c r="AY289">
        <v>0.44</v>
      </c>
      <c r="AZ289">
        <v>0.63200000000000001</v>
      </c>
      <c r="BA289">
        <v>9.0999999999999998E-2</v>
      </c>
      <c r="BB289" cm="1">
        <f t="array" ref="BB289:BP289">VLOOKUP(A289,pitchvalue_pitchers_2019!A:Q,{3,4,5,6,7,8,9,10,11,12,13,14,15,16,17},FALSE)</f>
        <v>-8.1</v>
      </c>
      <c r="BC289">
        <v>1.9</v>
      </c>
      <c r="BD289">
        <v>0</v>
      </c>
      <c r="BE289">
        <v>-5.3</v>
      </c>
      <c r="BF289">
        <v>0.5</v>
      </c>
      <c r="BG289">
        <v>0</v>
      </c>
      <c r="BH289">
        <v>0</v>
      </c>
      <c r="BI289">
        <v>-1.72</v>
      </c>
      <c r="BJ289">
        <v>0.69</v>
      </c>
      <c r="BK289">
        <v>0</v>
      </c>
      <c r="BL289">
        <v>-3.67</v>
      </c>
      <c r="BM289">
        <v>0.53</v>
      </c>
      <c r="BN289">
        <v>0</v>
      </c>
      <c r="BO289">
        <v>0</v>
      </c>
      <c r="BP289">
        <v>11713</v>
      </c>
      <c r="BQ289" cm="1">
        <f t="array" ref="BQ289:CH289">VLOOKUP(A289,battedball_pitchers_2019!A:U,{3,4,5,6,7,8,9,10,11,12,13,14,15,16,17,18,19,20},FALSE)</f>
        <v>0.27500000000000002</v>
      </c>
      <c r="BR289">
        <v>1.43</v>
      </c>
      <c r="BS289">
        <v>0.27300000000000002</v>
      </c>
      <c r="BT289">
        <v>0.42799999999999999</v>
      </c>
      <c r="BU289">
        <v>0.29899999999999999</v>
      </c>
      <c r="BV289">
        <v>6.9000000000000006E-2</v>
      </c>
      <c r="BW289">
        <v>0.224</v>
      </c>
      <c r="BX289">
        <v>35</v>
      </c>
      <c r="BY289">
        <v>5.28</v>
      </c>
      <c r="BZ289">
        <v>393</v>
      </c>
      <c r="CA289">
        <v>606</v>
      </c>
      <c r="CB289">
        <v>999</v>
      </c>
      <c r="CC289">
        <v>0.45600000000000002</v>
      </c>
      <c r="CD289">
        <v>0.33300000000000002</v>
      </c>
      <c r="CE289">
        <v>0.21</v>
      </c>
      <c r="CF289">
        <v>9.1999999999999998E-2</v>
      </c>
      <c r="CG289">
        <v>0.48199999999999998</v>
      </c>
      <c r="CH289">
        <v>0.42599999999999999</v>
      </c>
      <c r="CI289" cm="1">
        <f t="array" ref="CI289:CS289">VLOOKUP(A289,verticalmove_pitchers_2019!A:N,{3,4,5,6,7,8,9,10,11,12,13},FALSE)</f>
        <v>59.2</v>
      </c>
      <c r="CJ289">
        <v>7.7</v>
      </c>
      <c r="CK289">
        <v>0</v>
      </c>
      <c r="CL289">
        <v>0</v>
      </c>
      <c r="CM289">
        <v>6.1</v>
      </c>
      <c r="CN289">
        <v>6</v>
      </c>
      <c r="CO289">
        <v>2.4</v>
      </c>
      <c r="CP289">
        <v>-4.7</v>
      </c>
      <c r="CQ289">
        <v>0</v>
      </c>
      <c r="CR289">
        <v>0</v>
      </c>
      <c r="CS289">
        <v>0</v>
      </c>
      <c r="CT289" cm="1">
        <f t="array" ref="CT289:DD289">VLOOKUP(A289,velocity_pitchers_2019!A:N,{3,4,5,6,7,8,9,10,11,12,13},FALSE)</f>
        <v>59.2</v>
      </c>
      <c r="CU289">
        <v>93.6</v>
      </c>
      <c r="CV289">
        <v>0</v>
      </c>
      <c r="CW289">
        <v>0</v>
      </c>
      <c r="CX289">
        <v>94.5</v>
      </c>
      <c r="CY289">
        <v>86.3</v>
      </c>
      <c r="CZ289">
        <v>87.8</v>
      </c>
      <c r="DA289">
        <v>81.900000000000006</v>
      </c>
      <c r="DB289">
        <v>0</v>
      </c>
      <c r="DC289">
        <v>0</v>
      </c>
      <c r="DD289">
        <v>0</v>
      </c>
    </row>
    <row r="290" spans="1:108" x14ac:dyDescent="0.3">
      <c r="A290" t="s">
        <v>345</v>
      </c>
      <c r="B290" t="str" cm="1">
        <f t="array" ref="B290:Y290">VLOOKUP(A290,standard_pitchers_2019!A:Y,{2,3,4,5,6,7,8,9,10,11,12,13,14,15,16,17,18,19,20,21,22,23,24,25},FALSE)</f>
        <v>Pirates</v>
      </c>
      <c r="C290">
        <v>1</v>
      </c>
      <c r="D290">
        <v>2</v>
      </c>
      <c r="E290">
        <v>5.58</v>
      </c>
      <c r="F290">
        <v>35</v>
      </c>
      <c r="G290">
        <v>0</v>
      </c>
      <c r="H290">
        <v>0</v>
      </c>
      <c r="I290">
        <v>0</v>
      </c>
      <c r="J290">
        <v>0</v>
      </c>
      <c r="K290">
        <v>1</v>
      </c>
      <c r="L290">
        <v>1</v>
      </c>
      <c r="M290">
        <v>50</v>
      </c>
      <c r="N290">
        <v>240</v>
      </c>
      <c r="O290">
        <v>45</v>
      </c>
      <c r="P290">
        <v>36</v>
      </c>
      <c r="Q290">
        <v>31</v>
      </c>
      <c r="R290">
        <v>5</v>
      </c>
      <c r="S290">
        <v>36</v>
      </c>
      <c r="T290">
        <v>1</v>
      </c>
      <c r="U290">
        <v>9</v>
      </c>
      <c r="V290">
        <v>4</v>
      </c>
      <c r="W290">
        <v>0</v>
      </c>
      <c r="X290">
        <v>56</v>
      </c>
      <c r="Y290">
        <v>13649</v>
      </c>
      <c r="Z290" cm="1">
        <f t="array" ref="Z290:AR290">VLOOKUP(A290,advanced_pitchers_2019!A:Y,{3,4,5,6,7,8,9,10,11,12,13,14,15,16,17,18,19,20,21},FALSE)</f>
        <v>10.08</v>
      </c>
      <c r="AA290">
        <v>6.48</v>
      </c>
      <c r="AB290">
        <v>1.56</v>
      </c>
      <c r="AC290">
        <v>0.9</v>
      </c>
      <c r="AD290">
        <v>0.23300000000000001</v>
      </c>
      <c r="AE290">
        <v>0.15</v>
      </c>
      <c r="AF290">
        <v>8.3000000000000004E-2</v>
      </c>
      <c r="AG290">
        <v>0.23100000000000001</v>
      </c>
      <c r="AH290">
        <v>1.62</v>
      </c>
      <c r="AI290">
        <v>0.29899999999999999</v>
      </c>
      <c r="AJ290">
        <v>0.65100000000000002</v>
      </c>
      <c r="AK290">
        <v>129</v>
      </c>
      <c r="AL290">
        <v>112</v>
      </c>
      <c r="AM290">
        <v>110</v>
      </c>
      <c r="AN290">
        <v>5.58</v>
      </c>
      <c r="AO290">
        <v>4.97</v>
      </c>
      <c r="AP290">
        <v>0.61</v>
      </c>
      <c r="AQ290">
        <v>4.87</v>
      </c>
      <c r="AR290">
        <v>4.7699999999999996</v>
      </c>
      <c r="AS290" cm="1">
        <f t="array" ref="AS290:BA290">VLOOKUP(A290,plate_discipline_pitchers_2019!A:L,{3,4,5,6,7,8,9,10,11},FALSE)</f>
        <v>0.23699999999999999</v>
      </c>
      <c r="AT290">
        <v>0.57799999999999996</v>
      </c>
      <c r="AU290">
        <v>0.374</v>
      </c>
      <c r="AV290">
        <v>0.48099999999999998</v>
      </c>
      <c r="AW290">
        <v>0.91</v>
      </c>
      <c r="AX290">
        <v>0.748</v>
      </c>
      <c r="AY290">
        <v>0.40200000000000002</v>
      </c>
      <c r="AZ290">
        <v>0.55400000000000005</v>
      </c>
      <c r="BA290">
        <v>9.4E-2</v>
      </c>
      <c r="BB290" cm="1">
        <f t="array" ref="BB290:BP290">VLOOKUP(A290,pitchvalue_pitchers_2019!A:Q,{3,4,5,6,7,8,9,10,11,12,13,14,15,16,17},FALSE)</f>
        <v>-8.1</v>
      </c>
      <c r="BC290">
        <v>0.5</v>
      </c>
      <c r="BD290">
        <v>0</v>
      </c>
      <c r="BE290">
        <v>1.3</v>
      </c>
      <c r="BF290">
        <v>-0.3</v>
      </c>
      <c r="BG290">
        <v>0</v>
      </c>
      <c r="BH290">
        <v>0</v>
      </c>
      <c r="BI290">
        <v>-1.42</v>
      </c>
      <c r="BJ290">
        <v>0.44</v>
      </c>
      <c r="BK290">
        <v>0</v>
      </c>
      <c r="BL290">
        <v>0.6</v>
      </c>
      <c r="BM290">
        <v>-2.62</v>
      </c>
      <c r="BN290">
        <v>0</v>
      </c>
      <c r="BO290">
        <v>0</v>
      </c>
      <c r="BP290">
        <v>13649</v>
      </c>
      <c r="BQ290" cm="1">
        <f t="array" ref="BQ290:CH290">VLOOKUP(A290,battedball_pitchers_2019!A:U,{3,4,5,6,7,8,9,10,11,12,13,14,15,16,17,18,19,20},FALSE)</f>
        <v>0.29899999999999999</v>
      </c>
      <c r="BR290">
        <v>2.73</v>
      </c>
      <c r="BS290">
        <v>0.17599999999999999</v>
      </c>
      <c r="BT290">
        <v>0.60299999999999998</v>
      </c>
      <c r="BU290">
        <v>0.221</v>
      </c>
      <c r="BV290">
        <v>0.1</v>
      </c>
      <c r="BW290">
        <v>0.16700000000000001</v>
      </c>
      <c r="BX290">
        <v>15</v>
      </c>
      <c r="BY290">
        <v>2.7</v>
      </c>
      <c r="BZ290">
        <v>389</v>
      </c>
      <c r="CA290">
        <v>526</v>
      </c>
      <c r="CB290">
        <v>915</v>
      </c>
      <c r="CC290">
        <v>0.48599999999999999</v>
      </c>
      <c r="CD290">
        <v>0.33300000000000002</v>
      </c>
      <c r="CE290">
        <v>0.18099999999999999</v>
      </c>
      <c r="CF290">
        <v>0.254</v>
      </c>
      <c r="CG290">
        <v>0.40600000000000003</v>
      </c>
      <c r="CH290">
        <v>0.34100000000000003</v>
      </c>
      <c r="CI290" cm="1">
        <f t="array" ref="CI290:CS290">VLOOKUP(A290,verticalmove_pitchers_2019!A:N,{3,4,5,6,7,8,9,10,11,12,13},FALSE)</f>
        <v>50</v>
      </c>
      <c r="CJ290">
        <v>5.9</v>
      </c>
      <c r="CK290">
        <v>0</v>
      </c>
      <c r="CL290">
        <v>0</v>
      </c>
      <c r="CM290">
        <v>1.6</v>
      </c>
      <c r="CN290">
        <v>2.1</v>
      </c>
      <c r="CO290">
        <v>-1.1000000000000001</v>
      </c>
      <c r="CP290">
        <v>-7.9</v>
      </c>
      <c r="CQ290">
        <v>0</v>
      </c>
      <c r="CR290">
        <v>0</v>
      </c>
      <c r="CS290">
        <v>0</v>
      </c>
      <c r="CT290" cm="1">
        <f t="array" ref="CT290:DD290">VLOOKUP(A290,velocity_pitchers_2019!A:N,{3,4,5,6,7,8,9,10,11,12,13},FALSE)</f>
        <v>50</v>
      </c>
      <c r="CU290">
        <v>94.3</v>
      </c>
      <c r="CV290">
        <v>0</v>
      </c>
      <c r="CW290">
        <v>0</v>
      </c>
      <c r="CX290">
        <v>94.5</v>
      </c>
      <c r="CY290">
        <v>87.7</v>
      </c>
      <c r="CZ290">
        <v>86.9</v>
      </c>
      <c r="DA290">
        <v>81.8</v>
      </c>
      <c r="DB290">
        <v>0</v>
      </c>
      <c r="DC290">
        <v>0</v>
      </c>
      <c r="DD290">
        <v>0</v>
      </c>
    </row>
    <row r="291" spans="1:108" x14ac:dyDescent="0.3">
      <c r="A291" t="s">
        <v>321</v>
      </c>
      <c r="B291" t="str" cm="1">
        <f t="array" ref="B291:Y291">VLOOKUP(A291,standard_pitchers_2019!A:Y,{2,3,4,5,6,7,8,9,10,11,12,13,14,15,16,17,18,19,20,21,22,23,24,25},FALSE)</f>
        <v>Pirates</v>
      </c>
      <c r="C291">
        <v>4</v>
      </c>
      <c r="D291">
        <v>6</v>
      </c>
      <c r="E291">
        <v>5.16</v>
      </c>
      <c r="F291">
        <v>25</v>
      </c>
      <c r="G291">
        <v>19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113.1</v>
      </c>
      <c r="N291">
        <v>505</v>
      </c>
      <c r="O291">
        <v>117</v>
      </c>
      <c r="P291">
        <v>69</v>
      </c>
      <c r="Q291">
        <v>65</v>
      </c>
      <c r="R291">
        <v>15</v>
      </c>
      <c r="S291">
        <v>53</v>
      </c>
      <c r="T291">
        <v>2</v>
      </c>
      <c r="U291">
        <v>7</v>
      </c>
      <c r="V291">
        <v>7</v>
      </c>
      <c r="W291">
        <v>1</v>
      </c>
      <c r="X291">
        <v>100</v>
      </c>
      <c r="Y291">
        <v>15291</v>
      </c>
      <c r="Z291" cm="1">
        <f t="array" ref="Z291:AR291">VLOOKUP(A291,advanced_pitchers_2019!A:Y,{3,4,5,6,7,8,9,10,11,12,13,14,15,16,17,18,19,20,21},FALSE)</f>
        <v>7.94</v>
      </c>
      <c r="AA291">
        <v>4.21</v>
      </c>
      <c r="AB291">
        <v>1.89</v>
      </c>
      <c r="AC291">
        <v>1.19</v>
      </c>
      <c r="AD291">
        <v>0.19800000000000001</v>
      </c>
      <c r="AE291">
        <v>0.105</v>
      </c>
      <c r="AF291">
        <v>9.2999999999999999E-2</v>
      </c>
      <c r="AG291">
        <v>0.26300000000000001</v>
      </c>
      <c r="AH291">
        <v>1.5</v>
      </c>
      <c r="AI291">
        <v>0.309</v>
      </c>
      <c r="AJ291">
        <v>0.69199999999999995</v>
      </c>
      <c r="AK291">
        <v>120</v>
      </c>
      <c r="AL291">
        <v>108</v>
      </c>
      <c r="AM291">
        <v>114</v>
      </c>
      <c r="AN291">
        <v>5.16</v>
      </c>
      <c r="AO291">
        <v>4.76</v>
      </c>
      <c r="AP291">
        <v>0.4</v>
      </c>
      <c r="AQ291">
        <v>5.04</v>
      </c>
      <c r="AR291">
        <v>5.0999999999999996</v>
      </c>
      <c r="AS291" cm="1">
        <f t="array" ref="AS291:BA291">VLOOKUP(A291,plate_discipline_pitchers_2019!A:L,{3,4,5,6,7,8,9,10,11},FALSE)</f>
        <v>0.311</v>
      </c>
      <c r="AT291">
        <v>0.66200000000000003</v>
      </c>
      <c r="AU291">
        <v>0.45200000000000001</v>
      </c>
      <c r="AV291">
        <v>0.66500000000000004</v>
      </c>
      <c r="AW291">
        <v>0.86399999999999999</v>
      </c>
      <c r="AX291">
        <v>0.78200000000000003</v>
      </c>
      <c r="AY291">
        <v>0.40100000000000002</v>
      </c>
      <c r="AZ291">
        <v>0.56399999999999995</v>
      </c>
      <c r="BA291">
        <v>9.8000000000000004E-2</v>
      </c>
      <c r="BB291" cm="1">
        <f t="array" ref="BB291:BP291">VLOOKUP(A291,pitchvalue_pitchers_2019!A:Q,{3,4,5,6,7,8,9,10,11,12,13,14,15,16,17},FALSE)</f>
        <v>-8.1999999999999993</v>
      </c>
      <c r="BC291">
        <v>2.4</v>
      </c>
      <c r="BD291">
        <v>0</v>
      </c>
      <c r="BE291">
        <v>-0.3</v>
      </c>
      <c r="BF291">
        <v>1.7</v>
      </c>
      <c r="BG291">
        <v>0</v>
      </c>
      <c r="BH291">
        <v>0</v>
      </c>
      <c r="BI291">
        <v>-0.64</v>
      </c>
      <c r="BJ291">
        <v>0.57999999999999996</v>
      </c>
      <c r="BK291">
        <v>0</v>
      </c>
      <c r="BL291">
        <v>-1.32</v>
      </c>
      <c r="BM291">
        <v>0.61</v>
      </c>
      <c r="BN291">
        <v>0</v>
      </c>
      <c r="BO291">
        <v>0</v>
      </c>
      <c r="BP291">
        <v>15291</v>
      </c>
      <c r="BQ291" cm="1">
        <f t="array" ref="BQ291:CH291">VLOOKUP(A291,battedball_pitchers_2019!A:U,{3,4,5,6,7,8,9,10,11,12,13,14,15,16,17,18,19,20},FALSE)</f>
        <v>0.309</v>
      </c>
      <c r="BR291">
        <v>1.31</v>
      </c>
      <c r="BS291">
        <v>0.21299999999999999</v>
      </c>
      <c r="BT291">
        <v>0.44600000000000001</v>
      </c>
      <c r="BU291">
        <v>0.34100000000000003</v>
      </c>
      <c r="BV291">
        <v>0.105</v>
      </c>
      <c r="BW291">
        <v>0.13200000000000001</v>
      </c>
      <c r="BX291">
        <v>54</v>
      </c>
      <c r="BY291">
        <v>4.29</v>
      </c>
      <c r="BZ291">
        <v>768</v>
      </c>
      <c r="CA291">
        <v>1233</v>
      </c>
      <c r="CB291">
        <v>2001</v>
      </c>
      <c r="CC291">
        <v>0.34899999999999998</v>
      </c>
      <c r="CD291">
        <v>0.36299999999999999</v>
      </c>
      <c r="CE291">
        <v>0.28799999999999998</v>
      </c>
      <c r="CF291">
        <v>0.17699999999999999</v>
      </c>
      <c r="CG291">
        <v>0.439</v>
      </c>
      <c r="CH291">
        <v>0.38400000000000001</v>
      </c>
      <c r="CI291" cm="1">
        <f t="array" ref="CI291:CS291">VLOOKUP(A291,verticalmove_pitchers_2019!A:N,{3,4,5,6,7,8,9,10,11,12,13},FALSE)</f>
        <v>113.1</v>
      </c>
      <c r="CJ291">
        <v>6.9</v>
      </c>
      <c r="CK291">
        <v>0</v>
      </c>
      <c r="CL291">
        <v>0</v>
      </c>
      <c r="CM291">
        <v>3.1</v>
      </c>
      <c r="CN291">
        <v>0.4</v>
      </c>
      <c r="CO291">
        <v>-1.4</v>
      </c>
      <c r="CP291">
        <v>-1.8</v>
      </c>
      <c r="CQ291">
        <v>0</v>
      </c>
      <c r="CR291">
        <v>0</v>
      </c>
      <c r="CS291">
        <v>0</v>
      </c>
      <c r="CT291" cm="1">
        <f t="array" ref="CT291:DD291">VLOOKUP(A291,velocity_pitchers_2019!A:N,{3,4,5,6,7,8,9,10,11,12,13},FALSE)</f>
        <v>113.1</v>
      </c>
      <c r="CU291">
        <v>92.4</v>
      </c>
      <c r="CV291">
        <v>0</v>
      </c>
      <c r="CW291">
        <v>0</v>
      </c>
      <c r="CX291">
        <v>91.6</v>
      </c>
      <c r="CY291">
        <v>84.6</v>
      </c>
      <c r="CZ291">
        <v>83.1</v>
      </c>
      <c r="DA291">
        <v>71.599999999999994</v>
      </c>
      <c r="DB291">
        <v>0</v>
      </c>
      <c r="DC291">
        <v>0</v>
      </c>
      <c r="DD291">
        <v>0</v>
      </c>
    </row>
    <row r="292" spans="1:108" x14ac:dyDescent="0.3">
      <c r="A292" t="s">
        <v>232</v>
      </c>
      <c r="B292" t="str" cm="1">
        <f t="array" ref="B292:Y292">VLOOKUP(A292,standard_pitchers_2019!A:Y,{2,3,4,5,6,7,8,9,10,11,12,13,14,15,16,17,18,19,20,21,22,23,24,25},FALSE)</f>
        <v>Rays</v>
      </c>
      <c r="C292">
        <v>6</v>
      </c>
      <c r="D292">
        <v>3</v>
      </c>
      <c r="E292">
        <v>4.3099999999999996</v>
      </c>
      <c r="F292">
        <v>33</v>
      </c>
      <c r="G292">
        <v>3</v>
      </c>
      <c r="H292">
        <v>0</v>
      </c>
      <c r="I292">
        <v>0</v>
      </c>
      <c r="J292">
        <v>1</v>
      </c>
      <c r="K292">
        <v>2</v>
      </c>
      <c r="L292">
        <v>0</v>
      </c>
      <c r="M292">
        <v>104.1</v>
      </c>
      <c r="N292">
        <v>464</v>
      </c>
      <c r="O292">
        <v>115</v>
      </c>
      <c r="P292">
        <v>56</v>
      </c>
      <c r="Q292">
        <v>50</v>
      </c>
      <c r="R292">
        <v>12</v>
      </c>
      <c r="S292">
        <v>40</v>
      </c>
      <c r="T292">
        <v>1</v>
      </c>
      <c r="U292">
        <v>9</v>
      </c>
      <c r="V292">
        <v>3</v>
      </c>
      <c r="W292">
        <v>0</v>
      </c>
      <c r="X292">
        <v>89</v>
      </c>
      <c r="Y292">
        <v>17192</v>
      </c>
      <c r="Z292" cm="1">
        <f t="array" ref="Z292:AR292">VLOOKUP(A292,advanced_pitchers_2019!A:Y,{3,4,5,6,7,8,9,10,11,12,13,14,15,16,17,18,19,20,21},FALSE)</f>
        <v>7.68</v>
      </c>
      <c r="AA292">
        <v>3.45</v>
      </c>
      <c r="AB292">
        <v>2.23</v>
      </c>
      <c r="AC292">
        <v>1.04</v>
      </c>
      <c r="AD292">
        <v>0.192</v>
      </c>
      <c r="AE292">
        <v>8.5999999999999993E-2</v>
      </c>
      <c r="AF292">
        <v>0.106</v>
      </c>
      <c r="AG292">
        <v>0.27700000000000002</v>
      </c>
      <c r="AH292">
        <v>1.49</v>
      </c>
      <c r="AI292">
        <v>0.32800000000000001</v>
      </c>
      <c r="AJ292">
        <v>0.73399999999999999</v>
      </c>
      <c r="AK292">
        <v>97</v>
      </c>
      <c r="AL292">
        <v>100</v>
      </c>
      <c r="AM292">
        <v>105</v>
      </c>
      <c r="AN292">
        <v>4.3099999999999996</v>
      </c>
      <c r="AO292">
        <v>4.41</v>
      </c>
      <c r="AP292">
        <v>-0.1</v>
      </c>
      <c r="AQ292">
        <v>4.79</v>
      </c>
      <c r="AR292">
        <v>4.6100000000000003</v>
      </c>
      <c r="AS292" cm="1">
        <f t="array" ref="AS292:BA292">VLOOKUP(A292,plate_discipline_pitchers_2019!A:L,{3,4,5,6,7,8,9,10,11},FALSE)</f>
        <v>0.30599999999999999</v>
      </c>
      <c r="AT292">
        <v>0.66600000000000004</v>
      </c>
      <c r="AU292">
        <v>0.45600000000000002</v>
      </c>
      <c r="AV292">
        <v>0.66800000000000004</v>
      </c>
      <c r="AW292">
        <v>0.86699999999999999</v>
      </c>
      <c r="AX292">
        <v>0.78900000000000003</v>
      </c>
      <c r="AY292">
        <v>0.41599999999999998</v>
      </c>
      <c r="AZ292">
        <v>0.58799999999999997</v>
      </c>
      <c r="BA292">
        <v>9.6000000000000002E-2</v>
      </c>
      <c r="BB292" cm="1">
        <f t="array" ref="BB292:BP292">VLOOKUP(A292,pitchvalue_pitchers_2019!A:Q,{3,4,5,6,7,8,9,10,11,12,13,14,15,16,17},FALSE)</f>
        <v>-9</v>
      </c>
      <c r="BC292">
        <v>0</v>
      </c>
      <c r="BD292">
        <v>4.8</v>
      </c>
      <c r="BE292">
        <v>-2.6</v>
      </c>
      <c r="BF292">
        <v>-1.1000000000000001</v>
      </c>
      <c r="BG292">
        <v>0</v>
      </c>
      <c r="BH292">
        <v>0</v>
      </c>
      <c r="BI292">
        <v>-1.1399999999999999</v>
      </c>
      <c r="BJ292">
        <v>0</v>
      </c>
      <c r="BK292">
        <v>4.5</v>
      </c>
      <c r="BL292">
        <v>-0.75</v>
      </c>
      <c r="BM292">
        <v>-0.2</v>
      </c>
      <c r="BN292">
        <v>0</v>
      </c>
      <c r="BO292">
        <v>0</v>
      </c>
      <c r="BP292">
        <v>17192</v>
      </c>
      <c r="BQ292" cm="1">
        <f t="array" ref="BQ292:CH292">VLOOKUP(A292,battedball_pitchers_2019!A:U,{3,4,5,6,7,8,9,10,11,12,13,14,15,16,17,18,19,20},FALSE)</f>
        <v>0.32800000000000001</v>
      </c>
      <c r="BR292">
        <v>1.49</v>
      </c>
      <c r="BS292">
        <v>0.23799999999999999</v>
      </c>
      <c r="BT292">
        <v>0.45600000000000002</v>
      </c>
      <c r="BU292">
        <v>0.30599999999999999</v>
      </c>
      <c r="BV292">
        <v>9.1999999999999998E-2</v>
      </c>
      <c r="BW292">
        <v>0.122</v>
      </c>
      <c r="BX292">
        <v>46</v>
      </c>
      <c r="BY292">
        <v>3.97</v>
      </c>
      <c r="BZ292">
        <v>682</v>
      </c>
      <c r="CA292">
        <v>1139</v>
      </c>
      <c r="CB292">
        <v>1821</v>
      </c>
      <c r="CC292">
        <v>0.44</v>
      </c>
      <c r="CD292">
        <v>0.32600000000000001</v>
      </c>
      <c r="CE292">
        <v>0.23400000000000001</v>
      </c>
      <c r="CF292">
        <v>0.154</v>
      </c>
      <c r="CG292">
        <v>0.44900000000000001</v>
      </c>
      <c r="CH292">
        <v>0.39700000000000002</v>
      </c>
      <c r="CI292" cm="1">
        <f t="array" ref="CI292:CS292">VLOOKUP(A292,verticalmove_pitchers_2019!A:N,{3,4,5,6,7,8,9,10,11,12,13},FALSE)</f>
        <v>104.1</v>
      </c>
      <c r="CJ292">
        <v>9</v>
      </c>
      <c r="CK292">
        <v>3.5</v>
      </c>
      <c r="CL292">
        <v>0</v>
      </c>
      <c r="CM292">
        <v>8.9</v>
      </c>
      <c r="CN292">
        <v>3.5</v>
      </c>
      <c r="CO292">
        <v>0</v>
      </c>
      <c r="CP292">
        <v>-9.1999999999999993</v>
      </c>
      <c r="CQ292">
        <v>0</v>
      </c>
      <c r="CR292">
        <v>0</v>
      </c>
      <c r="CS292">
        <v>0</v>
      </c>
      <c r="CT292" cm="1">
        <f t="array" ref="CT292:DD292">VLOOKUP(A292,velocity_pitchers_2019!A:N,{3,4,5,6,7,8,9,10,11,12,13},FALSE)</f>
        <v>104.1</v>
      </c>
      <c r="CU292">
        <v>92.5</v>
      </c>
      <c r="CV292">
        <v>86.4</v>
      </c>
      <c r="CW292">
        <v>0</v>
      </c>
      <c r="CX292">
        <v>94</v>
      </c>
      <c r="CY292">
        <v>87.6</v>
      </c>
      <c r="CZ292">
        <v>0</v>
      </c>
      <c r="DA292">
        <v>75.400000000000006</v>
      </c>
      <c r="DB292">
        <v>0</v>
      </c>
      <c r="DC292">
        <v>0</v>
      </c>
      <c r="DD292">
        <v>0</v>
      </c>
    </row>
    <row r="293" spans="1:108" x14ac:dyDescent="0.3">
      <c r="A293" t="s">
        <v>329</v>
      </c>
      <c r="B293" t="str" cm="1">
        <f t="array" ref="B293:Y293">VLOOKUP(A293,standard_pitchers_2019!A:Y,{2,3,4,5,6,7,8,9,10,11,12,13,14,15,16,17,18,19,20,21,22,23,24,25},FALSE)</f>
        <v>Diamondbacks</v>
      </c>
      <c r="C293">
        <v>5</v>
      </c>
      <c r="D293">
        <v>5</v>
      </c>
      <c r="E293">
        <v>5.31</v>
      </c>
      <c r="F293">
        <v>23</v>
      </c>
      <c r="G293">
        <v>15</v>
      </c>
      <c r="H293">
        <v>0</v>
      </c>
      <c r="I293">
        <v>0</v>
      </c>
      <c r="J293">
        <v>1</v>
      </c>
      <c r="K293">
        <v>0</v>
      </c>
      <c r="L293">
        <v>0</v>
      </c>
      <c r="M293">
        <v>84.2</v>
      </c>
      <c r="N293">
        <v>369</v>
      </c>
      <c r="O293">
        <v>86</v>
      </c>
      <c r="P293">
        <v>55</v>
      </c>
      <c r="Q293">
        <v>50</v>
      </c>
      <c r="R293">
        <v>23</v>
      </c>
      <c r="S293">
        <v>30</v>
      </c>
      <c r="T293">
        <v>0</v>
      </c>
      <c r="U293">
        <v>6</v>
      </c>
      <c r="V293">
        <v>3</v>
      </c>
      <c r="W293">
        <v>0</v>
      </c>
      <c r="X293">
        <v>68</v>
      </c>
      <c r="Y293">
        <v>17611</v>
      </c>
      <c r="Z293" cm="1">
        <f t="array" ref="Z293:AR293">VLOOKUP(A293,advanced_pitchers_2019!A:Y,{3,4,5,6,7,8,9,10,11,12,13,14,15,16,17,18,19,20,21},FALSE)</f>
        <v>7.23</v>
      </c>
      <c r="AA293">
        <v>3.19</v>
      </c>
      <c r="AB293">
        <v>2.27</v>
      </c>
      <c r="AC293">
        <v>2.44</v>
      </c>
      <c r="AD293">
        <v>0.184</v>
      </c>
      <c r="AE293">
        <v>8.1000000000000003E-2</v>
      </c>
      <c r="AF293">
        <v>0.10299999999999999</v>
      </c>
      <c r="AG293">
        <v>0.25800000000000001</v>
      </c>
      <c r="AH293">
        <v>1.37</v>
      </c>
      <c r="AI293">
        <v>0.26</v>
      </c>
      <c r="AJ293">
        <v>0.746</v>
      </c>
      <c r="AK293">
        <v>120</v>
      </c>
      <c r="AL293">
        <v>146</v>
      </c>
      <c r="AM293">
        <v>126</v>
      </c>
      <c r="AN293">
        <v>5.31</v>
      </c>
      <c r="AO293">
        <v>6.41</v>
      </c>
      <c r="AP293">
        <v>-1.1000000000000001</v>
      </c>
      <c r="AQ293">
        <v>5.56</v>
      </c>
      <c r="AR293">
        <v>5.05</v>
      </c>
      <c r="AS293" cm="1">
        <f t="array" ref="AS293:BA293">VLOOKUP(A293,plate_discipline_pitchers_2019!A:L,{3,4,5,6,7,8,9,10,11},FALSE)</f>
        <v>0.32700000000000001</v>
      </c>
      <c r="AT293">
        <v>0.72499999999999998</v>
      </c>
      <c r="AU293">
        <v>0.48199999999999998</v>
      </c>
      <c r="AV293">
        <v>0.65900000000000003</v>
      </c>
      <c r="AW293">
        <v>0.89200000000000002</v>
      </c>
      <c r="AX293">
        <v>0.79600000000000004</v>
      </c>
      <c r="AY293">
        <v>0.39</v>
      </c>
      <c r="AZ293">
        <v>0.64500000000000002</v>
      </c>
      <c r="BA293">
        <v>9.9000000000000005E-2</v>
      </c>
      <c r="BB293" cm="1">
        <f t="array" ref="BB293:BP293">VLOOKUP(A293,pitchvalue_pitchers_2019!A:Q,{3,4,5,6,7,8,9,10,11,12,13,14,15,16,17},FALSE)</f>
        <v>-9.1999999999999993</v>
      </c>
      <c r="BC293">
        <v>-3.6</v>
      </c>
      <c r="BD293">
        <v>0</v>
      </c>
      <c r="BE293">
        <v>-3</v>
      </c>
      <c r="BF293">
        <v>-1.6</v>
      </c>
      <c r="BG293">
        <v>0</v>
      </c>
      <c r="BH293">
        <v>0</v>
      </c>
      <c r="BI293">
        <v>-1.1499999999999999</v>
      </c>
      <c r="BJ293">
        <v>-0.94</v>
      </c>
      <c r="BK293">
        <v>0</v>
      </c>
      <c r="BL293">
        <v>-2.0299999999999998</v>
      </c>
      <c r="BM293">
        <v>-0.92</v>
      </c>
      <c r="BN293">
        <v>0</v>
      </c>
      <c r="BO293">
        <v>0</v>
      </c>
      <c r="BP293">
        <v>17611</v>
      </c>
      <c r="BQ293" cm="1">
        <f t="array" ref="BQ293:CH293">VLOOKUP(A293,battedball_pitchers_2019!A:U,{3,4,5,6,7,8,9,10,11,12,13,14,15,16,17,18,19,20},FALSE)</f>
        <v>0.26</v>
      </c>
      <c r="BR293">
        <v>0.91</v>
      </c>
      <c r="BS293">
        <v>0.16800000000000001</v>
      </c>
      <c r="BT293">
        <v>0.39700000000000002</v>
      </c>
      <c r="BU293">
        <v>0.435</v>
      </c>
      <c r="BV293">
        <v>0.123</v>
      </c>
      <c r="BW293">
        <v>0.20200000000000001</v>
      </c>
      <c r="BX293">
        <v>64</v>
      </c>
      <c r="BY293">
        <v>6.8</v>
      </c>
      <c r="BZ293">
        <v>572</v>
      </c>
      <c r="CA293">
        <v>940</v>
      </c>
      <c r="CB293">
        <v>1512</v>
      </c>
      <c r="CC293">
        <v>0.42599999999999999</v>
      </c>
      <c r="CD293">
        <v>0.32500000000000001</v>
      </c>
      <c r="CE293">
        <v>0.249</v>
      </c>
      <c r="CF293">
        <v>0.158</v>
      </c>
      <c r="CG293">
        <v>0.45300000000000001</v>
      </c>
      <c r="CH293">
        <v>0.38900000000000001</v>
      </c>
      <c r="CI293" cm="1">
        <f t="array" ref="CI293:CS293">VLOOKUP(A293,verticalmove_pitchers_2019!A:N,{3,4,5,6,7,8,9,10,11,12,13},FALSE)</f>
        <v>84.2</v>
      </c>
      <c r="CJ293">
        <v>9.1999999999999993</v>
      </c>
      <c r="CK293">
        <v>0</v>
      </c>
      <c r="CL293">
        <v>0</v>
      </c>
      <c r="CM293">
        <v>7</v>
      </c>
      <c r="CN293">
        <v>5.6</v>
      </c>
      <c r="CO293">
        <v>0.1</v>
      </c>
      <c r="CP293">
        <v>-7.4</v>
      </c>
      <c r="CQ293">
        <v>0</v>
      </c>
      <c r="CR293">
        <v>9.3000000000000007</v>
      </c>
      <c r="CS293">
        <v>0</v>
      </c>
      <c r="CT293" cm="1">
        <f t="array" ref="CT293:DD293">VLOOKUP(A293,velocity_pitchers_2019!A:N,{3,4,5,6,7,8,9,10,11,12,13},FALSE)</f>
        <v>84.2</v>
      </c>
      <c r="CU293">
        <v>93.9</v>
      </c>
      <c r="CV293">
        <v>0</v>
      </c>
      <c r="CW293">
        <v>0</v>
      </c>
      <c r="CX293">
        <v>93.3</v>
      </c>
      <c r="CY293">
        <v>87</v>
      </c>
      <c r="CZ293">
        <v>85.4</v>
      </c>
      <c r="DA293">
        <v>79.400000000000006</v>
      </c>
      <c r="DB293">
        <v>0</v>
      </c>
      <c r="DC293">
        <v>93.7</v>
      </c>
      <c r="DD293">
        <v>0</v>
      </c>
    </row>
    <row r="294" spans="1:108" x14ac:dyDescent="0.3">
      <c r="A294" t="s">
        <v>376</v>
      </c>
      <c r="B294" t="str" cm="1">
        <f t="array" ref="B294:Y294">VLOOKUP(A294,standard_pitchers_2019!A:Y,{2,3,4,5,6,7,8,9,10,11,12,13,14,15,16,17,18,19,20,21,22,23,24,25},FALSE)</f>
        <v>- - -</v>
      </c>
      <c r="C294">
        <v>4</v>
      </c>
      <c r="D294">
        <v>7</v>
      </c>
      <c r="E294">
        <v>6.24</v>
      </c>
      <c r="F294">
        <v>25</v>
      </c>
      <c r="G294">
        <v>21</v>
      </c>
      <c r="H294">
        <v>0</v>
      </c>
      <c r="I294">
        <v>0</v>
      </c>
      <c r="J294">
        <v>1</v>
      </c>
      <c r="K294">
        <v>0</v>
      </c>
      <c r="L294">
        <v>0</v>
      </c>
      <c r="M294">
        <v>114</v>
      </c>
      <c r="N294">
        <v>514</v>
      </c>
      <c r="O294">
        <v>126</v>
      </c>
      <c r="P294">
        <v>83</v>
      </c>
      <c r="Q294">
        <v>79</v>
      </c>
      <c r="R294">
        <v>32</v>
      </c>
      <c r="S294">
        <v>55</v>
      </c>
      <c r="T294">
        <v>0</v>
      </c>
      <c r="U294">
        <v>2</v>
      </c>
      <c r="V294">
        <v>7</v>
      </c>
      <c r="W294">
        <v>0</v>
      </c>
      <c r="X294">
        <v>120</v>
      </c>
      <c r="Y294">
        <v>11760</v>
      </c>
      <c r="Z294" cm="1">
        <f t="array" ref="Z294:AR294">VLOOKUP(A294,advanced_pitchers_2019!A:Y,{3,4,5,6,7,8,9,10,11,12,13,14,15,16,17,18,19,20,21},FALSE)</f>
        <v>9.4700000000000006</v>
      </c>
      <c r="AA294">
        <v>4.34</v>
      </c>
      <c r="AB294">
        <v>2.1800000000000002</v>
      </c>
      <c r="AC294">
        <v>2.5299999999999998</v>
      </c>
      <c r="AD294">
        <v>0.23300000000000001</v>
      </c>
      <c r="AE294">
        <v>0.107</v>
      </c>
      <c r="AF294">
        <v>0.126</v>
      </c>
      <c r="AG294">
        <v>0.27600000000000002</v>
      </c>
      <c r="AH294">
        <v>1.59</v>
      </c>
      <c r="AI294">
        <v>0.308</v>
      </c>
      <c r="AJ294">
        <v>0.72399999999999998</v>
      </c>
      <c r="AK294">
        <v>131</v>
      </c>
      <c r="AL294">
        <v>134</v>
      </c>
      <c r="AM294">
        <v>115</v>
      </c>
      <c r="AN294">
        <v>6.24</v>
      </c>
      <c r="AO294">
        <v>6.26</v>
      </c>
      <c r="AP294">
        <v>-0.02</v>
      </c>
      <c r="AQ294">
        <v>5.21</v>
      </c>
      <c r="AR294">
        <v>4.8600000000000003</v>
      </c>
      <c r="AS294" cm="1">
        <f t="array" ref="AS294:BA294">VLOOKUP(A294,plate_discipline_pitchers_2019!A:L,{3,4,5,6,7,8,9,10,11},FALSE)</f>
        <v>0.28199999999999997</v>
      </c>
      <c r="AT294">
        <v>0.65700000000000003</v>
      </c>
      <c r="AU294">
        <v>0.442</v>
      </c>
      <c r="AV294">
        <v>0.622</v>
      </c>
      <c r="AW294">
        <v>0.83799999999999997</v>
      </c>
      <c r="AX294">
        <v>0.75900000000000001</v>
      </c>
      <c r="AY294">
        <v>0.42699999999999999</v>
      </c>
      <c r="AZ294">
        <v>0.59499999999999997</v>
      </c>
      <c r="BA294">
        <v>0.107</v>
      </c>
      <c r="BB294" cm="1">
        <f t="array" ref="BB294:BP294">VLOOKUP(A294,pitchvalue_pitchers_2019!A:Q,{3,4,5,6,7,8,9,10,11,12,13,14,15,16,17},FALSE)</f>
        <v>-9.3000000000000007</v>
      </c>
      <c r="BC294">
        <v>0</v>
      </c>
      <c r="BD294">
        <v>-10.9</v>
      </c>
      <c r="BE294">
        <v>-5.6</v>
      </c>
      <c r="BF294">
        <v>-2</v>
      </c>
      <c r="BG294">
        <v>0</v>
      </c>
      <c r="BH294">
        <v>0</v>
      </c>
      <c r="BI294">
        <v>-0.91</v>
      </c>
      <c r="BJ294">
        <v>0</v>
      </c>
      <c r="BK294">
        <v>-2.83</v>
      </c>
      <c r="BL294">
        <v>-0.91</v>
      </c>
      <c r="BM294">
        <v>-1.93</v>
      </c>
      <c r="BN294">
        <v>0</v>
      </c>
      <c r="BO294">
        <v>0</v>
      </c>
      <c r="BP294">
        <v>11760</v>
      </c>
      <c r="BQ294" cm="1">
        <f t="array" ref="BQ294:CH294">VLOOKUP(A294,battedball_pitchers_2019!A:U,{3,4,5,6,7,8,9,10,11,12,13,14,15,16,17,18,19,20},FALSE)</f>
        <v>0.308</v>
      </c>
      <c r="BR294">
        <v>0.74</v>
      </c>
      <c r="BS294">
        <v>0.222</v>
      </c>
      <c r="BT294">
        <v>0.33200000000000002</v>
      </c>
      <c r="BU294">
        <v>0.44600000000000001</v>
      </c>
      <c r="BV294">
        <v>6.7000000000000004E-2</v>
      </c>
      <c r="BW294">
        <v>0.215</v>
      </c>
      <c r="BX294">
        <v>55</v>
      </c>
      <c r="BY294">
        <v>4.34</v>
      </c>
      <c r="BZ294">
        <v>817</v>
      </c>
      <c r="CA294">
        <v>1313</v>
      </c>
      <c r="CB294">
        <v>2130</v>
      </c>
      <c r="CC294">
        <v>0.51900000000000002</v>
      </c>
      <c r="CD294">
        <v>0.27900000000000003</v>
      </c>
      <c r="CE294">
        <v>0.20200000000000001</v>
      </c>
      <c r="CF294">
        <v>0.13100000000000001</v>
      </c>
      <c r="CG294">
        <v>0.41499999999999998</v>
      </c>
      <c r="CH294">
        <v>0.45400000000000001</v>
      </c>
      <c r="CI294" cm="1">
        <f t="array" ref="CI294:CS294">VLOOKUP(A294,verticalmove_pitchers_2019!A:N,{3,4,5,6,7,8,9,10,11,12,13},FALSE)</f>
        <v>114</v>
      </c>
      <c r="CJ294">
        <v>10.199999999999999</v>
      </c>
      <c r="CK294">
        <v>5.3</v>
      </c>
      <c r="CL294">
        <v>0</v>
      </c>
      <c r="CM294">
        <v>0</v>
      </c>
      <c r="CN294">
        <v>7.2</v>
      </c>
      <c r="CO294">
        <v>0</v>
      </c>
      <c r="CP294">
        <v>-1.9</v>
      </c>
      <c r="CQ294">
        <v>0</v>
      </c>
      <c r="CR294">
        <v>0</v>
      </c>
      <c r="CS294">
        <v>0</v>
      </c>
      <c r="CT294" cm="1">
        <f t="array" ref="CT294:DD294">VLOOKUP(A294,velocity_pitchers_2019!A:N,{3,4,5,6,7,8,9,10,11,12,13},FALSE)</f>
        <v>114</v>
      </c>
      <c r="CU294">
        <v>91.3</v>
      </c>
      <c r="CV294">
        <v>86.8</v>
      </c>
      <c r="CW294">
        <v>0</v>
      </c>
      <c r="CX294">
        <v>0</v>
      </c>
      <c r="CY294">
        <v>82.5</v>
      </c>
      <c r="CZ294">
        <v>0</v>
      </c>
      <c r="DA294">
        <v>77.5</v>
      </c>
      <c r="DB294">
        <v>0</v>
      </c>
      <c r="DC294">
        <v>0</v>
      </c>
      <c r="DD294">
        <v>0</v>
      </c>
    </row>
    <row r="295" spans="1:108" x14ac:dyDescent="0.3">
      <c r="A295" t="s">
        <v>140</v>
      </c>
      <c r="B295" t="str" cm="1">
        <f t="array" ref="B295:Y295">VLOOKUP(A295,standard_pitchers_2019!A:Y,{2,3,4,5,6,7,8,9,10,11,12,13,14,15,16,17,18,19,20,21,22,23,24,25},FALSE)</f>
        <v>Brewers</v>
      </c>
      <c r="C295">
        <v>10</v>
      </c>
      <c r="D295">
        <v>7</v>
      </c>
      <c r="E295">
        <v>3.55</v>
      </c>
      <c r="F295">
        <v>31</v>
      </c>
      <c r="G295">
        <v>31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159.19999999999999</v>
      </c>
      <c r="N295">
        <v>672</v>
      </c>
      <c r="O295">
        <v>155</v>
      </c>
      <c r="P295">
        <v>73</v>
      </c>
      <c r="Q295">
        <v>63</v>
      </c>
      <c r="R295">
        <v>20</v>
      </c>
      <c r="S295">
        <v>51</v>
      </c>
      <c r="T295">
        <v>0</v>
      </c>
      <c r="U295">
        <v>2</v>
      </c>
      <c r="V295">
        <v>4</v>
      </c>
      <c r="W295">
        <v>0</v>
      </c>
      <c r="X295">
        <v>102</v>
      </c>
      <c r="Y295">
        <v>13183</v>
      </c>
      <c r="Z295" cm="1">
        <f t="array" ref="Z295:AR295">VLOOKUP(A295,advanced_pitchers_2019!A:Y,{3,4,5,6,7,8,9,10,11,12,13,14,15,16,17,18,19,20,21},FALSE)</f>
        <v>5.75</v>
      </c>
      <c r="AA295">
        <v>2.87</v>
      </c>
      <c r="AB295">
        <v>2</v>
      </c>
      <c r="AC295">
        <v>1.1299999999999999</v>
      </c>
      <c r="AD295">
        <v>0.152</v>
      </c>
      <c r="AE295">
        <v>7.5999999999999998E-2</v>
      </c>
      <c r="AF295">
        <v>7.5999999999999998E-2</v>
      </c>
      <c r="AG295">
        <v>0.25</v>
      </c>
      <c r="AH295">
        <v>1.29</v>
      </c>
      <c r="AI295">
        <v>0.27200000000000002</v>
      </c>
      <c r="AJ295">
        <v>0.75</v>
      </c>
      <c r="AK295">
        <v>80</v>
      </c>
      <c r="AL295">
        <v>102</v>
      </c>
      <c r="AM295">
        <v>117</v>
      </c>
      <c r="AN295">
        <v>3.55</v>
      </c>
      <c r="AO295">
        <v>4.5599999999999996</v>
      </c>
      <c r="AP295">
        <v>-1.01</v>
      </c>
      <c r="AQ295">
        <v>5.2</v>
      </c>
      <c r="AR295">
        <v>5.43</v>
      </c>
      <c r="AS295" cm="1">
        <f t="array" ref="AS295:BA295">VLOOKUP(A295,plate_discipline_pitchers_2019!A:L,{3,4,5,6,7,8,9,10,11},FALSE)</f>
        <v>0.29799999999999999</v>
      </c>
      <c r="AT295">
        <v>0.68500000000000005</v>
      </c>
      <c r="AU295">
        <v>0.433</v>
      </c>
      <c r="AV295">
        <v>0.76</v>
      </c>
      <c r="AW295">
        <v>0.89400000000000002</v>
      </c>
      <c r="AX295">
        <v>0.83399999999999996</v>
      </c>
      <c r="AY295">
        <v>0.34899999999999998</v>
      </c>
      <c r="AZ295">
        <v>0.53600000000000003</v>
      </c>
      <c r="BA295">
        <v>7.1999999999999995E-2</v>
      </c>
      <c r="BB295" cm="1">
        <f t="array" ref="BB295:BP295">VLOOKUP(A295,pitchvalue_pitchers_2019!A:Q,{3,4,5,6,7,8,9,10,11,12,13,14,15,16,17},FALSE)</f>
        <v>-9.3000000000000007</v>
      </c>
      <c r="BC295">
        <v>-0.6</v>
      </c>
      <c r="BD295">
        <v>-3.4</v>
      </c>
      <c r="BE295">
        <v>-3.4</v>
      </c>
      <c r="BF295">
        <v>18.2</v>
      </c>
      <c r="BG295">
        <v>0</v>
      </c>
      <c r="BH295">
        <v>0</v>
      </c>
      <c r="BI295">
        <v>-0.66</v>
      </c>
      <c r="BJ295">
        <v>-3.04</v>
      </c>
      <c r="BK295">
        <v>-1.06</v>
      </c>
      <c r="BL295">
        <v>-3.6</v>
      </c>
      <c r="BM295">
        <v>2.17</v>
      </c>
      <c r="BN295">
        <v>0</v>
      </c>
      <c r="BO295">
        <v>0</v>
      </c>
      <c r="BP295">
        <v>13183</v>
      </c>
      <c r="BQ295" cm="1">
        <f t="array" ref="BQ295:CH295">VLOOKUP(A295,battedball_pitchers_2019!A:U,{3,4,5,6,7,8,9,10,11,12,13,14,15,16,17,18,19,20},FALSE)</f>
        <v>0.27200000000000002</v>
      </c>
      <c r="BR295">
        <v>1.1000000000000001</v>
      </c>
      <c r="BS295">
        <v>0.23599999999999999</v>
      </c>
      <c r="BT295">
        <v>0.40100000000000002</v>
      </c>
      <c r="BU295">
        <v>0.36299999999999999</v>
      </c>
      <c r="BV295">
        <v>6.6000000000000003E-2</v>
      </c>
      <c r="BW295">
        <v>0.11</v>
      </c>
      <c r="BX295">
        <v>80</v>
      </c>
      <c r="BY295">
        <v>4.51</v>
      </c>
      <c r="BZ295">
        <v>1045</v>
      </c>
      <c r="CA295">
        <v>1635</v>
      </c>
      <c r="CB295">
        <v>2680</v>
      </c>
      <c r="CC295">
        <v>0.38800000000000001</v>
      </c>
      <c r="CD295">
        <v>0.35499999999999998</v>
      </c>
      <c r="CE295">
        <v>0.25800000000000001</v>
      </c>
      <c r="CF295">
        <v>0.151</v>
      </c>
      <c r="CG295">
        <v>0.46700000000000003</v>
      </c>
      <c r="CH295">
        <v>0.38200000000000001</v>
      </c>
      <c r="CI295" cm="1">
        <f t="array" ref="CI295:CS295">VLOOKUP(A295,verticalmove_pitchers_2019!A:N,{3,4,5,6,7,8,9,10,11,12,13},FALSE)</f>
        <v>159.19999999999999</v>
      </c>
      <c r="CJ295">
        <v>6.9</v>
      </c>
      <c r="CK295">
        <v>6.7</v>
      </c>
      <c r="CL295">
        <v>0</v>
      </c>
      <c r="CM295">
        <v>6.8</v>
      </c>
      <c r="CN295">
        <v>4</v>
      </c>
      <c r="CO295">
        <v>0</v>
      </c>
      <c r="CP295">
        <v>-5.9</v>
      </c>
      <c r="CQ295">
        <v>0</v>
      </c>
      <c r="CR295">
        <v>0</v>
      </c>
      <c r="CS295">
        <v>0</v>
      </c>
      <c r="CT295" cm="1">
        <f t="array" ref="CT295:DD295">VLOOKUP(A295,velocity_pitchers_2019!A:N,{3,4,5,6,7,8,9,10,11,12,13},FALSE)</f>
        <v>159.19999999999999</v>
      </c>
      <c r="CU295">
        <v>86.9</v>
      </c>
      <c r="CV295">
        <v>87.2</v>
      </c>
      <c r="CW295">
        <v>0</v>
      </c>
      <c r="CX295">
        <v>88.6</v>
      </c>
      <c r="CY295">
        <v>80.2</v>
      </c>
      <c r="CZ295">
        <v>81</v>
      </c>
      <c r="DA295">
        <v>75.900000000000006</v>
      </c>
      <c r="DB295">
        <v>0</v>
      </c>
      <c r="DC295">
        <v>0</v>
      </c>
      <c r="DD295">
        <v>0</v>
      </c>
    </row>
    <row r="296" spans="1:108" x14ac:dyDescent="0.3">
      <c r="A296" t="s">
        <v>283</v>
      </c>
      <c r="B296" t="str" cm="1">
        <f t="array" ref="B296:Y296">VLOOKUP(A296,standard_pitchers_2019!A:Y,{2,3,4,5,6,7,8,9,10,11,12,13,14,15,16,17,18,19,20,21,22,23,24,25},FALSE)</f>
        <v>Padres</v>
      </c>
      <c r="C296">
        <v>6</v>
      </c>
      <c r="D296">
        <v>11</v>
      </c>
      <c r="E296">
        <v>4.71</v>
      </c>
      <c r="F296">
        <v>46</v>
      </c>
      <c r="G296">
        <v>16</v>
      </c>
      <c r="H296">
        <v>0</v>
      </c>
      <c r="I296">
        <v>0</v>
      </c>
      <c r="J296">
        <v>0</v>
      </c>
      <c r="K296">
        <v>6</v>
      </c>
      <c r="L296">
        <v>1</v>
      </c>
      <c r="M296">
        <v>114.2</v>
      </c>
      <c r="N296">
        <v>487</v>
      </c>
      <c r="O296">
        <v>121</v>
      </c>
      <c r="P296">
        <v>61</v>
      </c>
      <c r="Q296">
        <v>60</v>
      </c>
      <c r="R296">
        <v>22</v>
      </c>
      <c r="S296">
        <v>22</v>
      </c>
      <c r="T296">
        <v>4</v>
      </c>
      <c r="U296">
        <v>7</v>
      </c>
      <c r="V296">
        <v>3</v>
      </c>
      <c r="W296">
        <v>1</v>
      </c>
      <c r="X296">
        <v>118</v>
      </c>
      <c r="Y296">
        <v>13799</v>
      </c>
      <c r="Z296" cm="1">
        <f t="array" ref="Z296:AR296">VLOOKUP(A296,advanced_pitchers_2019!A:Y,{3,4,5,6,7,8,9,10,11,12,13,14,15,16,17,18,19,20,21},FALSE)</f>
        <v>9.26</v>
      </c>
      <c r="AA296">
        <v>1.73</v>
      </c>
      <c r="AB296">
        <v>5.36</v>
      </c>
      <c r="AC296">
        <v>1.73</v>
      </c>
      <c r="AD296">
        <v>0.24199999999999999</v>
      </c>
      <c r="AE296">
        <v>4.4999999999999998E-2</v>
      </c>
      <c r="AF296">
        <v>0.19700000000000001</v>
      </c>
      <c r="AG296">
        <v>0.26400000000000001</v>
      </c>
      <c r="AH296">
        <v>1.25</v>
      </c>
      <c r="AI296">
        <v>0.311</v>
      </c>
      <c r="AJ296">
        <v>0.747</v>
      </c>
      <c r="AK296">
        <v>110</v>
      </c>
      <c r="AL296">
        <v>100</v>
      </c>
      <c r="AM296">
        <v>96</v>
      </c>
      <c r="AN296">
        <v>4.71</v>
      </c>
      <c r="AO296">
        <v>4.41</v>
      </c>
      <c r="AP296">
        <v>0.3</v>
      </c>
      <c r="AQ296">
        <v>4.2699999999999996</v>
      </c>
      <c r="AR296">
        <v>3.95</v>
      </c>
      <c r="AS296" cm="1">
        <f t="array" ref="AS296:BA296">VLOOKUP(A296,plate_discipline_pitchers_2019!A:L,{3,4,5,6,7,8,9,10,11},FALSE)</f>
        <v>0.32</v>
      </c>
      <c r="AT296">
        <v>0.69499999999999995</v>
      </c>
      <c r="AU296">
        <v>0.505</v>
      </c>
      <c r="AV296">
        <v>0.67200000000000004</v>
      </c>
      <c r="AW296">
        <v>0.84</v>
      </c>
      <c r="AX296">
        <v>0.78600000000000003</v>
      </c>
      <c r="AY296">
        <v>0.49299999999999999</v>
      </c>
      <c r="AZ296">
        <v>0.67600000000000005</v>
      </c>
      <c r="BA296">
        <v>0.108</v>
      </c>
      <c r="BB296" cm="1">
        <f t="array" ref="BB296:BP296">VLOOKUP(A296,pitchvalue_pitchers_2019!A:Q,{3,4,5,6,7,8,9,10,11,12,13,14,15,16,17},FALSE)</f>
        <v>-9.5</v>
      </c>
      <c r="BC296">
        <v>-0.8</v>
      </c>
      <c r="BD296">
        <v>0</v>
      </c>
      <c r="BE296">
        <v>10.1</v>
      </c>
      <c r="BF296">
        <v>-2.1</v>
      </c>
      <c r="BG296">
        <v>0</v>
      </c>
      <c r="BH296">
        <v>0</v>
      </c>
      <c r="BI296">
        <v>-1.38</v>
      </c>
      <c r="BJ296">
        <v>-0.15</v>
      </c>
      <c r="BK296">
        <v>0</v>
      </c>
      <c r="BL296">
        <v>3.25</v>
      </c>
      <c r="BM296">
        <v>-0.83</v>
      </c>
      <c r="BN296">
        <v>0</v>
      </c>
      <c r="BO296">
        <v>0</v>
      </c>
      <c r="BP296">
        <v>13799</v>
      </c>
      <c r="BQ296" cm="1">
        <f t="array" ref="BQ296:CH296">VLOOKUP(A296,battedball_pitchers_2019!A:U,{3,4,5,6,7,8,9,10,11,12,13,14,15,16,17,18,19,20},FALSE)</f>
        <v>0.311</v>
      </c>
      <c r="BR296">
        <v>0.9</v>
      </c>
      <c r="BS296">
        <v>0.22500000000000001</v>
      </c>
      <c r="BT296">
        <v>0.36599999999999999</v>
      </c>
      <c r="BU296">
        <v>0.40799999999999997</v>
      </c>
      <c r="BV296">
        <v>0.10299999999999999</v>
      </c>
      <c r="BW296">
        <v>0.16200000000000001</v>
      </c>
      <c r="BX296">
        <v>56</v>
      </c>
      <c r="BY296">
        <v>4.4000000000000004</v>
      </c>
      <c r="BZ296">
        <v>542</v>
      </c>
      <c r="CA296">
        <v>1247</v>
      </c>
      <c r="CB296">
        <v>1789</v>
      </c>
      <c r="CC296">
        <v>0.41799999999999998</v>
      </c>
      <c r="CD296">
        <v>0.34699999999999998</v>
      </c>
      <c r="CE296">
        <v>0.23499999999999999</v>
      </c>
      <c r="CF296">
        <v>0.17399999999999999</v>
      </c>
      <c r="CG296">
        <v>0.38500000000000001</v>
      </c>
      <c r="CH296">
        <v>0.441</v>
      </c>
      <c r="CI296" cm="1">
        <f t="array" ref="CI296:CS296">VLOOKUP(A296,verticalmove_pitchers_2019!A:N,{3,4,5,6,7,8,9,10,11,12,13},FALSE)</f>
        <v>114.2</v>
      </c>
      <c r="CJ296">
        <v>6.8</v>
      </c>
      <c r="CK296">
        <v>0</v>
      </c>
      <c r="CL296">
        <v>0</v>
      </c>
      <c r="CM296">
        <v>0</v>
      </c>
      <c r="CN296">
        <v>1.5</v>
      </c>
      <c r="CO296">
        <v>3.5</v>
      </c>
      <c r="CP296">
        <v>-1</v>
      </c>
      <c r="CQ296">
        <v>0</v>
      </c>
      <c r="CR296">
        <v>0</v>
      </c>
      <c r="CS296">
        <v>0</v>
      </c>
      <c r="CT296" cm="1">
        <f t="array" ref="CT296:DD296">VLOOKUP(A296,velocity_pitchers_2019!A:N,{3,4,5,6,7,8,9,10,11,12,13},FALSE)</f>
        <v>114.2</v>
      </c>
      <c r="CU296">
        <v>91.7</v>
      </c>
      <c r="CV296">
        <v>0</v>
      </c>
      <c r="CW296">
        <v>0</v>
      </c>
      <c r="CX296">
        <v>0</v>
      </c>
      <c r="CY296">
        <v>84.6</v>
      </c>
      <c r="CZ296">
        <v>86.1</v>
      </c>
      <c r="DA296">
        <v>80.099999999999994</v>
      </c>
      <c r="DB296">
        <v>0</v>
      </c>
      <c r="DC296">
        <v>0</v>
      </c>
      <c r="DD296">
        <v>0</v>
      </c>
    </row>
    <row r="297" spans="1:108" x14ac:dyDescent="0.3">
      <c r="A297" t="s">
        <v>394</v>
      </c>
      <c r="B297" t="str" cm="1">
        <f t="array" ref="B297:Y297">VLOOKUP(A297,standard_pitchers_2019!A:Y,{2,3,4,5,6,7,8,9,10,11,12,13,14,15,16,17,18,19,20,21,22,23,24,25},FALSE)</f>
        <v>- - -</v>
      </c>
      <c r="C297">
        <v>4</v>
      </c>
      <c r="D297">
        <v>2</v>
      </c>
      <c r="E297">
        <v>7.28</v>
      </c>
      <c r="F297">
        <v>25</v>
      </c>
      <c r="G297">
        <v>4</v>
      </c>
      <c r="H297">
        <v>0</v>
      </c>
      <c r="I297">
        <v>0</v>
      </c>
      <c r="J297">
        <v>1</v>
      </c>
      <c r="K297">
        <v>0</v>
      </c>
      <c r="L297">
        <v>0</v>
      </c>
      <c r="M297">
        <v>55.2</v>
      </c>
      <c r="N297">
        <v>259</v>
      </c>
      <c r="O297">
        <v>78</v>
      </c>
      <c r="P297">
        <v>45</v>
      </c>
      <c r="Q297">
        <v>45</v>
      </c>
      <c r="R297">
        <v>11</v>
      </c>
      <c r="S297">
        <v>25</v>
      </c>
      <c r="T297">
        <v>1</v>
      </c>
      <c r="U297">
        <v>0</v>
      </c>
      <c r="V297">
        <v>3</v>
      </c>
      <c r="W297">
        <v>0</v>
      </c>
      <c r="X297">
        <v>46</v>
      </c>
      <c r="Y297">
        <v>11694</v>
      </c>
      <c r="Z297" cm="1">
        <f t="array" ref="Z297:AR297">VLOOKUP(A297,advanced_pitchers_2019!A:Y,{3,4,5,6,7,8,9,10,11,12,13,14,15,16,17,18,19,20,21},FALSE)</f>
        <v>7.44</v>
      </c>
      <c r="AA297">
        <v>4.04</v>
      </c>
      <c r="AB297">
        <v>1.84</v>
      </c>
      <c r="AC297">
        <v>1.78</v>
      </c>
      <c r="AD297">
        <v>0.17799999999999999</v>
      </c>
      <c r="AE297">
        <v>9.7000000000000003E-2</v>
      </c>
      <c r="AF297">
        <v>8.1000000000000003E-2</v>
      </c>
      <c r="AG297">
        <v>0.33300000000000002</v>
      </c>
      <c r="AH297">
        <v>1.85</v>
      </c>
      <c r="AI297">
        <v>0.379</v>
      </c>
      <c r="AJ297">
        <v>0.66200000000000003</v>
      </c>
      <c r="AK297">
        <v>167</v>
      </c>
      <c r="AL297">
        <v>122</v>
      </c>
      <c r="AM297">
        <v>119</v>
      </c>
      <c r="AN297">
        <v>7.28</v>
      </c>
      <c r="AO297">
        <v>5.48</v>
      </c>
      <c r="AP297">
        <v>1.8</v>
      </c>
      <c r="AQ297">
        <v>5.34</v>
      </c>
      <c r="AR297">
        <v>5.09</v>
      </c>
      <c r="AS297" cm="1">
        <f t="array" ref="AS297:BA297">VLOOKUP(A297,plate_discipline_pitchers_2019!A:L,{3,4,5,6,7,8,9,10,11},FALSE)</f>
        <v>0.34</v>
      </c>
      <c r="AT297">
        <v>0.67200000000000004</v>
      </c>
      <c r="AU297">
        <v>0.47099999999999997</v>
      </c>
      <c r="AV297">
        <v>0.754</v>
      </c>
      <c r="AW297">
        <v>0.871</v>
      </c>
      <c r="AX297">
        <v>0.82</v>
      </c>
      <c r="AY297">
        <v>0.39500000000000002</v>
      </c>
      <c r="AZ297">
        <v>0.55200000000000005</v>
      </c>
      <c r="BA297">
        <v>8.5000000000000006E-2</v>
      </c>
      <c r="BB297" cm="1">
        <f t="array" ref="BB297:BP297">VLOOKUP(A297,pitchvalue_pitchers_2019!A:Q,{3,4,5,6,7,8,9,10,11,12,13,14,15,16,17},FALSE)</f>
        <v>-9.6</v>
      </c>
      <c r="BC297">
        <v>-1.6</v>
      </c>
      <c r="BD297">
        <v>-1.5</v>
      </c>
      <c r="BE297">
        <v>-2.6</v>
      </c>
      <c r="BF297">
        <v>-3.3</v>
      </c>
      <c r="BG297">
        <v>0</v>
      </c>
      <c r="BH297">
        <v>0</v>
      </c>
      <c r="BI297">
        <v>-1.92</v>
      </c>
      <c r="BJ297">
        <v>-11.77</v>
      </c>
      <c r="BK297">
        <v>-1.04</v>
      </c>
      <c r="BL297">
        <v>-1.34</v>
      </c>
      <c r="BM297">
        <v>-1.89</v>
      </c>
      <c r="BN297">
        <v>0</v>
      </c>
      <c r="BO297">
        <v>0</v>
      </c>
      <c r="BP297">
        <v>11694</v>
      </c>
      <c r="BQ297" cm="1">
        <f t="array" ref="BQ297:CH297">VLOOKUP(A297,battedball_pitchers_2019!A:U,{3,4,5,6,7,8,9,10,11,12,13,14,15,16,17,18,19,20},FALSE)</f>
        <v>0.379</v>
      </c>
      <c r="BR297">
        <v>1.1000000000000001</v>
      </c>
      <c r="BS297">
        <v>0.214</v>
      </c>
      <c r="BT297">
        <v>0.41199999999999998</v>
      </c>
      <c r="BU297">
        <v>0.374</v>
      </c>
      <c r="BV297">
        <v>8.7999999999999995E-2</v>
      </c>
      <c r="BW297">
        <v>0.16200000000000001</v>
      </c>
      <c r="BX297">
        <v>28</v>
      </c>
      <c r="BY297">
        <v>4.53</v>
      </c>
      <c r="BZ297">
        <v>382</v>
      </c>
      <c r="CA297">
        <v>645</v>
      </c>
      <c r="CB297">
        <v>1027</v>
      </c>
      <c r="CC297">
        <v>0.41499999999999998</v>
      </c>
      <c r="CD297">
        <v>0.31900000000000001</v>
      </c>
      <c r="CE297">
        <v>0.26600000000000001</v>
      </c>
      <c r="CF297">
        <v>0.186</v>
      </c>
      <c r="CG297">
        <v>0.42</v>
      </c>
      <c r="CH297">
        <v>0.39400000000000002</v>
      </c>
      <c r="CI297" cm="1">
        <f t="array" ref="CI297:CS297">VLOOKUP(A297,verticalmove_pitchers_2019!A:N,{3,4,5,6,7,8,9,10,11,12,13},FALSE)</f>
        <v>55.2</v>
      </c>
      <c r="CJ297">
        <v>7.8</v>
      </c>
      <c r="CK297">
        <v>4.4000000000000004</v>
      </c>
      <c r="CL297">
        <v>0</v>
      </c>
      <c r="CM297">
        <v>3.9</v>
      </c>
      <c r="CN297">
        <v>3.2</v>
      </c>
      <c r="CO297">
        <v>-1.9</v>
      </c>
      <c r="CP297">
        <v>-6.9</v>
      </c>
      <c r="CQ297">
        <v>0</v>
      </c>
      <c r="CR297">
        <v>0</v>
      </c>
      <c r="CS297">
        <v>0</v>
      </c>
      <c r="CT297" cm="1">
        <f t="array" ref="CT297:DD297">VLOOKUP(A297,velocity_pitchers_2019!A:N,{3,4,5,6,7,8,9,10,11,12,13},FALSE)</f>
        <v>55.2</v>
      </c>
      <c r="CU297">
        <v>92.2</v>
      </c>
      <c r="CV297">
        <v>90.7</v>
      </c>
      <c r="CW297">
        <v>0</v>
      </c>
      <c r="CX297">
        <v>90.5</v>
      </c>
      <c r="CY297">
        <v>85.6</v>
      </c>
      <c r="CZ297">
        <v>81.900000000000006</v>
      </c>
      <c r="DA297">
        <v>80.400000000000006</v>
      </c>
      <c r="DB297">
        <v>0</v>
      </c>
      <c r="DC297">
        <v>0</v>
      </c>
      <c r="DD297">
        <v>0</v>
      </c>
    </row>
    <row r="298" spans="1:108" x14ac:dyDescent="0.3">
      <c r="A298" t="s">
        <v>255</v>
      </c>
      <c r="B298" t="str" cm="1">
        <f t="array" ref="B298:Y298">VLOOKUP(A298,standard_pitchers_2019!A:Y,{2,3,4,5,6,7,8,9,10,11,12,13,14,15,16,17,18,19,20,21,22,23,24,25},FALSE)</f>
        <v>- - -</v>
      </c>
      <c r="C298">
        <v>7</v>
      </c>
      <c r="D298">
        <v>9</v>
      </c>
      <c r="E298">
        <v>4.51</v>
      </c>
      <c r="F298">
        <v>30</v>
      </c>
      <c r="G298">
        <v>29</v>
      </c>
      <c r="H298">
        <v>1</v>
      </c>
      <c r="I298">
        <v>1</v>
      </c>
      <c r="J298">
        <v>0</v>
      </c>
      <c r="K298">
        <v>0</v>
      </c>
      <c r="L298">
        <v>0</v>
      </c>
      <c r="M298">
        <v>149.19999999999999</v>
      </c>
      <c r="N298">
        <v>649</v>
      </c>
      <c r="O298">
        <v>141</v>
      </c>
      <c r="P298">
        <v>84</v>
      </c>
      <c r="Q298">
        <v>75</v>
      </c>
      <c r="R298">
        <v>21</v>
      </c>
      <c r="S298">
        <v>63</v>
      </c>
      <c r="T298">
        <v>2</v>
      </c>
      <c r="U298">
        <v>6</v>
      </c>
      <c r="V298">
        <v>5</v>
      </c>
      <c r="W298">
        <v>0</v>
      </c>
      <c r="X298">
        <v>124</v>
      </c>
      <c r="Y298">
        <v>8044</v>
      </c>
      <c r="Z298" cm="1">
        <f t="array" ref="Z298:AR298">VLOOKUP(A298,advanced_pitchers_2019!A:Y,{3,4,5,6,7,8,9,10,11,12,13,14,15,16,17,18,19,20,21},FALSE)</f>
        <v>7.46</v>
      </c>
      <c r="AA298">
        <v>3.79</v>
      </c>
      <c r="AB298">
        <v>1.97</v>
      </c>
      <c r="AC298">
        <v>1.26</v>
      </c>
      <c r="AD298">
        <v>0.191</v>
      </c>
      <c r="AE298">
        <v>9.7000000000000003E-2</v>
      </c>
      <c r="AF298">
        <v>9.4E-2</v>
      </c>
      <c r="AG298">
        <v>0.24299999999999999</v>
      </c>
      <c r="AH298">
        <v>1.36</v>
      </c>
      <c r="AI298">
        <v>0.27600000000000002</v>
      </c>
      <c r="AJ298">
        <v>0.69799999999999995</v>
      </c>
      <c r="AK298">
        <v>106</v>
      </c>
      <c r="AL298">
        <v>108</v>
      </c>
      <c r="AM298">
        <v>123</v>
      </c>
      <c r="AN298">
        <v>4.51</v>
      </c>
      <c r="AO298">
        <v>4.76</v>
      </c>
      <c r="AP298">
        <v>-0.25</v>
      </c>
      <c r="AQ298">
        <v>5.44</v>
      </c>
      <c r="AR298">
        <v>5.25</v>
      </c>
      <c r="AS298" cm="1">
        <f t="array" ref="AS298:BA298">VLOOKUP(A298,plate_discipline_pitchers_2019!A:L,{3,4,5,6,7,8,9,10,11},FALSE)</f>
        <v>0.308</v>
      </c>
      <c r="AT298">
        <v>0.64900000000000002</v>
      </c>
      <c r="AU298">
        <v>0.43099999999999999</v>
      </c>
      <c r="AV298">
        <v>0.69899999999999995</v>
      </c>
      <c r="AW298">
        <v>0.83599999999999997</v>
      </c>
      <c r="AX298">
        <v>0.77400000000000002</v>
      </c>
      <c r="AY298">
        <v>0.36099999999999999</v>
      </c>
      <c r="AZ298">
        <v>0.58099999999999996</v>
      </c>
      <c r="BA298">
        <v>9.7000000000000003E-2</v>
      </c>
      <c r="BB298" cm="1">
        <f t="array" ref="BB298:BP298">VLOOKUP(A298,pitchvalue_pitchers_2019!A:Q,{3,4,5,6,7,8,9,10,11,12,13,14,15,16,17},FALSE)</f>
        <v>-9.9</v>
      </c>
      <c r="BC298">
        <v>0</v>
      </c>
      <c r="BD298">
        <v>0</v>
      </c>
      <c r="BE298">
        <v>2.4</v>
      </c>
      <c r="BF298">
        <v>7.3</v>
      </c>
      <c r="BG298">
        <v>0</v>
      </c>
      <c r="BH298">
        <v>0</v>
      </c>
      <c r="BI298">
        <v>-0.8</v>
      </c>
      <c r="BJ298">
        <v>0</v>
      </c>
      <c r="BK298">
        <v>0</v>
      </c>
      <c r="BL298">
        <v>0.62</v>
      </c>
      <c r="BM298">
        <v>0.82</v>
      </c>
      <c r="BN298">
        <v>0</v>
      </c>
      <c r="BO298">
        <v>0</v>
      </c>
      <c r="BP298">
        <v>8044</v>
      </c>
      <c r="BQ298" cm="1">
        <f t="array" ref="BQ298:CH298">VLOOKUP(A298,battedball_pitchers_2019!A:U,{3,4,5,6,7,8,9,10,11,12,13,14,15,16,17,18,19,20},FALSE)</f>
        <v>0.27600000000000002</v>
      </c>
      <c r="BR298">
        <v>0.91</v>
      </c>
      <c r="BS298">
        <v>0.191</v>
      </c>
      <c r="BT298">
        <v>0.38500000000000001</v>
      </c>
      <c r="BU298">
        <v>0.42299999999999999</v>
      </c>
      <c r="BV298">
        <v>0.154</v>
      </c>
      <c r="BW298">
        <v>0.112</v>
      </c>
      <c r="BX298">
        <v>82</v>
      </c>
      <c r="BY298">
        <v>4.93</v>
      </c>
      <c r="BZ298">
        <v>983</v>
      </c>
      <c r="CA298">
        <v>1522</v>
      </c>
      <c r="CB298">
        <v>2505</v>
      </c>
      <c r="CC298">
        <v>0.47799999999999998</v>
      </c>
      <c r="CD298">
        <v>0.32700000000000001</v>
      </c>
      <c r="CE298">
        <v>0.19500000000000001</v>
      </c>
      <c r="CF298">
        <v>0.182</v>
      </c>
      <c r="CG298">
        <v>0.42299999999999999</v>
      </c>
      <c r="CH298">
        <v>0.39500000000000002</v>
      </c>
      <c r="CI298" cm="1">
        <f t="array" ref="CI298:CS298">VLOOKUP(A298,verticalmove_pitchers_2019!A:N,{3,4,5,6,7,8,9,10,11,12,13},FALSE)</f>
        <v>149.19999999999999</v>
      </c>
      <c r="CJ298">
        <v>8.3000000000000007</v>
      </c>
      <c r="CK298">
        <v>0</v>
      </c>
      <c r="CL298">
        <v>0</v>
      </c>
      <c r="CM298">
        <v>5.5</v>
      </c>
      <c r="CN298">
        <v>4.4000000000000004</v>
      </c>
      <c r="CO298">
        <v>0</v>
      </c>
      <c r="CP298">
        <v>-6.1</v>
      </c>
      <c r="CQ298">
        <v>0</v>
      </c>
      <c r="CR298">
        <v>0</v>
      </c>
      <c r="CS298">
        <v>0</v>
      </c>
      <c r="CT298" cm="1">
        <f t="array" ref="CT298:DD298">VLOOKUP(A298,velocity_pitchers_2019!A:N,{3,4,5,6,7,8,9,10,11,12,13},FALSE)</f>
        <v>149.19999999999999</v>
      </c>
      <c r="CU298">
        <v>84.5</v>
      </c>
      <c r="CV298">
        <v>0</v>
      </c>
      <c r="CW298">
        <v>0</v>
      </c>
      <c r="CX298">
        <v>84.3</v>
      </c>
      <c r="CY298">
        <v>78.900000000000006</v>
      </c>
      <c r="CZ298">
        <v>0</v>
      </c>
      <c r="DA298">
        <v>70.7</v>
      </c>
      <c r="DB298">
        <v>0</v>
      </c>
      <c r="DC298">
        <v>0</v>
      </c>
      <c r="DD298">
        <v>0</v>
      </c>
    </row>
    <row r="299" spans="1:108" x14ac:dyDescent="0.3">
      <c r="A299" t="s">
        <v>208</v>
      </c>
      <c r="B299" t="str" cm="1">
        <f t="array" ref="B299:Y299">VLOOKUP(A299,standard_pitchers_2019!A:Y,{2,3,4,5,6,7,8,9,10,11,12,13,14,15,16,17,18,19,20,21,22,23,24,25},FALSE)</f>
        <v>Padres</v>
      </c>
      <c r="C299">
        <v>3</v>
      </c>
      <c r="D299">
        <v>5</v>
      </c>
      <c r="E299">
        <v>4.07</v>
      </c>
      <c r="F299">
        <v>14</v>
      </c>
      <c r="G299">
        <v>14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73</v>
      </c>
      <c r="N299">
        <v>313</v>
      </c>
      <c r="O299">
        <v>62</v>
      </c>
      <c r="P299">
        <v>38</v>
      </c>
      <c r="Q299">
        <v>33</v>
      </c>
      <c r="R299">
        <v>12</v>
      </c>
      <c r="S299">
        <v>30</v>
      </c>
      <c r="T299">
        <v>0</v>
      </c>
      <c r="U299">
        <v>5</v>
      </c>
      <c r="V299">
        <v>6</v>
      </c>
      <c r="W299">
        <v>0</v>
      </c>
      <c r="X299">
        <v>105</v>
      </c>
      <c r="Y299">
        <v>17186</v>
      </c>
      <c r="Z299" cm="1">
        <f t="array" ref="Z299:AR299">VLOOKUP(A299,advanced_pitchers_2019!A:Y,{3,4,5,6,7,8,9,10,11,12,13,14,15,16,17,18,19,20,21},FALSE)</f>
        <v>12.95</v>
      </c>
      <c r="AA299">
        <v>3.7</v>
      </c>
      <c r="AB299">
        <v>3.5</v>
      </c>
      <c r="AC299">
        <v>1.48</v>
      </c>
      <c r="AD299">
        <v>0.33500000000000002</v>
      </c>
      <c r="AE299">
        <v>9.6000000000000002E-2</v>
      </c>
      <c r="AF299">
        <v>0.24</v>
      </c>
      <c r="AG299">
        <v>0.223</v>
      </c>
      <c r="AH299">
        <v>1.26</v>
      </c>
      <c r="AI299">
        <v>0.311</v>
      </c>
      <c r="AJ299">
        <v>0.73599999999999999</v>
      </c>
      <c r="AK299">
        <v>95</v>
      </c>
      <c r="AL299">
        <v>89</v>
      </c>
      <c r="AM299">
        <v>77</v>
      </c>
      <c r="AN299">
        <v>4.07</v>
      </c>
      <c r="AO299">
        <v>3.91</v>
      </c>
      <c r="AP299">
        <v>0.16</v>
      </c>
      <c r="AQ299">
        <v>3.44</v>
      </c>
      <c r="AR299">
        <v>3.61</v>
      </c>
      <c r="AS299" cm="1">
        <f t="array" ref="AS299:BA299">VLOOKUP(A299,plate_discipline_pitchers_2019!A:L,{3,4,5,6,7,8,9,10,11},FALSE)</f>
        <v>0.315</v>
      </c>
      <c r="AT299">
        <v>0.65300000000000002</v>
      </c>
      <c r="AU299">
        <v>0.46100000000000002</v>
      </c>
      <c r="AV299">
        <v>0.443</v>
      </c>
      <c r="AW299">
        <v>0.85599999999999998</v>
      </c>
      <c r="AX299">
        <v>0.69499999999999995</v>
      </c>
      <c r="AY299">
        <v>0.43099999999999999</v>
      </c>
      <c r="AZ299">
        <v>0.60099999999999998</v>
      </c>
      <c r="BA299">
        <v>0.14000000000000001</v>
      </c>
      <c r="BB299" cm="1">
        <f t="array" ref="BB299:BP299">VLOOKUP(A299,pitchvalue_pitchers_2019!A:Q,{3,4,5,6,7,8,9,10,11,12,13,14,15,16,17},FALSE)</f>
        <v>-9.9</v>
      </c>
      <c r="BC299">
        <v>12.3</v>
      </c>
      <c r="BD299">
        <v>0</v>
      </c>
      <c r="BE299">
        <v>0</v>
      </c>
      <c r="BF299">
        <v>0.1</v>
      </c>
      <c r="BG299">
        <v>0</v>
      </c>
      <c r="BH299">
        <v>0</v>
      </c>
      <c r="BI299">
        <v>-1.47</v>
      </c>
      <c r="BJ299">
        <v>2.27</v>
      </c>
      <c r="BK299">
        <v>0</v>
      </c>
      <c r="BL299">
        <v>0</v>
      </c>
      <c r="BM299">
        <v>0.83</v>
      </c>
      <c r="BN299">
        <v>0</v>
      </c>
      <c r="BO299">
        <v>0</v>
      </c>
      <c r="BP299">
        <v>17186</v>
      </c>
      <c r="BQ299" cm="1">
        <f t="array" ref="BQ299:CH299">VLOOKUP(A299,battedball_pitchers_2019!A:U,{3,4,5,6,7,8,9,10,11,12,13,14,15,16,17,18,19,20},FALSE)</f>
        <v>0.311</v>
      </c>
      <c r="BR299">
        <v>1</v>
      </c>
      <c r="BS299">
        <v>0.27400000000000002</v>
      </c>
      <c r="BT299">
        <v>0.36299999999999999</v>
      </c>
      <c r="BU299">
        <v>0.36299999999999999</v>
      </c>
      <c r="BV299">
        <v>0.115</v>
      </c>
      <c r="BW299">
        <v>0.19700000000000001</v>
      </c>
      <c r="BX299">
        <v>37</v>
      </c>
      <c r="BY299">
        <v>4.5599999999999996</v>
      </c>
      <c r="BZ299">
        <v>439</v>
      </c>
      <c r="CA299">
        <v>794</v>
      </c>
      <c r="CB299">
        <v>1233</v>
      </c>
      <c r="CC299">
        <v>0.34100000000000003</v>
      </c>
      <c r="CD299">
        <v>0.38200000000000001</v>
      </c>
      <c r="CE299">
        <v>0.27700000000000002</v>
      </c>
      <c r="CF299">
        <v>0.191</v>
      </c>
      <c r="CG299">
        <v>0.45100000000000001</v>
      </c>
      <c r="CH299">
        <v>0.35799999999999998</v>
      </c>
      <c r="CI299" cm="1">
        <f t="array" ref="CI299:CS299">VLOOKUP(A299,verticalmove_pitchers_2019!A:N,{3,4,5,6,7,8,9,10,11,12,13},FALSE)</f>
        <v>73</v>
      </c>
      <c r="CJ299">
        <v>8.3000000000000007</v>
      </c>
      <c r="CK299">
        <v>0</v>
      </c>
      <c r="CL299">
        <v>0</v>
      </c>
      <c r="CM299">
        <v>7.5</v>
      </c>
      <c r="CN299">
        <v>5.7</v>
      </c>
      <c r="CO299">
        <v>-0.4</v>
      </c>
      <c r="CP299">
        <v>0</v>
      </c>
      <c r="CQ299">
        <v>0</v>
      </c>
      <c r="CR299">
        <v>0</v>
      </c>
      <c r="CS299">
        <v>0</v>
      </c>
      <c r="CT299" cm="1">
        <f t="array" ref="CT299:DD299">VLOOKUP(A299,velocity_pitchers_2019!A:N,{3,4,5,6,7,8,9,10,11,12,13},FALSE)</f>
        <v>73</v>
      </c>
      <c r="CU299">
        <v>96.1</v>
      </c>
      <c r="CV299">
        <v>0</v>
      </c>
      <c r="CW299">
        <v>0</v>
      </c>
      <c r="CX299">
        <v>96.4</v>
      </c>
      <c r="CY299">
        <v>92.3</v>
      </c>
      <c r="CZ299">
        <v>85.8</v>
      </c>
      <c r="DA299">
        <v>0</v>
      </c>
      <c r="DB299">
        <v>0</v>
      </c>
      <c r="DC299">
        <v>0</v>
      </c>
      <c r="DD299">
        <v>0</v>
      </c>
    </row>
    <row r="300" spans="1:108" x14ac:dyDescent="0.3">
      <c r="A300" t="s">
        <v>303</v>
      </c>
      <c r="B300" t="str" cm="1">
        <f t="array" ref="B300:Y300">VLOOKUP(A300,standard_pitchers_2019!A:Y,{2,3,4,5,6,7,8,9,10,11,12,13,14,15,16,17,18,19,20,21,22,23,24,25},FALSE)</f>
        <v>Blue Jays</v>
      </c>
      <c r="C300">
        <v>1</v>
      </c>
      <c r="D300">
        <v>2</v>
      </c>
      <c r="E300">
        <v>4.9000000000000004</v>
      </c>
      <c r="F300">
        <v>58</v>
      </c>
      <c r="G300">
        <v>4</v>
      </c>
      <c r="H300">
        <v>0</v>
      </c>
      <c r="I300">
        <v>0</v>
      </c>
      <c r="J300">
        <v>5</v>
      </c>
      <c r="K300">
        <v>8</v>
      </c>
      <c r="L300">
        <v>1</v>
      </c>
      <c r="M300">
        <v>60.2</v>
      </c>
      <c r="N300">
        <v>285</v>
      </c>
      <c r="O300">
        <v>61</v>
      </c>
      <c r="P300">
        <v>36</v>
      </c>
      <c r="Q300">
        <v>33</v>
      </c>
      <c r="R300">
        <v>8</v>
      </c>
      <c r="S300">
        <v>40</v>
      </c>
      <c r="T300">
        <v>3</v>
      </c>
      <c r="U300">
        <v>3</v>
      </c>
      <c r="V300">
        <v>7</v>
      </c>
      <c r="W300">
        <v>0</v>
      </c>
      <c r="X300">
        <v>67</v>
      </c>
      <c r="Y300">
        <v>13133</v>
      </c>
      <c r="Z300" cm="1">
        <f t="array" ref="Z300:AR300">VLOOKUP(A300,advanced_pitchers_2019!A:Y,{3,4,5,6,7,8,9,10,11,12,13,14,15,16,17,18,19,20,21},FALSE)</f>
        <v>9.94</v>
      </c>
      <c r="AA300">
        <v>5.93</v>
      </c>
      <c r="AB300">
        <v>1.68</v>
      </c>
      <c r="AC300">
        <v>1.19</v>
      </c>
      <c r="AD300">
        <v>0.23499999999999999</v>
      </c>
      <c r="AE300">
        <v>0.14000000000000001</v>
      </c>
      <c r="AF300">
        <v>9.5000000000000001E-2</v>
      </c>
      <c r="AG300">
        <v>0.252</v>
      </c>
      <c r="AH300">
        <v>1.66</v>
      </c>
      <c r="AI300">
        <v>0.317</v>
      </c>
      <c r="AJ300">
        <v>0.73299999999999998</v>
      </c>
      <c r="AK300">
        <v>106</v>
      </c>
      <c r="AL300">
        <v>104</v>
      </c>
      <c r="AM300">
        <v>105</v>
      </c>
      <c r="AN300">
        <v>4.9000000000000004</v>
      </c>
      <c r="AO300">
        <v>4.8499999999999996</v>
      </c>
      <c r="AP300">
        <v>0.05</v>
      </c>
      <c r="AQ300">
        <v>4.8</v>
      </c>
      <c r="AR300">
        <v>4.82</v>
      </c>
      <c r="AS300" cm="1">
        <f t="array" ref="AS300:BA300">VLOOKUP(A300,plate_discipline_pitchers_2019!A:L,{3,4,5,6,7,8,9,10,11},FALSE)</f>
        <v>0.27600000000000002</v>
      </c>
      <c r="AT300">
        <v>0.63800000000000001</v>
      </c>
      <c r="AU300">
        <v>0.41899999999999998</v>
      </c>
      <c r="AV300">
        <v>0.55500000000000005</v>
      </c>
      <c r="AW300">
        <v>0.84299999999999997</v>
      </c>
      <c r="AX300">
        <v>0.72799999999999998</v>
      </c>
      <c r="AY300">
        <v>0.39400000000000002</v>
      </c>
      <c r="AZ300">
        <v>0.59299999999999997</v>
      </c>
      <c r="BA300">
        <v>0.114</v>
      </c>
      <c r="BB300" cm="1">
        <f t="array" ref="BB300:BP300">VLOOKUP(A300,pitchvalue_pitchers_2019!A:Q,{3,4,5,6,7,8,9,10,11,12,13,14,15,16,17},FALSE)</f>
        <v>-10.1</v>
      </c>
      <c r="BC300">
        <v>-1.1000000000000001</v>
      </c>
      <c r="BD300">
        <v>0</v>
      </c>
      <c r="BE300">
        <v>4.5999999999999996</v>
      </c>
      <c r="BF300">
        <v>-1.9</v>
      </c>
      <c r="BG300">
        <v>0</v>
      </c>
      <c r="BH300">
        <v>0</v>
      </c>
      <c r="BI300">
        <v>-2.31</v>
      </c>
      <c r="BJ300">
        <v>-0.31</v>
      </c>
      <c r="BK300">
        <v>0</v>
      </c>
      <c r="BL300">
        <v>1.93</v>
      </c>
      <c r="BM300">
        <v>-1.23</v>
      </c>
      <c r="BN300">
        <v>0</v>
      </c>
      <c r="BO300">
        <v>0</v>
      </c>
      <c r="BP300">
        <v>13133</v>
      </c>
      <c r="BQ300" cm="1">
        <f t="array" ref="BQ300:CH300">VLOOKUP(A300,battedball_pitchers_2019!A:U,{3,4,5,6,7,8,9,10,11,12,13,14,15,16,17,18,19,20},FALSE)</f>
        <v>0.317</v>
      </c>
      <c r="BR300">
        <v>1.69</v>
      </c>
      <c r="BS300">
        <v>0.20300000000000001</v>
      </c>
      <c r="BT300">
        <v>0.5</v>
      </c>
      <c r="BU300">
        <v>0.29699999999999999</v>
      </c>
      <c r="BV300">
        <v>9.8000000000000004E-2</v>
      </c>
      <c r="BW300">
        <v>0.157</v>
      </c>
      <c r="BX300">
        <v>18</v>
      </c>
      <c r="BY300">
        <v>2.67</v>
      </c>
      <c r="BZ300">
        <v>478</v>
      </c>
      <c r="CA300">
        <v>716</v>
      </c>
      <c r="CB300">
        <v>1194</v>
      </c>
      <c r="CC300">
        <v>0.434</v>
      </c>
      <c r="CD300">
        <v>0.33700000000000002</v>
      </c>
      <c r="CE300">
        <v>0.22900000000000001</v>
      </c>
      <c r="CF300">
        <v>0.223</v>
      </c>
      <c r="CG300">
        <v>0.38900000000000001</v>
      </c>
      <c r="CH300">
        <v>0.38900000000000001</v>
      </c>
      <c r="CI300" cm="1">
        <f t="array" ref="CI300:CS300">VLOOKUP(A300,verticalmove_pitchers_2019!A:N,{3,4,5,6,7,8,9,10,11,12,13},FALSE)</f>
        <v>60.2</v>
      </c>
      <c r="CJ300">
        <v>8</v>
      </c>
      <c r="CK300">
        <v>0</v>
      </c>
      <c r="CL300">
        <v>0</v>
      </c>
      <c r="CM300">
        <v>0</v>
      </c>
      <c r="CN300">
        <v>5.2</v>
      </c>
      <c r="CO300">
        <v>-2.6</v>
      </c>
      <c r="CP300">
        <v>-6.9</v>
      </c>
      <c r="CQ300">
        <v>0</v>
      </c>
      <c r="CR300">
        <v>0</v>
      </c>
      <c r="CS300">
        <v>0</v>
      </c>
      <c r="CT300" cm="1">
        <f t="array" ref="CT300:DD300">VLOOKUP(A300,velocity_pitchers_2019!A:N,{3,4,5,6,7,8,9,10,11,12,13},FALSE)</f>
        <v>60.2</v>
      </c>
      <c r="CU300">
        <v>94.4</v>
      </c>
      <c r="CV300">
        <v>0</v>
      </c>
      <c r="CW300">
        <v>0</v>
      </c>
      <c r="CX300">
        <v>0</v>
      </c>
      <c r="CY300">
        <v>86.1</v>
      </c>
      <c r="CZ300">
        <v>84.9</v>
      </c>
      <c r="DA300">
        <v>77</v>
      </c>
      <c r="DB300">
        <v>0</v>
      </c>
      <c r="DC300">
        <v>0</v>
      </c>
      <c r="DD300">
        <v>0</v>
      </c>
    </row>
    <row r="301" spans="1:108" x14ac:dyDescent="0.3">
      <c r="A301" t="s">
        <v>383</v>
      </c>
      <c r="B301" t="str" cm="1">
        <f t="array" ref="B301:Y301">VLOOKUP(A301,standard_pitchers_2019!A:Y,{2,3,4,5,6,7,8,9,10,11,12,13,14,15,16,17,18,19,20,21,22,23,24,25},FALSE)</f>
        <v>Marlins</v>
      </c>
      <c r="C301">
        <v>0</v>
      </c>
      <c r="D301">
        <v>1</v>
      </c>
      <c r="E301">
        <v>6.59</v>
      </c>
      <c r="F301">
        <v>45</v>
      </c>
      <c r="G301">
        <v>0</v>
      </c>
      <c r="H301">
        <v>0</v>
      </c>
      <c r="I301">
        <v>0</v>
      </c>
      <c r="J301">
        <v>0</v>
      </c>
      <c r="K301">
        <v>3</v>
      </c>
      <c r="L301">
        <v>0</v>
      </c>
      <c r="M301">
        <v>68.099999999999994</v>
      </c>
      <c r="N301">
        <v>307</v>
      </c>
      <c r="O301">
        <v>87</v>
      </c>
      <c r="P301">
        <v>54</v>
      </c>
      <c r="Q301">
        <v>50</v>
      </c>
      <c r="R301">
        <v>15</v>
      </c>
      <c r="S301">
        <v>18</v>
      </c>
      <c r="T301">
        <v>2</v>
      </c>
      <c r="U301">
        <v>5</v>
      </c>
      <c r="V301">
        <v>2</v>
      </c>
      <c r="W301">
        <v>0</v>
      </c>
      <c r="X301">
        <v>63</v>
      </c>
      <c r="Y301">
        <v>13071</v>
      </c>
      <c r="Z301" cm="1">
        <f t="array" ref="Z301:AR301">VLOOKUP(A301,advanced_pitchers_2019!A:Y,{3,4,5,6,7,8,9,10,11,12,13,14,15,16,17,18,19,20,21},FALSE)</f>
        <v>8.3000000000000007</v>
      </c>
      <c r="AA301">
        <v>2.37</v>
      </c>
      <c r="AB301">
        <v>3.5</v>
      </c>
      <c r="AC301">
        <v>1.98</v>
      </c>
      <c r="AD301">
        <v>0.20499999999999999</v>
      </c>
      <c r="AE301">
        <v>5.8999999999999997E-2</v>
      </c>
      <c r="AF301">
        <v>0.14699999999999999</v>
      </c>
      <c r="AG301">
        <v>0.30599999999999999</v>
      </c>
      <c r="AH301">
        <v>1.54</v>
      </c>
      <c r="AI301">
        <v>0.35</v>
      </c>
      <c r="AJ301">
        <v>0.629</v>
      </c>
      <c r="AK301">
        <v>157</v>
      </c>
      <c r="AL301">
        <v>122</v>
      </c>
      <c r="AM301">
        <v>109</v>
      </c>
      <c r="AN301">
        <v>6.59</v>
      </c>
      <c r="AO301">
        <v>5.23</v>
      </c>
      <c r="AP301">
        <v>1.35</v>
      </c>
      <c r="AQ301">
        <v>4.83</v>
      </c>
      <c r="AR301">
        <v>4.25</v>
      </c>
      <c r="AS301" cm="1">
        <f t="array" ref="AS301:BA301">VLOOKUP(A301,plate_discipline_pitchers_2019!A:L,{3,4,5,6,7,8,9,10,11},FALSE)</f>
        <v>0.313</v>
      </c>
      <c r="AT301">
        <v>0.72</v>
      </c>
      <c r="AU301">
        <v>0.504</v>
      </c>
      <c r="AV301">
        <v>0.65400000000000003</v>
      </c>
      <c r="AW301">
        <v>0.89200000000000002</v>
      </c>
      <c r="AX301">
        <v>0.81399999999999995</v>
      </c>
      <c r="AY301">
        <v>0.46899999999999997</v>
      </c>
      <c r="AZ301">
        <v>0.59299999999999997</v>
      </c>
      <c r="BA301">
        <v>9.4E-2</v>
      </c>
      <c r="BB301" cm="1">
        <f t="array" ref="BB301:BP301">VLOOKUP(A301,pitchvalue_pitchers_2019!A:Q,{3,4,5,6,7,8,9,10,11,12,13,14,15,16,17},FALSE)</f>
        <v>-10.199999999999999</v>
      </c>
      <c r="BC301">
        <v>-5.7</v>
      </c>
      <c r="BD301">
        <v>0</v>
      </c>
      <c r="BE301">
        <v>2.5</v>
      </c>
      <c r="BF301">
        <v>0.3</v>
      </c>
      <c r="BG301">
        <v>0</v>
      </c>
      <c r="BH301">
        <v>0</v>
      </c>
      <c r="BI301">
        <v>-1.74</v>
      </c>
      <c r="BJ301">
        <v>-2.19</v>
      </c>
      <c r="BK301">
        <v>0</v>
      </c>
      <c r="BL301">
        <v>0.98</v>
      </c>
      <c r="BM301">
        <v>0.57999999999999996</v>
      </c>
      <c r="BN301">
        <v>0</v>
      </c>
      <c r="BO301">
        <v>0</v>
      </c>
      <c r="BP301">
        <v>13071</v>
      </c>
      <c r="BQ301" cm="1">
        <f t="array" ref="BQ301:CH301">VLOOKUP(A301,battedball_pitchers_2019!A:U,{3,4,5,6,7,8,9,10,11,12,13,14,15,16,17,18,19,20},FALSE)</f>
        <v>0.35</v>
      </c>
      <c r="BR301">
        <v>0.95</v>
      </c>
      <c r="BS301">
        <v>0.251</v>
      </c>
      <c r="BT301">
        <v>0.36499999999999999</v>
      </c>
      <c r="BU301">
        <v>0.38400000000000001</v>
      </c>
      <c r="BV301">
        <v>0.06</v>
      </c>
      <c r="BW301">
        <v>0.17899999999999999</v>
      </c>
      <c r="BX301">
        <v>23</v>
      </c>
      <c r="BY301">
        <v>3.03</v>
      </c>
      <c r="BZ301">
        <v>380</v>
      </c>
      <c r="CA301">
        <v>771</v>
      </c>
      <c r="CB301">
        <v>1151</v>
      </c>
      <c r="CC301">
        <v>0.371</v>
      </c>
      <c r="CD301">
        <v>0.36199999999999999</v>
      </c>
      <c r="CE301">
        <v>0.26700000000000002</v>
      </c>
      <c r="CF301">
        <v>0.13600000000000001</v>
      </c>
      <c r="CG301">
        <v>0.42099999999999999</v>
      </c>
      <c r="CH301">
        <v>0.443</v>
      </c>
      <c r="CI301" cm="1">
        <f t="array" ref="CI301:CS301">VLOOKUP(A301,verticalmove_pitchers_2019!A:N,{3,4,5,6,7,8,9,10,11,12,13},FALSE)</f>
        <v>68.099999999999994</v>
      </c>
      <c r="CJ301">
        <v>8.9</v>
      </c>
      <c r="CK301">
        <v>0</v>
      </c>
      <c r="CL301">
        <v>0</v>
      </c>
      <c r="CM301">
        <v>7.1</v>
      </c>
      <c r="CN301">
        <v>5.4</v>
      </c>
      <c r="CO301">
        <v>3.1</v>
      </c>
      <c r="CP301">
        <v>-8</v>
      </c>
      <c r="CQ301">
        <v>0</v>
      </c>
      <c r="CR301">
        <v>0</v>
      </c>
      <c r="CS301">
        <v>0</v>
      </c>
      <c r="CT301" cm="1">
        <f t="array" ref="CT301:DD301">VLOOKUP(A301,velocity_pitchers_2019!A:N,{3,4,5,6,7,8,9,10,11,12,13},FALSE)</f>
        <v>68.099999999999994</v>
      </c>
      <c r="CU301">
        <v>91.7</v>
      </c>
      <c r="CV301">
        <v>0</v>
      </c>
      <c r="CW301">
        <v>0</v>
      </c>
      <c r="CX301">
        <v>90.2</v>
      </c>
      <c r="CY301">
        <v>84.3</v>
      </c>
      <c r="CZ301">
        <v>86.1</v>
      </c>
      <c r="DA301">
        <v>74.400000000000006</v>
      </c>
      <c r="DB301">
        <v>0</v>
      </c>
      <c r="DC301">
        <v>0</v>
      </c>
      <c r="DD301">
        <v>0</v>
      </c>
    </row>
    <row r="302" spans="1:108" x14ac:dyDescent="0.3">
      <c r="A302" t="s">
        <v>386</v>
      </c>
      <c r="B302" t="str" cm="1">
        <f t="array" ref="B302:Y302">VLOOKUP(A302,standard_pitchers_2019!A:Y,{2,3,4,5,6,7,8,9,10,11,12,13,14,15,16,17,18,19,20,21,22,23,24,25},FALSE)</f>
        <v>Rockies</v>
      </c>
      <c r="C302">
        <v>3</v>
      </c>
      <c r="D302">
        <v>11</v>
      </c>
      <c r="E302">
        <v>6.73</v>
      </c>
      <c r="F302">
        <v>22</v>
      </c>
      <c r="G302">
        <v>22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104.1</v>
      </c>
      <c r="N302">
        <v>473</v>
      </c>
      <c r="O302">
        <v>126</v>
      </c>
      <c r="P302">
        <v>85</v>
      </c>
      <c r="Q302">
        <v>78</v>
      </c>
      <c r="R302">
        <v>25</v>
      </c>
      <c r="S302">
        <v>39</v>
      </c>
      <c r="T302">
        <v>3</v>
      </c>
      <c r="U302">
        <v>2</v>
      </c>
      <c r="V302">
        <v>4</v>
      </c>
      <c r="W302">
        <v>0</v>
      </c>
      <c r="X302">
        <v>79</v>
      </c>
      <c r="Y302">
        <v>16256</v>
      </c>
      <c r="Z302" cm="1">
        <f t="array" ref="Z302:AR302">VLOOKUP(A302,advanced_pitchers_2019!A:Y,{3,4,5,6,7,8,9,10,11,12,13,14,15,16,17,18,19,20,21},FALSE)</f>
        <v>6.81</v>
      </c>
      <c r="AA302">
        <v>3.36</v>
      </c>
      <c r="AB302">
        <v>2.0299999999999998</v>
      </c>
      <c r="AC302">
        <v>2.16</v>
      </c>
      <c r="AD302">
        <v>0.16700000000000001</v>
      </c>
      <c r="AE302">
        <v>8.2000000000000003E-2</v>
      </c>
      <c r="AF302">
        <v>8.5000000000000006E-2</v>
      </c>
      <c r="AG302">
        <v>0.29199999999999998</v>
      </c>
      <c r="AH302">
        <v>1.58</v>
      </c>
      <c r="AI302">
        <v>0.308</v>
      </c>
      <c r="AJ302">
        <v>0.621</v>
      </c>
      <c r="AK302">
        <v>133</v>
      </c>
      <c r="AL302">
        <v>128</v>
      </c>
      <c r="AM302">
        <v>114</v>
      </c>
      <c r="AN302">
        <v>6.73</v>
      </c>
      <c r="AO302">
        <v>5.99</v>
      </c>
      <c r="AP302">
        <v>0.73</v>
      </c>
      <c r="AQ302">
        <v>5.07</v>
      </c>
      <c r="AR302">
        <v>5.19</v>
      </c>
      <c r="AS302" cm="1">
        <f t="array" ref="AS302:BA302">VLOOKUP(A302,plate_discipline_pitchers_2019!A:L,{3,4,5,6,7,8,9,10,11},FALSE)</f>
        <v>0.33500000000000002</v>
      </c>
      <c r="AT302">
        <v>0.69899999999999995</v>
      </c>
      <c r="AU302">
        <v>0.47899999999999998</v>
      </c>
      <c r="AV302">
        <v>0.67800000000000005</v>
      </c>
      <c r="AW302">
        <v>0.89</v>
      </c>
      <c r="AX302">
        <v>0.8</v>
      </c>
      <c r="AY302">
        <v>0.39600000000000002</v>
      </c>
      <c r="AZ302">
        <v>0.63400000000000001</v>
      </c>
      <c r="BA302">
        <v>9.6000000000000002E-2</v>
      </c>
      <c r="BB302" cm="1">
        <f t="array" ref="BB302:BP302">VLOOKUP(A302,pitchvalue_pitchers_2019!A:Q,{3,4,5,6,7,8,9,10,11,12,13,14,15,16,17},FALSE)</f>
        <v>-10.199999999999999</v>
      </c>
      <c r="BC302">
        <v>-1.5</v>
      </c>
      <c r="BD302">
        <v>-3.5</v>
      </c>
      <c r="BE302">
        <v>0</v>
      </c>
      <c r="BF302">
        <v>-6.1</v>
      </c>
      <c r="BG302">
        <v>0</v>
      </c>
      <c r="BH302">
        <v>0</v>
      </c>
      <c r="BI302">
        <v>-1.1100000000000001</v>
      </c>
      <c r="BJ302">
        <v>-1.47</v>
      </c>
      <c r="BK302">
        <v>-0.64</v>
      </c>
      <c r="BL302">
        <v>0</v>
      </c>
      <c r="BM302">
        <v>-3.05</v>
      </c>
      <c r="BN302">
        <v>0</v>
      </c>
      <c r="BO302">
        <v>0</v>
      </c>
      <c r="BP302">
        <v>16256</v>
      </c>
      <c r="BQ302" cm="1">
        <f t="array" ref="BQ302:CH302">VLOOKUP(A302,battedball_pitchers_2019!A:U,{3,4,5,6,7,8,9,10,11,12,13,14,15,16,17,18,19,20},FALSE)</f>
        <v>0.308</v>
      </c>
      <c r="BR302">
        <v>1.42</v>
      </c>
      <c r="BS302">
        <v>0.20599999999999999</v>
      </c>
      <c r="BT302">
        <v>0.46600000000000003</v>
      </c>
      <c r="BU302">
        <v>0.32900000000000001</v>
      </c>
      <c r="BV302">
        <v>7.8E-2</v>
      </c>
      <c r="BW302">
        <v>0.217</v>
      </c>
      <c r="BX302">
        <v>68</v>
      </c>
      <c r="BY302">
        <v>5.87</v>
      </c>
      <c r="BZ302">
        <v>641</v>
      </c>
      <c r="CA302">
        <v>1139</v>
      </c>
      <c r="CB302">
        <v>1780</v>
      </c>
      <c r="CC302">
        <v>0.46500000000000002</v>
      </c>
      <c r="CD302">
        <v>0.34799999999999998</v>
      </c>
      <c r="CE302">
        <v>0.187</v>
      </c>
      <c r="CF302">
        <v>0.156</v>
      </c>
      <c r="CG302">
        <v>0.439</v>
      </c>
      <c r="CH302">
        <v>0.40500000000000003</v>
      </c>
      <c r="CI302" cm="1">
        <f t="array" ref="CI302:CS302">VLOOKUP(A302,verticalmove_pitchers_2019!A:N,{3,4,5,6,7,8,9,10,11,12,13},FALSE)</f>
        <v>104.1</v>
      </c>
      <c r="CJ302">
        <v>7.4</v>
      </c>
      <c r="CK302">
        <v>2.8</v>
      </c>
      <c r="CL302">
        <v>0</v>
      </c>
      <c r="CM302">
        <v>3.5</v>
      </c>
      <c r="CN302">
        <v>3.5</v>
      </c>
      <c r="CO302">
        <v>-0.1</v>
      </c>
      <c r="CP302">
        <v>5.7</v>
      </c>
      <c r="CQ302">
        <v>0</v>
      </c>
      <c r="CR302">
        <v>0</v>
      </c>
      <c r="CS302">
        <v>0</v>
      </c>
      <c r="CT302" cm="1">
        <f t="array" ref="CT302:DD302">VLOOKUP(A302,velocity_pitchers_2019!A:N,{3,4,5,6,7,8,9,10,11,12,13},FALSE)</f>
        <v>104.1</v>
      </c>
      <c r="CU302">
        <v>92.2</v>
      </c>
      <c r="CV302">
        <v>86.9</v>
      </c>
      <c r="CW302">
        <v>0</v>
      </c>
      <c r="CX302">
        <v>91.4</v>
      </c>
      <c r="CY302">
        <v>86.7</v>
      </c>
      <c r="CZ302">
        <v>81.2</v>
      </c>
      <c r="DA302">
        <v>91.5</v>
      </c>
      <c r="DB302">
        <v>0</v>
      </c>
      <c r="DC302">
        <v>0</v>
      </c>
      <c r="DD302">
        <v>0</v>
      </c>
    </row>
    <row r="303" spans="1:108" x14ac:dyDescent="0.3">
      <c r="A303" t="s">
        <v>393</v>
      </c>
      <c r="B303" t="str" cm="1">
        <f t="array" ref="B303:Y303">VLOOKUP(A303,standard_pitchers_2019!A:Y,{2,3,4,5,6,7,8,9,10,11,12,13,14,15,16,17,18,19,20,21,22,23,24,25},FALSE)</f>
        <v>Rockies</v>
      </c>
      <c r="C303">
        <v>3</v>
      </c>
      <c r="D303">
        <v>7</v>
      </c>
      <c r="E303">
        <v>7.25</v>
      </c>
      <c r="F303">
        <v>19</v>
      </c>
      <c r="G303">
        <v>19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89.1</v>
      </c>
      <c r="N303">
        <v>420</v>
      </c>
      <c r="O303">
        <v>119</v>
      </c>
      <c r="P303">
        <v>74</v>
      </c>
      <c r="Q303">
        <v>72</v>
      </c>
      <c r="R303">
        <v>18</v>
      </c>
      <c r="S303">
        <v>36</v>
      </c>
      <c r="T303">
        <v>3</v>
      </c>
      <c r="U303">
        <v>6</v>
      </c>
      <c r="V303">
        <v>5</v>
      </c>
      <c r="W303">
        <v>0</v>
      </c>
      <c r="X303">
        <v>57</v>
      </c>
      <c r="Y303">
        <v>17969</v>
      </c>
      <c r="Z303" cm="1">
        <f t="array" ref="Z303:AR303">VLOOKUP(A303,advanced_pitchers_2019!A:Y,{3,4,5,6,7,8,9,10,11,12,13,14,15,16,17,18,19,20,21},FALSE)</f>
        <v>5.74</v>
      </c>
      <c r="AA303">
        <v>3.63</v>
      </c>
      <c r="AB303">
        <v>1.58</v>
      </c>
      <c r="AC303">
        <v>1.81</v>
      </c>
      <c r="AD303">
        <v>0.13600000000000001</v>
      </c>
      <c r="AE303">
        <v>8.5999999999999993E-2</v>
      </c>
      <c r="AF303">
        <v>0.05</v>
      </c>
      <c r="AG303">
        <v>0.315</v>
      </c>
      <c r="AH303">
        <v>1.74</v>
      </c>
      <c r="AI303">
        <v>0.33300000000000002</v>
      </c>
      <c r="AJ303">
        <v>0.64100000000000001</v>
      </c>
      <c r="AK303">
        <v>144</v>
      </c>
      <c r="AL303">
        <v>127</v>
      </c>
      <c r="AM303">
        <v>119</v>
      </c>
      <c r="AN303">
        <v>7.25</v>
      </c>
      <c r="AO303">
        <v>5.97</v>
      </c>
      <c r="AP303">
        <v>1.29</v>
      </c>
      <c r="AQ303">
        <v>5.29</v>
      </c>
      <c r="AR303">
        <v>5.51</v>
      </c>
      <c r="AS303" cm="1">
        <f t="array" ref="AS303:BA303">VLOOKUP(A303,plate_discipline_pitchers_2019!A:L,{3,4,5,6,7,8,9,10,11},FALSE)</f>
        <v>0.27100000000000002</v>
      </c>
      <c r="AT303">
        <v>0.70199999999999996</v>
      </c>
      <c r="AU303">
        <v>0.44700000000000001</v>
      </c>
      <c r="AV303">
        <v>0.73599999999999999</v>
      </c>
      <c r="AW303">
        <v>0.90100000000000002</v>
      </c>
      <c r="AX303">
        <v>0.84199999999999997</v>
      </c>
      <c r="AY303">
        <v>0.40799999999999997</v>
      </c>
      <c r="AZ303">
        <v>0.6</v>
      </c>
      <c r="BA303">
        <v>7.0999999999999994E-2</v>
      </c>
      <c r="BB303" cm="1">
        <f t="array" ref="BB303:BP303">VLOOKUP(A303,pitchvalue_pitchers_2019!A:Q,{3,4,5,6,7,8,9,10,11,12,13,14,15,16,17},FALSE)</f>
        <v>-10.5</v>
      </c>
      <c r="BC303">
        <v>-1.6</v>
      </c>
      <c r="BD303">
        <v>0</v>
      </c>
      <c r="BE303">
        <v>-7.3</v>
      </c>
      <c r="BF303">
        <v>-6.8</v>
      </c>
      <c r="BG303">
        <v>0</v>
      </c>
      <c r="BH303">
        <v>0</v>
      </c>
      <c r="BI303">
        <v>-1.26</v>
      </c>
      <c r="BJ303">
        <v>-0.8</v>
      </c>
      <c r="BK303">
        <v>0</v>
      </c>
      <c r="BL303">
        <v>-3.61</v>
      </c>
      <c r="BM303">
        <v>-2</v>
      </c>
      <c r="BN303">
        <v>0</v>
      </c>
      <c r="BO303">
        <v>0</v>
      </c>
      <c r="BP303">
        <v>17969</v>
      </c>
      <c r="BQ303" cm="1">
        <f t="array" ref="BQ303:CH303">VLOOKUP(A303,battedball_pitchers_2019!A:U,{3,4,5,6,7,8,9,10,11,12,13,14,15,16,17,18,19,20},FALSE)</f>
        <v>0.33300000000000002</v>
      </c>
      <c r="BR303">
        <v>1.71</v>
      </c>
      <c r="BS303">
        <v>0.251</v>
      </c>
      <c r="BT303">
        <v>0.47299999999999998</v>
      </c>
      <c r="BU303">
        <v>0.27600000000000002</v>
      </c>
      <c r="BV303">
        <v>5.7000000000000002E-2</v>
      </c>
      <c r="BW303">
        <v>0.20699999999999999</v>
      </c>
      <c r="BX303">
        <v>59</v>
      </c>
      <c r="BY303">
        <v>5.94</v>
      </c>
      <c r="BZ303">
        <v>610</v>
      </c>
      <c r="CA303">
        <v>972</v>
      </c>
      <c r="CB303">
        <v>1582</v>
      </c>
      <c r="CC303">
        <v>0.42699999999999999</v>
      </c>
      <c r="CD303">
        <v>0.32100000000000001</v>
      </c>
      <c r="CE303">
        <v>0.252</v>
      </c>
      <c r="CF303">
        <v>0.184</v>
      </c>
      <c r="CG303">
        <v>0.42099999999999999</v>
      </c>
      <c r="CH303">
        <v>0.39600000000000002</v>
      </c>
      <c r="CI303" cm="1">
        <f t="array" ref="CI303:CS303">VLOOKUP(A303,verticalmove_pitchers_2019!A:N,{3,4,5,6,7,8,9,10,11,12,13},FALSE)</f>
        <v>89.1</v>
      </c>
      <c r="CJ303">
        <v>8.3000000000000007</v>
      </c>
      <c r="CK303">
        <v>0</v>
      </c>
      <c r="CL303">
        <v>0</v>
      </c>
      <c r="CM303">
        <v>0</v>
      </c>
      <c r="CN303">
        <v>3.9</v>
      </c>
      <c r="CO303">
        <v>3.3</v>
      </c>
      <c r="CP303">
        <v>-7.9</v>
      </c>
      <c r="CQ303">
        <v>0</v>
      </c>
      <c r="CR303">
        <v>0</v>
      </c>
      <c r="CS303">
        <v>0</v>
      </c>
      <c r="CT303" cm="1">
        <f t="array" ref="CT303:DD303">VLOOKUP(A303,velocity_pitchers_2019!A:N,{3,4,5,6,7,8,9,10,11,12,13},FALSE)</f>
        <v>89.1</v>
      </c>
      <c r="CU303">
        <v>92.6</v>
      </c>
      <c r="CV303">
        <v>0</v>
      </c>
      <c r="CW303">
        <v>0</v>
      </c>
      <c r="CX303">
        <v>0</v>
      </c>
      <c r="CY303">
        <v>85.1</v>
      </c>
      <c r="CZ303">
        <v>87.5</v>
      </c>
      <c r="DA303">
        <v>77.8</v>
      </c>
      <c r="DB303">
        <v>0</v>
      </c>
      <c r="DC303">
        <v>0</v>
      </c>
      <c r="DD303">
        <v>0</v>
      </c>
    </row>
    <row r="304" spans="1:108" x14ac:dyDescent="0.3">
      <c r="A304" t="s">
        <v>171</v>
      </c>
      <c r="B304" t="str" cm="1">
        <f t="array" ref="B304:Y304">VLOOKUP(A304,standard_pitchers_2019!A:Y,{2,3,4,5,6,7,8,9,10,11,12,13,14,15,16,17,18,19,20,21,22,23,24,25},FALSE)</f>
        <v>Cubs</v>
      </c>
      <c r="C304">
        <v>7</v>
      </c>
      <c r="D304">
        <v>7</v>
      </c>
      <c r="E304">
        <v>3.81</v>
      </c>
      <c r="F304">
        <v>27</v>
      </c>
      <c r="G304">
        <v>27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141.19999999999999</v>
      </c>
      <c r="N304">
        <v>617</v>
      </c>
      <c r="O304">
        <v>141</v>
      </c>
      <c r="P304">
        <v>64</v>
      </c>
      <c r="Q304">
        <v>60</v>
      </c>
      <c r="R304">
        <v>17</v>
      </c>
      <c r="S304">
        <v>56</v>
      </c>
      <c r="T304">
        <v>1</v>
      </c>
      <c r="U304">
        <v>7</v>
      </c>
      <c r="V304">
        <v>1</v>
      </c>
      <c r="W304">
        <v>0</v>
      </c>
      <c r="X304">
        <v>143</v>
      </c>
      <c r="Y304">
        <v>4972</v>
      </c>
      <c r="Z304" cm="1">
        <f t="array" ref="Z304:AR304">VLOOKUP(A304,advanced_pitchers_2019!A:Y,{3,4,5,6,7,8,9,10,11,12,13,14,15,16,17,18,19,20,21},FALSE)</f>
        <v>9.08</v>
      </c>
      <c r="AA304">
        <v>3.56</v>
      </c>
      <c r="AB304">
        <v>2.5499999999999998</v>
      </c>
      <c r="AC304">
        <v>1.08</v>
      </c>
      <c r="AD304">
        <v>0.23200000000000001</v>
      </c>
      <c r="AE304">
        <v>9.0999999999999998E-2</v>
      </c>
      <c r="AF304">
        <v>0.14099999999999999</v>
      </c>
      <c r="AG304">
        <v>0.255</v>
      </c>
      <c r="AH304">
        <v>1.39</v>
      </c>
      <c r="AI304">
        <v>0.315</v>
      </c>
      <c r="AJ304">
        <v>0.77700000000000002</v>
      </c>
      <c r="AK304">
        <v>87</v>
      </c>
      <c r="AL304">
        <v>92</v>
      </c>
      <c r="AM304">
        <v>99</v>
      </c>
      <c r="AN304">
        <v>3.81</v>
      </c>
      <c r="AO304">
        <v>4.09</v>
      </c>
      <c r="AP304">
        <v>-0.28000000000000003</v>
      </c>
      <c r="AQ304">
        <v>4.38</v>
      </c>
      <c r="AR304">
        <v>4.55</v>
      </c>
      <c r="AS304" cm="1">
        <f t="array" ref="AS304:BA304">VLOOKUP(A304,plate_discipline_pitchers_2019!A:L,{3,4,5,6,7,8,9,10,11},FALSE)</f>
        <v>0.30499999999999999</v>
      </c>
      <c r="AT304">
        <v>0.69699999999999995</v>
      </c>
      <c r="AU304">
        <v>0.46800000000000003</v>
      </c>
      <c r="AV304">
        <v>0.62</v>
      </c>
      <c r="AW304">
        <v>0.82599999999999996</v>
      </c>
      <c r="AX304">
        <v>0.747</v>
      </c>
      <c r="AY304">
        <v>0.41599999999999998</v>
      </c>
      <c r="AZ304">
        <v>0.57499999999999996</v>
      </c>
      <c r="BA304">
        <v>0.11799999999999999</v>
      </c>
      <c r="BB304" cm="1">
        <f t="array" ref="BB304:BP304">VLOOKUP(A304,pitchvalue_pitchers_2019!A:Q,{3,4,5,6,7,8,9,10,11,12,13,14,15,16,17},FALSE)</f>
        <v>-10.7</v>
      </c>
      <c r="BC304">
        <v>0</v>
      </c>
      <c r="BD304">
        <v>7.3</v>
      </c>
      <c r="BE304">
        <v>-4.5</v>
      </c>
      <c r="BF304">
        <v>11.9</v>
      </c>
      <c r="BG304">
        <v>0</v>
      </c>
      <c r="BH304">
        <v>0</v>
      </c>
      <c r="BI304">
        <v>-0.94</v>
      </c>
      <c r="BJ304">
        <v>0</v>
      </c>
      <c r="BK304">
        <v>1.61</v>
      </c>
      <c r="BL304">
        <v>-1.49</v>
      </c>
      <c r="BM304">
        <v>2.35</v>
      </c>
      <c r="BN304">
        <v>0</v>
      </c>
      <c r="BO304">
        <v>0</v>
      </c>
      <c r="BP304">
        <v>4972</v>
      </c>
      <c r="BQ304" cm="1">
        <f t="array" ref="BQ304:CH304">VLOOKUP(A304,battedball_pitchers_2019!A:U,{3,4,5,6,7,8,9,10,11,12,13,14,15,16,17,18,19,20},FALSE)</f>
        <v>0.315</v>
      </c>
      <c r="BR304">
        <v>1.43</v>
      </c>
      <c r="BS304">
        <v>0.19800000000000001</v>
      </c>
      <c r="BT304">
        <v>0.47299999999999998</v>
      </c>
      <c r="BU304">
        <v>0.33</v>
      </c>
      <c r="BV304">
        <v>9.8000000000000004E-2</v>
      </c>
      <c r="BW304">
        <v>0.129</v>
      </c>
      <c r="BX304">
        <v>81</v>
      </c>
      <c r="BY304">
        <v>5.15</v>
      </c>
      <c r="BZ304">
        <v>874</v>
      </c>
      <c r="CA304">
        <v>1520</v>
      </c>
      <c r="CB304">
        <v>2394</v>
      </c>
      <c r="CC304">
        <v>0.42299999999999999</v>
      </c>
      <c r="CD304">
        <v>0.36199999999999999</v>
      </c>
      <c r="CE304">
        <v>0.215</v>
      </c>
      <c r="CF304">
        <v>0.13400000000000001</v>
      </c>
      <c r="CG304">
        <v>0.501</v>
      </c>
      <c r="CH304">
        <v>0.36399999999999999</v>
      </c>
      <c r="CI304" cm="1">
        <f t="array" ref="CI304:CS304">VLOOKUP(A304,verticalmove_pitchers_2019!A:N,{3,4,5,6,7,8,9,10,11,12,13},FALSE)</f>
        <v>141.19999999999999</v>
      </c>
      <c r="CJ304">
        <v>8.5</v>
      </c>
      <c r="CK304">
        <v>4.5</v>
      </c>
      <c r="CL304">
        <v>0</v>
      </c>
      <c r="CM304">
        <v>5.5</v>
      </c>
      <c r="CN304">
        <v>4.3</v>
      </c>
      <c r="CO304">
        <v>0</v>
      </c>
      <c r="CP304">
        <v>-6.8</v>
      </c>
      <c r="CQ304">
        <v>0</v>
      </c>
      <c r="CR304">
        <v>0</v>
      </c>
      <c r="CS304">
        <v>0</v>
      </c>
      <c r="CT304" cm="1">
        <f t="array" ref="CT304:DD304">VLOOKUP(A304,velocity_pitchers_2019!A:N,{3,4,5,6,7,8,9,10,11,12,13},FALSE)</f>
        <v>141.19999999999999</v>
      </c>
      <c r="CU304">
        <v>91.7</v>
      </c>
      <c r="CV304">
        <v>87.9</v>
      </c>
      <c r="CW304">
        <v>0</v>
      </c>
      <c r="CX304">
        <v>91.3</v>
      </c>
      <c r="CY304">
        <v>83.4</v>
      </c>
      <c r="CZ304">
        <v>0</v>
      </c>
      <c r="DA304">
        <v>78.099999999999994</v>
      </c>
      <c r="DB304">
        <v>0</v>
      </c>
      <c r="DC304">
        <v>0</v>
      </c>
      <c r="DD304">
        <v>0</v>
      </c>
    </row>
    <row r="305" spans="1:108" x14ac:dyDescent="0.3">
      <c r="A305" t="s">
        <v>362</v>
      </c>
      <c r="B305" t="str" cm="1">
        <f t="array" ref="B305:Y305">VLOOKUP(A305,standard_pitchers_2019!A:Y,{2,3,4,5,6,7,8,9,10,11,12,13,14,15,16,17,18,19,20,21,22,23,24,25},FALSE)</f>
        <v>Astros</v>
      </c>
      <c r="C305">
        <v>4</v>
      </c>
      <c r="D305">
        <v>7</v>
      </c>
      <c r="E305">
        <v>5.86</v>
      </c>
      <c r="F305">
        <v>26</v>
      </c>
      <c r="G305">
        <v>8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70.2</v>
      </c>
      <c r="N305">
        <v>329</v>
      </c>
      <c r="O305">
        <v>74</v>
      </c>
      <c r="P305">
        <v>51</v>
      </c>
      <c r="Q305">
        <v>46</v>
      </c>
      <c r="R305">
        <v>9</v>
      </c>
      <c r="S305">
        <v>44</v>
      </c>
      <c r="T305">
        <v>0</v>
      </c>
      <c r="U305">
        <v>4</v>
      </c>
      <c r="V305">
        <v>4</v>
      </c>
      <c r="W305">
        <v>1</v>
      </c>
      <c r="X305">
        <v>68</v>
      </c>
      <c r="Y305">
        <v>17295</v>
      </c>
      <c r="Z305" cm="1">
        <f t="array" ref="Z305:AR305">VLOOKUP(A305,advanced_pitchers_2019!A:Y,{3,4,5,6,7,8,9,10,11,12,13,14,15,16,17,18,19,20,21},FALSE)</f>
        <v>8.66</v>
      </c>
      <c r="AA305">
        <v>5.6</v>
      </c>
      <c r="AB305">
        <v>1.55</v>
      </c>
      <c r="AC305">
        <v>1.1499999999999999</v>
      </c>
      <c r="AD305">
        <v>0.20699999999999999</v>
      </c>
      <c r="AE305">
        <v>0.13400000000000001</v>
      </c>
      <c r="AF305">
        <v>7.2999999999999995E-2</v>
      </c>
      <c r="AG305">
        <v>0.26300000000000001</v>
      </c>
      <c r="AH305">
        <v>1.67</v>
      </c>
      <c r="AI305">
        <v>0.31900000000000001</v>
      </c>
      <c r="AJ305">
        <v>0.64900000000000002</v>
      </c>
      <c r="AK305">
        <v>131</v>
      </c>
      <c r="AL305">
        <v>110</v>
      </c>
      <c r="AM305">
        <v>94</v>
      </c>
      <c r="AN305">
        <v>5.86</v>
      </c>
      <c r="AO305">
        <v>4.9800000000000004</v>
      </c>
      <c r="AP305">
        <v>0.88</v>
      </c>
      <c r="AQ305">
        <v>4.3099999999999996</v>
      </c>
      <c r="AR305">
        <v>4.75</v>
      </c>
      <c r="AS305" cm="1">
        <f t="array" ref="AS305:BA305">VLOOKUP(A305,plate_discipline_pitchers_2019!A:L,{3,4,5,6,7,8,9,10,11},FALSE)</f>
        <v>0.27200000000000002</v>
      </c>
      <c r="AT305">
        <v>0.65500000000000003</v>
      </c>
      <c r="AU305">
        <v>0.434</v>
      </c>
      <c r="AV305">
        <v>0.56000000000000005</v>
      </c>
      <c r="AW305">
        <v>0.86799999999999999</v>
      </c>
      <c r="AX305">
        <v>0.75700000000000001</v>
      </c>
      <c r="AY305">
        <v>0.42399999999999999</v>
      </c>
      <c r="AZ305">
        <v>0.58699999999999997</v>
      </c>
      <c r="BA305">
        <v>0.106</v>
      </c>
      <c r="BB305" cm="1">
        <f t="array" ref="BB305:BP305">VLOOKUP(A305,pitchvalue_pitchers_2019!A:Q,{3,4,5,6,7,8,9,10,11,12,13,14,15,16,17},FALSE)</f>
        <v>-10.7</v>
      </c>
      <c r="BC305">
        <v>0</v>
      </c>
      <c r="BD305">
        <v>0</v>
      </c>
      <c r="BE305">
        <v>3.9</v>
      </c>
      <c r="BF305">
        <v>-0.3</v>
      </c>
      <c r="BG305">
        <v>0</v>
      </c>
      <c r="BH305">
        <v>0</v>
      </c>
      <c r="BI305">
        <v>-1.48</v>
      </c>
      <c r="BJ305">
        <v>0</v>
      </c>
      <c r="BK305">
        <v>0</v>
      </c>
      <c r="BL305">
        <v>0.97</v>
      </c>
      <c r="BM305">
        <v>-0.5</v>
      </c>
      <c r="BN305">
        <v>0</v>
      </c>
      <c r="BO305">
        <v>0</v>
      </c>
      <c r="BP305">
        <v>17295</v>
      </c>
      <c r="BQ305" cm="1">
        <f t="array" ref="BQ305:CH305">VLOOKUP(A305,battedball_pitchers_2019!A:U,{3,4,5,6,7,8,9,10,11,12,13,14,15,16,17,18,19,20},FALSE)</f>
        <v>0.31900000000000001</v>
      </c>
      <c r="BR305">
        <v>3.74</v>
      </c>
      <c r="BS305">
        <v>0.21299999999999999</v>
      </c>
      <c r="BT305">
        <v>0.621</v>
      </c>
      <c r="BU305">
        <v>0.16600000000000001</v>
      </c>
      <c r="BV305">
        <v>5.7000000000000002E-2</v>
      </c>
      <c r="BW305">
        <v>0.25700000000000001</v>
      </c>
      <c r="BX305">
        <v>37</v>
      </c>
      <c r="BY305">
        <v>4.71</v>
      </c>
      <c r="BZ305">
        <v>467</v>
      </c>
      <c r="CA305">
        <v>708</v>
      </c>
      <c r="CB305">
        <v>1175</v>
      </c>
      <c r="CC305">
        <v>0.441</v>
      </c>
      <c r="CD305">
        <v>0.33800000000000002</v>
      </c>
      <c r="CE305">
        <v>0.221</v>
      </c>
      <c r="CF305">
        <v>0.21099999999999999</v>
      </c>
      <c r="CG305">
        <v>0.40799999999999997</v>
      </c>
      <c r="CH305">
        <v>0.38</v>
      </c>
      <c r="CI305" cm="1">
        <f t="array" ref="CI305:CS305">VLOOKUP(A305,verticalmove_pitchers_2019!A:N,{3,4,5,6,7,8,9,10,11,12,13},FALSE)</f>
        <v>70.2</v>
      </c>
      <c r="CJ305">
        <v>6.2</v>
      </c>
      <c r="CK305">
        <v>0</v>
      </c>
      <c r="CL305">
        <v>0</v>
      </c>
      <c r="CM305">
        <v>2.1</v>
      </c>
      <c r="CN305">
        <v>0.1</v>
      </c>
      <c r="CO305">
        <v>3</v>
      </c>
      <c r="CP305">
        <v>-9.6</v>
      </c>
      <c r="CQ305">
        <v>0</v>
      </c>
      <c r="CR305">
        <v>0</v>
      </c>
      <c r="CS305">
        <v>0</v>
      </c>
      <c r="CT305" cm="1">
        <f t="array" ref="CT305:DD305">VLOOKUP(A305,velocity_pitchers_2019!A:N,{3,4,5,6,7,8,9,10,11,12,13},FALSE)</f>
        <v>70.2</v>
      </c>
      <c r="CU305">
        <v>94.3</v>
      </c>
      <c r="CV305">
        <v>0</v>
      </c>
      <c r="CW305">
        <v>0</v>
      </c>
      <c r="CX305">
        <v>92.6</v>
      </c>
      <c r="CY305">
        <v>88.4</v>
      </c>
      <c r="CZ305">
        <v>93.4</v>
      </c>
      <c r="DA305">
        <v>79.5</v>
      </c>
      <c r="DB305">
        <v>0</v>
      </c>
      <c r="DC305">
        <v>0</v>
      </c>
      <c r="DD305">
        <v>0</v>
      </c>
    </row>
    <row r="306" spans="1:108" x14ac:dyDescent="0.3">
      <c r="A306" t="s">
        <v>347</v>
      </c>
      <c r="B306" t="str" cm="1">
        <f t="array" ref="B306:Y306">VLOOKUP(A306,standard_pitchers_2019!A:Y,{2,3,4,5,6,7,8,9,10,11,12,13,14,15,16,17,18,19,20,21,22,23,24,25},FALSE)</f>
        <v>- - -</v>
      </c>
      <c r="C306">
        <v>3</v>
      </c>
      <c r="D306">
        <v>4</v>
      </c>
      <c r="E306">
        <v>5.61</v>
      </c>
      <c r="F306">
        <v>44</v>
      </c>
      <c r="G306">
        <v>8</v>
      </c>
      <c r="H306">
        <v>0</v>
      </c>
      <c r="I306">
        <v>0</v>
      </c>
      <c r="J306">
        <v>0</v>
      </c>
      <c r="K306">
        <v>8</v>
      </c>
      <c r="L306">
        <v>3</v>
      </c>
      <c r="M306">
        <v>51.1</v>
      </c>
      <c r="N306">
        <v>224</v>
      </c>
      <c r="O306">
        <v>56</v>
      </c>
      <c r="P306">
        <v>34</v>
      </c>
      <c r="Q306">
        <v>32</v>
      </c>
      <c r="R306">
        <v>10</v>
      </c>
      <c r="S306">
        <v>16</v>
      </c>
      <c r="T306">
        <v>0</v>
      </c>
      <c r="U306">
        <v>0</v>
      </c>
      <c r="V306">
        <v>3</v>
      </c>
      <c r="W306">
        <v>1</v>
      </c>
      <c r="X306">
        <v>63</v>
      </c>
      <c r="Y306">
        <v>12804</v>
      </c>
      <c r="Z306" cm="1">
        <f t="array" ref="Z306:AR306">VLOOKUP(A306,advanced_pitchers_2019!A:Y,{3,4,5,6,7,8,9,10,11,12,13,14,15,16,17,18,19,20,21},FALSE)</f>
        <v>11.05</v>
      </c>
      <c r="AA306">
        <v>2.81</v>
      </c>
      <c r="AB306">
        <v>3.94</v>
      </c>
      <c r="AC306">
        <v>1.75</v>
      </c>
      <c r="AD306">
        <v>0.28100000000000003</v>
      </c>
      <c r="AE306">
        <v>7.0999999999999994E-2</v>
      </c>
      <c r="AF306">
        <v>0.21</v>
      </c>
      <c r="AG306">
        <v>0.26900000000000002</v>
      </c>
      <c r="AH306">
        <v>1.4</v>
      </c>
      <c r="AI306">
        <v>0.34100000000000003</v>
      </c>
      <c r="AJ306">
        <v>0.65500000000000003</v>
      </c>
      <c r="AK306">
        <v>129</v>
      </c>
      <c r="AL306">
        <v>95</v>
      </c>
      <c r="AM306">
        <v>85</v>
      </c>
      <c r="AN306">
        <v>5.61</v>
      </c>
      <c r="AO306">
        <v>4.2300000000000004</v>
      </c>
      <c r="AP306">
        <v>1.38</v>
      </c>
      <c r="AQ306">
        <v>3.83</v>
      </c>
      <c r="AR306">
        <v>3.59</v>
      </c>
      <c r="AS306" cm="1">
        <f t="array" ref="AS306:BA306">VLOOKUP(A306,plate_discipline_pitchers_2019!A:L,{3,4,5,6,7,8,9,10,11},FALSE)</f>
        <v>0.371</v>
      </c>
      <c r="AT306">
        <v>0.66300000000000003</v>
      </c>
      <c r="AU306">
        <v>0.48699999999999999</v>
      </c>
      <c r="AV306">
        <v>0.54500000000000004</v>
      </c>
      <c r="AW306">
        <v>0.82099999999999995</v>
      </c>
      <c r="AX306">
        <v>0.69499999999999995</v>
      </c>
      <c r="AY306">
        <v>0.39700000000000002</v>
      </c>
      <c r="AZ306">
        <v>0.621</v>
      </c>
      <c r="BA306">
        <v>0.14899999999999999</v>
      </c>
      <c r="BB306" cm="1">
        <f t="array" ref="BB306:BP306">VLOOKUP(A306,pitchvalue_pitchers_2019!A:Q,{3,4,5,6,7,8,9,10,11,12,13,14,15,16,17},FALSE)</f>
        <v>-11</v>
      </c>
      <c r="BC306">
        <v>6.8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-4.0199999999999996</v>
      </c>
      <c r="BJ306">
        <v>1.04</v>
      </c>
      <c r="BK306">
        <v>0</v>
      </c>
      <c r="BL306">
        <v>-1.07</v>
      </c>
      <c r="BM306">
        <v>0</v>
      </c>
      <c r="BN306">
        <v>0</v>
      </c>
      <c r="BO306">
        <v>0</v>
      </c>
      <c r="BP306">
        <v>12804</v>
      </c>
      <c r="BQ306" cm="1">
        <f t="array" ref="BQ306:CH306">VLOOKUP(A306,battedball_pitchers_2019!A:U,{3,4,5,6,7,8,9,10,11,12,13,14,15,16,17,18,19,20},FALSE)</f>
        <v>0.34100000000000003</v>
      </c>
      <c r="BR306">
        <v>0.95</v>
      </c>
      <c r="BS306">
        <v>0.252</v>
      </c>
      <c r="BT306">
        <v>0.36399999999999999</v>
      </c>
      <c r="BU306">
        <v>0.38500000000000001</v>
      </c>
      <c r="BV306">
        <v>0.127</v>
      </c>
      <c r="BW306">
        <v>0.182</v>
      </c>
      <c r="BX306">
        <v>30</v>
      </c>
      <c r="BY306">
        <v>5.26</v>
      </c>
      <c r="BZ306">
        <v>322</v>
      </c>
      <c r="CA306">
        <v>613</v>
      </c>
      <c r="CB306">
        <v>935</v>
      </c>
      <c r="CC306">
        <v>0.497</v>
      </c>
      <c r="CD306">
        <v>0.26200000000000001</v>
      </c>
      <c r="CE306">
        <v>0.24099999999999999</v>
      </c>
      <c r="CF306">
        <v>0.214</v>
      </c>
      <c r="CG306">
        <v>0.41399999999999998</v>
      </c>
      <c r="CH306">
        <v>0.372</v>
      </c>
      <c r="CI306" cm="1">
        <f t="array" ref="CI306:CS306">VLOOKUP(A306,verticalmove_pitchers_2019!A:N,{3,4,5,6,7,8,9,10,11,12,13},FALSE)</f>
        <v>51.1</v>
      </c>
      <c r="CJ306">
        <v>9</v>
      </c>
      <c r="CK306">
        <v>0</v>
      </c>
      <c r="CL306">
        <v>0</v>
      </c>
      <c r="CM306">
        <v>8.6</v>
      </c>
      <c r="CN306">
        <v>0</v>
      </c>
      <c r="CO306">
        <v>1</v>
      </c>
      <c r="CP306">
        <v>-5.3</v>
      </c>
      <c r="CQ306">
        <v>0</v>
      </c>
      <c r="CR306">
        <v>0</v>
      </c>
      <c r="CS306">
        <v>0</v>
      </c>
      <c r="CT306" cm="1">
        <f t="array" ref="CT306:DD306">VLOOKUP(A306,velocity_pitchers_2019!A:N,{3,4,5,6,7,8,9,10,11,12,13},FALSE)</f>
        <v>51.1</v>
      </c>
      <c r="CU306">
        <v>93.1</v>
      </c>
      <c r="CV306">
        <v>0</v>
      </c>
      <c r="CW306">
        <v>0</v>
      </c>
      <c r="CX306">
        <v>92.4</v>
      </c>
      <c r="CY306">
        <v>0</v>
      </c>
      <c r="CZ306">
        <v>83.7</v>
      </c>
      <c r="DA306">
        <v>77.7</v>
      </c>
      <c r="DB306">
        <v>0</v>
      </c>
      <c r="DC306">
        <v>0</v>
      </c>
      <c r="DD306">
        <v>0</v>
      </c>
    </row>
    <row r="307" spans="1:108" x14ac:dyDescent="0.3">
      <c r="A307" t="s">
        <v>268</v>
      </c>
      <c r="B307" t="str" cm="1">
        <f t="array" ref="B307:Y307">VLOOKUP(A307,standard_pitchers_2019!A:Y,{2,3,4,5,6,7,8,9,10,11,12,13,14,15,16,17,18,19,20,21,22,23,24,25},FALSE)</f>
        <v>- - -</v>
      </c>
      <c r="C307">
        <v>3</v>
      </c>
      <c r="D307">
        <v>2</v>
      </c>
      <c r="E307">
        <v>4.59</v>
      </c>
      <c r="F307">
        <v>63</v>
      </c>
      <c r="G307">
        <v>0</v>
      </c>
      <c r="H307">
        <v>0</v>
      </c>
      <c r="I307">
        <v>0</v>
      </c>
      <c r="J307">
        <v>1</v>
      </c>
      <c r="K307">
        <v>10</v>
      </c>
      <c r="L307">
        <v>2</v>
      </c>
      <c r="M307">
        <v>64.2</v>
      </c>
      <c r="N307">
        <v>281</v>
      </c>
      <c r="O307">
        <v>71</v>
      </c>
      <c r="P307">
        <v>35</v>
      </c>
      <c r="Q307">
        <v>33</v>
      </c>
      <c r="R307">
        <v>14</v>
      </c>
      <c r="S307">
        <v>26</v>
      </c>
      <c r="T307">
        <v>3</v>
      </c>
      <c r="U307">
        <v>1</v>
      </c>
      <c r="V307">
        <v>3</v>
      </c>
      <c r="W307">
        <v>0</v>
      </c>
      <c r="X307">
        <v>60</v>
      </c>
      <c r="Y307">
        <v>13194</v>
      </c>
      <c r="Z307" cm="1">
        <f t="array" ref="Z307:AR307">VLOOKUP(A307,advanced_pitchers_2019!A:Y,{3,4,5,6,7,8,9,10,11,12,13,14,15,16,17,18,19,20,21},FALSE)</f>
        <v>8.35</v>
      </c>
      <c r="AA307">
        <v>3.62</v>
      </c>
      <c r="AB307">
        <v>2.31</v>
      </c>
      <c r="AC307">
        <v>1.95</v>
      </c>
      <c r="AD307">
        <v>0.214</v>
      </c>
      <c r="AE307">
        <v>9.2999999999999999E-2</v>
      </c>
      <c r="AF307">
        <v>0.121</v>
      </c>
      <c r="AG307">
        <v>0.28000000000000003</v>
      </c>
      <c r="AH307">
        <v>1.5</v>
      </c>
      <c r="AI307">
        <v>0.317</v>
      </c>
      <c r="AJ307">
        <v>0.80400000000000005</v>
      </c>
      <c r="AK307">
        <v>101</v>
      </c>
      <c r="AL307">
        <v>118</v>
      </c>
      <c r="AM307">
        <v>91</v>
      </c>
      <c r="AN307">
        <v>4.59</v>
      </c>
      <c r="AO307">
        <v>5.43</v>
      </c>
      <c r="AP307">
        <v>-0.83</v>
      </c>
      <c r="AQ307">
        <v>4.18</v>
      </c>
      <c r="AR307">
        <v>4.33</v>
      </c>
      <c r="AS307" cm="1">
        <f t="array" ref="AS307:BA307">VLOOKUP(A307,plate_discipline_pitchers_2019!A:L,{3,4,5,6,7,8,9,10,11},FALSE)</f>
        <v>0.33500000000000002</v>
      </c>
      <c r="AT307">
        <v>0.67800000000000005</v>
      </c>
      <c r="AU307">
        <v>0.46</v>
      </c>
      <c r="AV307">
        <v>0.64600000000000002</v>
      </c>
      <c r="AW307">
        <v>0.83299999999999996</v>
      </c>
      <c r="AX307">
        <v>0.747</v>
      </c>
      <c r="AY307">
        <v>0.36499999999999999</v>
      </c>
      <c r="AZ307">
        <v>0.57699999999999996</v>
      </c>
      <c r="BA307">
        <v>0.11600000000000001</v>
      </c>
      <c r="BB307" cm="1">
        <f t="array" ref="BB307:BP307">VLOOKUP(A307,pitchvalue_pitchers_2019!A:Q,{3,4,5,6,7,8,9,10,11,12,13,14,15,16,17},FALSE)</f>
        <v>-11</v>
      </c>
      <c r="BC307">
        <v>2.6</v>
      </c>
      <c r="BD307">
        <v>0</v>
      </c>
      <c r="BE307">
        <v>-1</v>
      </c>
      <c r="BF307">
        <v>2.8</v>
      </c>
      <c r="BG307">
        <v>0</v>
      </c>
      <c r="BH307">
        <v>0</v>
      </c>
      <c r="BI307">
        <v>-1.89</v>
      </c>
      <c r="BJ307">
        <v>0.77</v>
      </c>
      <c r="BK307">
        <v>0</v>
      </c>
      <c r="BL307">
        <v>-0.99</v>
      </c>
      <c r="BM307">
        <v>2.2999999999999998</v>
      </c>
      <c r="BN307">
        <v>0</v>
      </c>
      <c r="BO307">
        <v>0</v>
      </c>
      <c r="BP307">
        <v>13194</v>
      </c>
      <c r="BQ307" cm="1">
        <f t="array" ref="BQ307:CH307">VLOOKUP(A307,battedball_pitchers_2019!A:U,{3,4,5,6,7,8,9,10,11,12,13,14,15,16,17,18,19,20},FALSE)</f>
        <v>0.317</v>
      </c>
      <c r="BR307">
        <v>1.75</v>
      </c>
      <c r="BS307">
        <v>0.27500000000000002</v>
      </c>
      <c r="BT307">
        <v>0.46100000000000002</v>
      </c>
      <c r="BU307">
        <v>0.26400000000000001</v>
      </c>
      <c r="BV307">
        <v>0.11799999999999999</v>
      </c>
      <c r="BW307">
        <v>0.27500000000000002</v>
      </c>
      <c r="BX307">
        <v>35</v>
      </c>
      <c r="BY307">
        <v>4.87</v>
      </c>
      <c r="BZ307">
        <v>443</v>
      </c>
      <c r="CA307">
        <v>699</v>
      </c>
      <c r="CB307">
        <v>1142</v>
      </c>
      <c r="CC307">
        <v>0.44800000000000001</v>
      </c>
      <c r="CD307">
        <v>0.30399999999999999</v>
      </c>
      <c r="CE307">
        <v>0.247</v>
      </c>
      <c r="CF307">
        <v>0.13900000000000001</v>
      </c>
      <c r="CG307">
        <v>0.46899999999999997</v>
      </c>
      <c r="CH307">
        <v>0.39200000000000002</v>
      </c>
      <c r="CI307" cm="1">
        <f t="array" ref="CI307:CS307">VLOOKUP(A307,verticalmove_pitchers_2019!A:N,{3,4,5,6,7,8,9,10,11,12,13},FALSE)</f>
        <v>64.2</v>
      </c>
      <c r="CJ307">
        <v>8.9</v>
      </c>
      <c r="CK307">
        <v>1.8</v>
      </c>
      <c r="CL307">
        <v>0</v>
      </c>
      <c r="CM307">
        <v>8.1999999999999993</v>
      </c>
      <c r="CN307">
        <v>4.7</v>
      </c>
      <c r="CO307">
        <v>0</v>
      </c>
      <c r="CP307">
        <v>-11.5</v>
      </c>
      <c r="CQ307">
        <v>0</v>
      </c>
      <c r="CR307">
        <v>0</v>
      </c>
      <c r="CS307">
        <v>0</v>
      </c>
      <c r="CT307" cm="1">
        <f t="array" ref="CT307:DD307">VLOOKUP(A307,velocity_pitchers_2019!A:N,{3,4,5,6,7,8,9,10,11,12,13},FALSE)</f>
        <v>64.2</v>
      </c>
      <c r="CU307">
        <v>93.9</v>
      </c>
      <c r="CV307">
        <v>88</v>
      </c>
      <c r="CW307">
        <v>0</v>
      </c>
      <c r="CX307">
        <v>94.4</v>
      </c>
      <c r="CY307">
        <v>87.3</v>
      </c>
      <c r="CZ307">
        <v>0</v>
      </c>
      <c r="DA307">
        <v>77.2</v>
      </c>
      <c r="DB307">
        <v>0</v>
      </c>
      <c r="DC307">
        <v>0</v>
      </c>
      <c r="DD307">
        <v>0</v>
      </c>
    </row>
    <row r="308" spans="1:108" x14ac:dyDescent="0.3">
      <c r="A308" t="s">
        <v>314</v>
      </c>
      <c r="B308" t="str" cm="1">
        <f t="array" ref="B308:Y308">VLOOKUP(A308,standard_pitchers_2019!A:Y,{2,3,4,5,6,7,8,9,10,11,12,13,14,15,16,17,18,19,20,21,22,23,24,25},FALSE)</f>
        <v>Marlins</v>
      </c>
      <c r="C308">
        <v>3</v>
      </c>
      <c r="D308">
        <v>5</v>
      </c>
      <c r="E308">
        <v>5.03</v>
      </c>
      <c r="F308">
        <v>21</v>
      </c>
      <c r="G308">
        <v>15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82.1</v>
      </c>
      <c r="N308">
        <v>353</v>
      </c>
      <c r="O308">
        <v>76</v>
      </c>
      <c r="P308">
        <v>49</v>
      </c>
      <c r="Q308">
        <v>46</v>
      </c>
      <c r="R308">
        <v>20</v>
      </c>
      <c r="S308">
        <v>26</v>
      </c>
      <c r="T308">
        <v>1</v>
      </c>
      <c r="U308">
        <v>9</v>
      </c>
      <c r="V308">
        <v>2</v>
      </c>
      <c r="W308">
        <v>1</v>
      </c>
      <c r="X308">
        <v>85</v>
      </c>
      <c r="Y308">
        <v>16933</v>
      </c>
      <c r="Z308" cm="1">
        <f t="array" ref="Z308:AR308">VLOOKUP(A308,advanced_pitchers_2019!A:Y,{3,4,5,6,7,8,9,10,11,12,13,14,15,16,17,18,19,20,21},FALSE)</f>
        <v>9.2899999999999991</v>
      </c>
      <c r="AA308">
        <v>2.84</v>
      </c>
      <c r="AB308">
        <v>3.27</v>
      </c>
      <c r="AC308">
        <v>2.19</v>
      </c>
      <c r="AD308">
        <v>0.24099999999999999</v>
      </c>
      <c r="AE308">
        <v>7.3999999999999996E-2</v>
      </c>
      <c r="AF308">
        <v>0.16700000000000001</v>
      </c>
      <c r="AG308">
        <v>0.23899999999999999</v>
      </c>
      <c r="AH308">
        <v>1.24</v>
      </c>
      <c r="AI308">
        <v>0.26300000000000001</v>
      </c>
      <c r="AJ308">
        <v>0.747</v>
      </c>
      <c r="AK308">
        <v>120</v>
      </c>
      <c r="AL308">
        <v>130</v>
      </c>
      <c r="AM308">
        <v>116</v>
      </c>
      <c r="AN308">
        <v>5.03</v>
      </c>
      <c r="AO308">
        <v>5.58</v>
      </c>
      <c r="AP308">
        <v>-0.55000000000000004</v>
      </c>
      <c r="AQ308">
        <v>5.13</v>
      </c>
      <c r="AR308">
        <v>4.43</v>
      </c>
      <c r="AS308" cm="1">
        <f t="array" ref="AS308:BA308">VLOOKUP(A308,plate_discipline_pitchers_2019!A:L,{3,4,5,6,7,8,9,10,11},FALSE)</f>
        <v>0.32</v>
      </c>
      <c r="AT308">
        <v>0.68899999999999995</v>
      </c>
      <c r="AU308">
        <v>0.48299999999999998</v>
      </c>
      <c r="AV308">
        <v>0.66900000000000004</v>
      </c>
      <c r="AW308">
        <v>0.81399999999999995</v>
      </c>
      <c r="AX308">
        <v>0.76</v>
      </c>
      <c r="AY308">
        <v>0.443</v>
      </c>
      <c r="AZ308">
        <v>0.65200000000000002</v>
      </c>
      <c r="BA308">
        <v>0.11600000000000001</v>
      </c>
      <c r="BB308" cm="1">
        <f t="array" ref="BB308:BP308">VLOOKUP(A308,pitchvalue_pitchers_2019!A:Q,{3,4,5,6,7,8,9,10,11,12,13,14,15,16,17},FALSE)</f>
        <v>-11.2</v>
      </c>
      <c r="BC308">
        <v>7.3</v>
      </c>
      <c r="BD308">
        <v>0</v>
      </c>
      <c r="BE308">
        <v>0</v>
      </c>
      <c r="BF308">
        <v>-1.7</v>
      </c>
      <c r="BG308">
        <v>0</v>
      </c>
      <c r="BH308">
        <v>0</v>
      </c>
      <c r="BI308">
        <v>-1.41</v>
      </c>
      <c r="BJ308">
        <v>1.51</v>
      </c>
      <c r="BK308">
        <v>0</v>
      </c>
      <c r="BL308">
        <v>0</v>
      </c>
      <c r="BM308">
        <v>-1.05</v>
      </c>
      <c r="BN308">
        <v>0</v>
      </c>
      <c r="BO308">
        <v>0</v>
      </c>
      <c r="BP308">
        <v>16933</v>
      </c>
      <c r="BQ308" cm="1">
        <f t="array" ref="BQ308:CH308">VLOOKUP(A308,battedball_pitchers_2019!A:U,{3,4,5,6,7,8,9,10,11,12,13,14,15,16,17,18,19,20},FALSE)</f>
        <v>0.26300000000000001</v>
      </c>
      <c r="BR308">
        <v>0.69</v>
      </c>
      <c r="BS308">
        <v>0.17100000000000001</v>
      </c>
      <c r="BT308">
        <v>0.33800000000000002</v>
      </c>
      <c r="BU308">
        <v>0.49099999999999999</v>
      </c>
      <c r="BV308">
        <v>0.13400000000000001</v>
      </c>
      <c r="BW308">
        <v>0.17899999999999999</v>
      </c>
      <c r="BX308">
        <v>40</v>
      </c>
      <c r="BY308">
        <v>4.37</v>
      </c>
      <c r="BZ308">
        <v>492</v>
      </c>
      <c r="CA308">
        <v>950</v>
      </c>
      <c r="CB308">
        <v>1442</v>
      </c>
      <c r="CC308">
        <v>0.45900000000000002</v>
      </c>
      <c r="CD308">
        <v>0.32600000000000001</v>
      </c>
      <c r="CE308">
        <v>0.215</v>
      </c>
      <c r="CF308">
        <v>0.185</v>
      </c>
      <c r="CG308">
        <v>0.41599999999999998</v>
      </c>
      <c r="CH308">
        <v>0.39900000000000002</v>
      </c>
      <c r="CI308" cm="1">
        <f t="array" ref="CI308:CS308">VLOOKUP(A308,verticalmove_pitchers_2019!A:N,{3,4,5,6,7,8,9,10,11,12,13},FALSE)</f>
        <v>82.1</v>
      </c>
      <c r="CJ308">
        <v>9.4</v>
      </c>
      <c r="CK308">
        <v>0</v>
      </c>
      <c r="CL308">
        <v>0</v>
      </c>
      <c r="CM308">
        <v>6.5</v>
      </c>
      <c r="CN308">
        <v>4.2</v>
      </c>
      <c r="CO308">
        <v>5.9</v>
      </c>
      <c r="CP308">
        <v>0</v>
      </c>
      <c r="CQ308">
        <v>0</v>
      </c>
      <c r="CR308">
        <v>0</v>
      </c>
      <c r="CS308">
        <v>0</v>
      </c>
      <c r="CT308" cm="1">
        <f t="array" ref="CT308:DD308">VLOOKUP(A308,velocity_pitchers_2019!A:N,{3,4,5,6,7,8,9,10,11,12,13},FALSE)</f>
        <v>82.1</v>
      </c>
      <c r="CU308">
        <v>90.9</v>
      </c>
      <c r="CV308">
        <v>0</v>
      </c>
      <c r="CW308">
        <v>0</v>
      </c>
      <c r="CX308">
        <v>89.4</v>
      </c>
      <c r="CY308">
        <v>82.5</v>
      </c>
      <c r="CZ308">
        <v>78.7</v>
      </c>
      <c r="DA308">
        <v>0</v>
      </c>
      <c r="DB308">
        <v>0</v>
      </c>
      <c r="DC308">
        <v>0</v>
      </c>
      <c r="DD308">
        <v>0</v>
      </c>
    </row>
    <row r="309" spans="1:108" x14ac:dyDescent="0.3">
      <c r="A309" t="s">
        <v>311</v>
      </c>
      <c r="B309" t="str" cm="1">
        <f t="array" ref="B309:Y309">VLOOKUP(A309,standard_pitchers_2019!A:Y,{2,3,4,5,6,7,8,9,10,11,12,13,14,15,16,17,18,19,20,21,22,23,24,25},FALSE)</f>
        <v>- - -</v>
      </c>
      <c r="C309">
        <v>3</v>
      </c>
      <c r="D309">
        <v>9</v>
      </c>
      <c r="E309">
        <v>4.95</v>
      </c>
      <c r="F309">
        <v>33</v>
      </c>
      <c r="G309">
        <v>13</v>
      </c>
      <c r="H309">
        <v>0</v>
      </c>
      <c r="I309">
        <v>0</v>
      </c>
      <c r="J309">
        <v>0</v>
      </c>
      <c r="K309">
        <v>3</v>
      </c>
      <c r="L309">
        <v>1</v>
      </c>
      <c r="M309">
        <v>91</v>
      </c>
      <c r="N309">
        <v>402</v>
      </c>
      <c r="O309">
        <v>113</v>
      </c>
      <c r="P309">
        <v>55</v>
      </c>
      <c r="Q309">
        <v>50</v>
      </c>
      <c r="R309">
        <v>18</v>
      </c>
      <c r="S309">
        <v>34</v>
      </c>
      <c r="T309">
        <v>1</v>
      </c>
      <c r="U309">
        <v>4</v>
      </c>
      <c r="V309">
        <v>3</v>
      </c>
      <c r="W309">
        <v>0</v>
      </c>
      <c r="X309">
        <v>69</v>
      </c>
      <c r="Y309">
        <v>4869</v>
      </c>
      <c r="Z309" cm="1">
        <f t="array" ref="Z309:AR309">VLOOKUP(A309,advanced_pitchers_2019!A:Y,{3,4,5,6,7,8,9,10,11,12,13,14,15,16,17,18,19,20,21},FALSE)</f>
        <v>6.82</v>
      </c>
      <c r="AA309">
        <v>3.36</v>
      </c>
      <c r="AB309">
        <v>2.0299999999999998</v>
      </c>
      <c r="AC309">
        <v>1.78</v>
      </c>
      <c r="AD309">
        <v>0.17199999999999999</v>
      </c>
      <c r="AE309">
        <v>8.5000000000000006E-2</v>
      </c>
      <c r="AF309">
        <v>8.6999999999999994E-2</v>
      </c>
      <c r="AG309">
        <v>0.31</v>
      </c>
      <c r="AH309">
        <v>1.62</v>
      </c>
      <c r="AI309">
        <v>0.34300000000000003</v>
      </c>
      <c r="AJ309">
        <v>0.76300000000000001</v>
      </c>
      <c r="AK309">
        <v>108</v>
      </c>
      <c r="AL309">
        <v>123</v>
      </c>
      <c r="AM309">
        <v>102</v>
      </c>
      <c r="AN309">
        <v>4.95</v>
      </c>
      <c r="AO309">
        <v>5.52</v>
      </c>
      <c r="AP309">
        <v>-0.57999999999999996</v>
      </c>
      <c r="AQ309">
        <v>4.6100000000000003</v>
      </c>
      <c r="AR309">
        <v>4.9000000000000004</v>
      </c>
      <c r="AS309" cm="1">
        <f t="array" ref="AS309:BA309">VLOOKUP(A309,plate_discipline_pitchers_2019!A:L,{3,4,5,6,7,8,9,10,11},FALSE)</f>
        <v>0.33600000000000002</v>
      </c>
      <c r="AT309">
        <v>0.64800000000000002</v>
      </c>
      <c r="AU309">
        <v>0.44800000000000001</v>
      </c>
      <c r="AV309">
        <v>0.66600000000000004</v>
      </c>
      <c r="AW309">
        <v>0.91500000000000004</v>
      </c>
      <c r="AX309">
        <v>0.79500000000000004</v>
      </c>
      <c r="AY309">
        <v>0.35799999999999998</v>
      </c>
      <c r="AZ309">
        <v>0.627</v>
      </c>
      <c r="BA309">
        <v>9.1999999999999998E-2</v>
      </c>
      <c r="BB309" cm="1">
        <f t="array" ref="BB309:BP309">VLOOKUP(A309,pitchvalue_pitchers_2019!A:Q,{3,4,5,6,7,8,9,10,11,12,13,14,15,16,17},FALSE)</f>
        <v>-11.3</v>
      </c>
      <c r="BC309">
        <v>0</v>
      </c>
      <c r="BD309">
        <v>-2.9</v>
      </c>
      <c r="BE309">
        <v>-4.8</v>
      </c>
      <c r="BF309">
        <v>-0.2</v>
      </c>
      <c r="BG309">
        <v>0</v>
      </c>
      <c r="BH309">
        <v>0</v>
      </c>
      <c r="BI309">
        <v>-1.66</v>
      </c>
      <c r="BJ309">
        <v>0</v>
      </c>
      <c r="BK309">
        <v>-1.23</v>
      </c>
      <c r="BL309">
        <v>-1.46</v>
      </c>
      <c r="BM309">
        <v>-7.0000000000000007E-2</v>
      </c>
      <c r="BN309">
        <v>0</v>
      </c>
      <c r="BO309">
        <v>0</v>
      </c>
      <c r="BP309">
        <v>4869</v>
      </c>
      <c r="BQ309" cm="1">
        <f t="array" ref="BQ309:CH309">VLOOKUP(A309,battedball_pitchers_2019!A:U,{3,4,5,6,7,8,9,10,11,12,13,14,15,16,17,18,19,20},FALSE)</f>
        <v>0.34300000000000003</v>
      </c>
      <c r="BR309">
        <v>1.87</v>
      </c>
      <c r="BS309">
        <v>0.248</v>
      </c>
      <c r="BT309">
        <v>0.49</v>
      </c>
      <c r="BU309">
        <v>0.26200000000000001</v>
      </c>
      <c r="BV309">
        <v>2.5999999999999999E-2</v>
      </c>
      <c r="BW309">
        <v>0.23699999999999999</v>
      </c>
      <c r="BX309">
        <v>42</v>
      </c>
      <c r="BY309">
        <v>4.1500000000000004</v>
      </c>
      <c r="BZ309">
        <v>605</v>
      </c>
      <c r="CA309">
        <v>974</v>
      </c>
      <c r="CB309">
        <v>1579</v>
      </c>
      <c r="CC309">
        <v>0.439</v>
      </c>
      <c r="CD309">
        <v>0.35699999999999998</v>
      </c>
      <c r="CE309">
        <v>0.20399999999999999</v>
      </c>
      <c r="CF309">
        <v>0.13300000000000001</v>
      </c>
      <c r="CG309">
        <v>0.40799999999999997</v>
      </c>
      <c r="CH309">
        <v>0.45900000000000002</v>
      </c>
      <c r="CI309" cm="1">
        <f t="array" ref="CI309:CS309">VLOOKUP(A309,verticalmove_pitchers_2019!A:N,{3,4,5,6,7,8,9,10,11,12,13},FALSE)</f>
        <v>91</v>
      </c>
      <c r="CJ309">
        <v>6.5</v>
      </c>
      <c r="CK309">
        <v>3.3</v>
      </c>
      <c r="CL309">
        <v>0</v>
      </c>
      <c r="CM309">
        <v>5.6</v>
      </c>
      <c r="CN309">
        <v>3.5</v>
      </c>
      <c r="CO309">
        <v>0</v>
      </c>
      <c r="CP309">
        <v>-5.5</v>
      </c>
      <c r="CQ309">
        <v>0</v>
      </c>
      <c r="CR309">
        <v>0</v>
      </c>
      <c r="CS309">
        <v>0</v>
      </c>
      <c r="CT309" cm="1">
        <f t="array" ref="CT309:DD309">VLOOKUP(A309,velocity_pitchers_2019!A:N,{3,4,5,6,7,8,9,10,11,12,13},FALSE)</f>
        <v>91</v>
      </c>
      <c r="CU309">
        <v>91.7</v>
      </c>
      <c r="CV309">
        <v>87.5</v>
      </c>
      <c r="CW309">
        <v>0</v>
      </c>
      <c r="CX309">
        <v>92.4</v>
      </c>
      <c r="CY309">
        <v>84.5</v>
      </c>
      <c r="CZ309">
        <v>0</v>
      </c>
      <c r="DA309">
        <v>77.8</v>
      </c>
      <c r="DB309">
        <v>0</v>
      </c>
      <c r="DC309">
        <v>0</v>
      </c>
      <c r="DD309">
        <v>0</v>
      </c>
    </row>
    <row r="310" spans="1:108" x14ac:dyDescent="0.3">
      <c r="A310" t="s">
        <v>348</v>
      </c>
      <c r="B310" t="str" cm="1">
        <f t="array" ref="B310:Y310">VLOOKUP(A310,standard_pitchers_2019!A:Y,{2,3,4,5,6,7,8,9,10,11,12,13,14,15,16,17,18,19,20,21,22,23,24,25},FALSE)</f>
        <v>Orioles</v>
      </c>
      <c r="C310">
        <v>1</v>
      </c>
      <c r="D310">
        <v>10</v>
      </c>
      <c r="E310">
        <v>5.61</v>
      </c>
      <c r="F310">
        <v>36</v>
      </c>
      <c r="G310">
        <v>13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110.2</v>
      </c>
      <c r="N310">
        <v>480</v>
      </c>
      <c r="O310">
        <v>126</v>
      </c>
      <c r="P310">
        <v>77</v>
      </c>
      <c r="Q310">
        <v>69</v>
      </c>
      <c r="R310">
        <v>29</v>
      </c>
      <c r="S310">
        <v>26</v>
      </c>
      <c r="T310">
        <v>1</v>
      </c>
      <c r="U310">
        <v>3</v>
      </c>
      <c r="V310">
        <v>4</v>
      </c>
      <c r="W310">
        <v>1</v>
      </c>
      <c r="X310">
        <v>67</v>
      </c>
      <c r="Y310">
        <v>12938</v>
      </c>
      <c r="Z310" cm="1">
        <f t="array" ref="Z310:AR310">VLOOKUP(A310,advanced_pitchers_2019!A:Y,{3,4,5,6,7,8,9,10,11,12,13,14,15,16,17,18,19,20,21},FALSE)</f>
        <v>5.45</v>
      </c>
      <c r="AA310">
        <v>2.11</v>
      </c>
      <c r="AB310">
        <v>2.58</v>
      </c>
      <c r="AC310">
        <v>2.36</v>
      </c>
      <c r="AD310">
        <v>0.14000000000000001</v>
      </c>
      <c r="AE310">
        <v>5.3999999999999999E-2</v>
      </c>
      <c r="AF310">
        <v>8.5000000000000006E-2</v>
      </c>
      <c r="AG310">
        <v>0.27900000000000003</v>
      </c>
      <c r="AH310">
        <v>1.37</v>
      </c>
      <c r="AI310">
        <v>0.27300000000000002</v>
      </c>
      <c r="AJ310">
        <v>0.68200000000000005</v>
      </c>
      <c r="AK310">
        <v>119</v>
      </c>
      <c r="AL310">
        <v>129</v>
      </c>
      <c r="AM310">
        <v>118</v>
      </c>
      <c r="AN310">
        <v>5.61</v>
      </c>
      <c r="AO310">
        <v>6.2</v>
      </c>
      <c r="AP310">
        <v>-0.57999999999999996</v>
      </c>
      <c r="AQ310">
        <v>5.4</v>
      </c>
      <c r="AR310">
        <v>5.0999999999999996</v>
      </c>
      <c r="AS310" cm="1">
        <f t="array" ref="AS310:BA310">VLOOKUP(A310,plate_discipline_pitchers_2019!A:L,{3,4,5,6,7,8,9,10,11},FALSE)</f>
        <v>0.32400000000000001</v>
      </c>
      <c r="AT310">
        <v>0.73499999999999999</v>
      </c>
      <c r="AU310">
        <v>0.499</v>
      </c>
      <c r="AV310">
        <v>0.67700000000000005</v>
      </c>
      <c r="AW310">
        <v>0.89800000000000002</v>
      </c>
      <c r="AX310">
        <v>0.81599999999999995</v>
      </c>
      <c r="AY310">
        <v>0.42599999999999999</v>
      </c>
      <c r="AZ310">
        <v>0.627</v>
      </c>
      <c r="BA310">
        <v>9.1999999999999998E-2</v>
      </c>
      <c r="BB310" cm="1">
        <f t="array" ref="BB310:BP310">VLOOKUP(A310,pitchvalue_pitchers_2019!A:Q,{3,4,5,6,7,8,9,10,11,12,13,14,15,16,17},FALSE)</f>
        <v>-11.6</v>
      </c>
      <c r="BC310">
        <v>-1.7</v>
      </c>
      <c r="BD310">
        <v>0</v>
      </c>
      <c r="BE310">
        <v>1.4</v>
      </c>
      <c r="BF310">
        <v>-4.2</v>
      </c>
      <c r="BG310">
        <v>0</v>
      </c>
      <c r="BH310">
        <v>0</v>
      </c>
      <c r="BI310">
        <v>-1.1399999999999999</v>
      </c>
      <c r="BJ310">
        <v>-0.35</v>
      </c>
      <c r="BK310">
        <v>0</v>
      </c>
      <c r="BL310">
        <v>2.11</v>
      </c>
      <c r="BM310">
        <v>-1.74</v>
      </c>
      <c r="BN310">
        <v>0</v>
      </c>
      <c r="BO310">
        <v>0</v>
      </c>
      <c r="BP310">
        <v>12938</v>
      </c>
      <c r="BQ310" cm="1">
        <f t="array" ref="BQ310:CH310">VLOOKUP(A310,battedball_pitchers_2019!A:U,{3,4,5,6,7,8,9,10,11,12,13,14,15,16,17,18,19,20},FALSE)</f>
        <v>0.27300000000000002</v>
      </c>
      <c r="BR310">
        <v>1.23</v>
      </c>
      <c r="BS310">
        <v>0.154</v>
      </c>
      <c r="BT310">
        <v>0.46700000000000003</v>
      </c>
      <c r="BU310">
        <v>0.379</v>
      </c>
      <c r="BV310">
        <v>2.8000000000000001E-2</v>
      </c>
      <c r="BW310">
        <v>0.2</v>
      </c>
      <c r="BX310">
        <v>49</v>
      </c>
      <c r="BY310">
        <v>3.98</v>
      </c>
      <c r="BZ310">
        <v>643</v>
      </c>
      <c r="CA310">
        <v>1172</v>
      </c>
      <c r="CB310">
        <v>1815</v>
      </c>
      <c r="CC310">
        <v>0.46899999999999997</v>
      </c>
      <c r="CD310">
        <v>0.29199999999999998</v>
      </c>
      <c r="CE310">
        <v>0.24</v>
      </c>
      <c r="CF310">
        <v>0.14299999999999999</v>
      </c>
      <c r="CG310">
        <v>0.497</v>
      </c>
      <c r="CH310">
        <v>0.35899999999999999</v>
      </c>
      <c r="CI310" cm="1">
        <f t="array" ref="CI310:CS310">VLOOKUP(A310,verticalmove_pitchers_2019!A:N,{3,4,5,6,7,8,9,10,11,12,13},FALSE)</f>
        <v>110.2</v>
      </c>
      <c r="CJ310">
        <v>6.2</v>
      </c>
      <c r="CK310">
        <v>0</v>
      </c>
      <c r="CL310">
        <v>0</v>
      </c>
      <c r="CM310">
        <v>4</v>
      </c>
      <c r="CN310">
        <v>3.8</v>
      </c>
      <c r="CO310">
        <v>-0.3</v>
      </c>
      <c r="CP310">
        <v>0</v>
      </c>
      <c r="CQ310">
        <v>0</v>
      </c>
      <c r="CR310">
        <v>0</v>
      </c>
      <c r="CS310">
        <v>0</v>
      </c>
      <c r="CT310" cm="1">
        <f t="array" ref="CT310:DD310">VLOOKUP(A310,velocity_pitchers_2019!A:N,{3,4,5,6,7,8,9,10,11,12,13},FALSE)</f>
        <v>110.2</v>
      </c>
      <c r="CU310">
        <v>93.7</v>
      </c>
      <c r="CV310">
        <v>0</v>
      </c>
      <c r="CW310">
        <v>0</v>
      </c>
      <c r="CX310">
        <v>93.8</v>
      </c>
      <c r="CY310">
        <v>86.1</v>
      </c>
      <c r="CZ310">
        <v>84</v>
      </c>
      <c r="DA310">
        <v>0</v>
      </c>
      <c r="DB310">
        <v>0</v>
      </c>
      <c r="DC310">
        <v>0</v>
      </c>
      <c r="DD310">
        <v>0</v>
      </c>
    </row>
    <row r="311" spans="1:108" x14ac:dyDescent="0.3">
      <c r="A311" t="s">
        <v>253</v>
      </c>
      <c r="B311" t="str" cm="1">
        <f t="array" ref="B311:Y311">VLOOKUP(A311,standard_pitchers_2019!A:Y,{2,3,4,5,6,7,8,9,10,11,12,13,14,15,16,17,18,19,20,21,22,23,24,25},FALSE)</f>
        <v>Tigers</v>
      </c>
      <c r="C311">
        <v>3</v>
      </c>
      <c r="D311">
        <v>13</v>
      </c>
      <c r="E311">
        <v>4.49</v>
      </c>
      <c r="F311">
        <v>32</v>
      </c>
      <c r="G311">
        <v>29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144.1</v>
      </c>
      <c r="N311">
        <v>610</v>
      </c>
      <c r="O311">
        <v>154</v>
      </c>
      <c r="P311">
        <v>75</v>
      </c>
      <c r="Q311">
        <v>72</v>
      </c>
      <c r="R311">
        <v>25</v>
      </c>
      <c r="S311">
        <v>38</v>
      </c>
      <c r="T311">
        <v>0</v>
      </c>
      <c r="U311">
        <v>4</v>
      </c>
      <c r="V311">
        <v>5</v>
      </c>
      <c r="W311">
        <v>0</v>
      </c>
      <c r="X311">
        <v>125</v>
      </c>
      <c r="Y311">
        <v>13475</v>
      </c>
      <c r="Z311" cm="1">
        <f t="array" ref="Z311:AR311">VLOOKUP(A311,advanced_pitchers_2019!A:Y,{3,4,5,6,7,8,9,10,11,12,13,14,15,16,17,18,19,20,21},FALSE)</f>
        <v>7.79</v>
      </c>
      <c r="AA311">
        <v>2.37</v>
      </c>
      <c r="AB311">
        <v>3.29</v>
      </c>
      <c r="AC311">
        <v>1.56</v>
      </c>
      <c r="AD311">
        <v>0.20499999999999999</v>
      </c>
      <c r="AE311">
        <v>6.2E-2</v>
      </c>
      <c r="AF311">
        <v>0.14299999999999999</v>
      </c>
      <c r="AG311">
        <v>0.27100000000000002</v>
      </c>
      <c r="AH311">
        <v>1.33</v>
      </c>
      <c r="AI311">
        <v>0.309</v>
      </c>
      <c r="AJ311">
        <v>0.752</v>
      </c>
      <c r="AK311">
        <v>96</v>
      </c>
      <c r="AL311">
        <v>99</v>
      </c>
      <c r="AM311">
        <v>99</v>
      </c>
      <c r="AN311">
        <v>4.49</v>
      </c>
      <c r="AO311">
        <v>4.6100000000000003</v>
      </c>
      <c r="AP311">
        <v>-0.12</v>
      </c>
      <c r="AQ311">
        <v>4.55</v>
      </c>
      <c r="AR311">
        <v>4.57</v>
      </c>
      <c r="AS311" cm="1">
        <f t="array" ref="AS311:BA311">VLOOKUP(A311,plate_discipline_pitchers_2019!A:L,{3,4,5,6,7,8,9,10,11},FALSE)</f>
        <v>0.311</v>
      </c>
      <c r="AT311">
        <v>0.66700000000000004</v>
      </c>
      <c r="AU311">
        <v>0.47099999999999997</v>
      </c>
      <c r="AV311">
        <v>0.58699999999999997</v>
      </c>
      <c r="AW311">
        <v>0.89300000000000002</v>
      </c>
      <c r="AX311">
        <v>0.78200000000000003</v>
      </c>
      <c r="AY311">
        <v>0.45</v>
      </c>
      <c r="AZ311">
        <v>0.64400000000000002</v>
      </c>
      <c r="BA311">
        <v>0.10299999999999999</v>
      </c>
      <c r="BB311" cm="1">
        <f t="array" ref="BB311:BP311">VLOOKUP(A311,pitchvalue_pitchers_2019!A:Q,{3,4,5,6,7,8,9,10,11,12,13,14,15,16,17},FALSE)</f>
        <v>-11.9</v>
      </c>
      <c r="BC311">
        <v>5.6</v>
      </c>
      <c r="BD311">
        <v>0</v>
      </c>
      <c r="BE311">
        <v>-2</v>
      </c>
      <c r="BF311">
        <v>3.1</v>
      </c>
      <c r="BG311">
        <v>0</v>
      </c>
      <c r="BH311">
        <v>0</v>
      </c>
      <c r="BI311">
        <v>-0.98</v>
      </c>
      <c r="BJ311">
        <v>1.05</v>
      </c>
      <c r="BK311">
        <v>0</v>
      </c>
      <c r="BL311">
        <v>-1.28</v>
      </c>
      <c r="BM311">
        <v>0.7</v>
      </c>
      <c r="BN311">
        <v>0</v>
      </c>
      <c r="BO311">
        <v>0</v>
      </c>
      <c r="BP311">
        <v>13475</v>
      </c>
      <c r="BQ311" cm="1">
        <f t="array" ref="BQ311:CH311">VLOOKUP(A311,battedball_pitchers_2019!A:U,{3,4,5,6,7,8,9,10,11,12,13,14,15,16,17,18,19,20},FALSE)</f>
        <v>0.309</v>
      </c>
      <c r="BR311">
        <v>1.17</v>
      </c>
      <c r="BS311">
        <v>0.21099999999999999</v>
      </c>
      <c r="BT311">
        <v>0.42599999999999999</v>
      </c>
      <c r="BU311">
        <v>0.36399999999999999</v>
      </c>
      <c r="BV311">
        <v>6.9000000000000006E-2</v>
      </c>
      <c r="BW311">
        <v>0.157</v>
      </c>
      <c r="BX311">
        <v>67</v>
      </c>
      <c r="BY311">
        <v>4.18</v>
      </c>
      <c r="BZ311">
        <v>828</v>
      </c>
      <c r="CA311">
        <v>1533</v>
      </c>
      <c r="CB311">
        <v>2361</v>
      </c>
      <c r="CC311">
        <v>0.4</v>
      </c>
      <c r="CD311">
        <v>0.34499999999999997</v>
      </c>
      <c r="CE311">
        <v>0.255</v>
      </c>
      <c r="CF311">
        <v>0.13500000000000001</v>
      </c>
      <c r="CG311">
        <v>0.48099999999999998</v>
      </c>
      <c r="CH311">
        <v>0.38400000000000001</v>
      </c>
      <c r="CI311" cm="1">
        <f t="array" ref="CI311:CS311">VLOOKUP(A311,verticalmove_pitchers_2019!A:N,{3,4,5,6,7,8,9,10,11,12,13},FALSE)</f>
        <v>144.1</v>
      </c>
      <c r="CJ311">
        <v>8.8000000000000007</v>
      </c>
      <c r="CK311">
        <v>0</v>
      </c>
      <c r="CL311">
        <v>0</v>
      </c>
      <c r="CM311">
        <v>5.4</v>
      </c>
      <c r="CN311">
        <v>-0.7</v>
      </c>
      <c r="CO311">
        <v>-0.1</v>
      </c>
      <c r="CP311">
        <v>-9.4</v>
      </c>
      <c r="CQ311">
        <v>0</v>
      </c>
      <c r="CR311">
        <v>0</v>
      </c>
      <c r="CS311">
        <v>0</v>
      </c>
      <c r="CT311" cm="1">
        <f t="array" ref="CT311:DD311">VLOOKUP(A311,velocity_pitchers_2019!A:N,{3,4,5,6,7,8,9,10,11,12,13},FALSE)</f>
        <v>144.1</v>
      </c>
      <c r="CU311">
        <v>91.1</v>
      </c>
      <c r="CV311">
        <v>0</v>
      </c>
      <c r="CW311">
        <v>0</v>
      </c>
      <c r="CX311">
        <v>90.7</v>
      </c>
      <c r="CY311">
        <v>85.9</v>
      </c>
      <c r="CZ311">
        <v>84.6</v>
      </c>
      <c r="DA311">
        <v>76.099999999999994</v>
      </c>
      <c r="DB311">
        <v>0</v>
      </c>
      <c r="DC311">
        <v>0</v>
      </c>
      <c r="DD311">
        <v>0</v>
      </c>
    </row>
    <row r="312" spans="1:108" x14ac:dyDescent="0.3">
      <c r="A312" t="s">
        <v>247</v>
      </c>
      <c r="B312" t="str" cm="1">
        <f t="array" ref="B312:Y312">VLOOKUP(A312,standard_pitchers_2019!A:Y,{2,3,4,5,6,7,8,9,10,11,12,13,14,15,16,17,18,19,20,21,22,23,24,25},FALSE)</f>
        <v>Yankees</v>
      </c>
      <c r="C312">
        <v>11</v>
      </c>
      <c r="D312">
        <v>9</v>
      </c>
      <c r="E312">
        <v>4.45</v>
      </c>
      <c r="F312">
        <v>32</v>
      </c>
      <c r="G312">
        <v>31</v>
      </c>
      <c r="H312">
        <v>1</v>
      </c>
      <c r="I312">
        <v>1</v>
      </c>
      <c r="J312">
        <v>0</v>
      </c>
      <c r="K312">
        <v>0</v>
      </c>
      <c r="L312">
        <v>0</v>
      </c>
      <c r="M312">
        <v>182</v>
      </c>
      <c r="N312">
        <v>759</v>
      </c>
      <c r="O312">
        <v>186</v>
      </c>
      <c r="P312">
        <v>95</v>
      </c>
      <c r="Q312">
        <v>90</v>
      </c>
      <c r="R312">
        <v>28</v>
      </c>
      <c r="S312">
        <v>40</v>
      </c>
      <c r="T312">
        <v>0</v>
      </c>
      <c r="U312">
        <v>2</v>
      </c>
      <c r="V312">
        <v>7</v>
      </c>
      <c r="W312">
        <v>0</v>
      </c>
      <c r="X312">
        <v>149</v>
      </c>
      <c r="Y312">
        <v>15764</v>
      </c>
      <c r="Z312" cm="1">
        <f t="array" ref="Z312:AR312">VLOOKUP(A312,advanced_pitchers_2019!A:Y,{3,4,5,6,7,8,9,10,11,12,13,14,15,16,17,18,19,20,21},FALSE)</f>
        <v>7.37</v>
      </c>
      <c r="AA312">
        <v>1.98</v>
      </c>
      <c r="AB312">
        <v>3.73</v>
      </c>
      <c r="AC312">
        <v>1.38</v>
      </c>
      <c r="AD312">
        <v>0.19600000000000001</v>
      </c>
      <c r="AE312">
        <v>5.2999999999999999E-2</v>
      </c>
      <c r="AF312">
        <v>0.14399999999999999</v>
      </c>
      <c r="AG312">
        <v>0.25900000000000001</v>
      </c>
      <c r="AH312">
        <v>1.24</v>
      </c>
      <c r="AI312">
        <v>0.29299999999999998</v>
      </c>
      <c r="AJ312">
        <v>0.70399999999999996</v>
      </c>
      <c r="AK312">
        <v>97</v>
      </c>
      <c r="AL312">
        <v>91</v>
      </c>
      <c r="AM312">
        <v>94</v>
      </c>
      <c r="AN312">
        <v>4.45</v>
      </c>
      <c r="AO312">
        <v>4.2699999999999996</v>
      </c>
      <c r="AP312">
        <v>0.18</v>
      </c>
      <c r="AQ312">
        <v>4.29</v>
      </c>
      <c r="AR312">
        <v>4.46</v>
      </c>
      <c r="AS312" cm="1">
        <f t="array" ref="AS312:BA312">VLOOKUP(A312,plate_discipline_pitchers_2019!A:L,{3,4,5,6,7,8,9,10,11},FALSE)</f>
        <v>0.36899999999999999</v>
      </c>
      <c r="AT312">
        <v>0.70199999999999996</v>
      </c>
      <c r="AU312">
        <v>0.503</v>
      </c>
      <c r="AV312">
        <v>0.66900000000000004</v>
      </c>
      <c r="AW312">
        <v>0.88</v>
      </c>
      <c r="AX312">
        <v>0.78700000000000003</v>
      </c>
      <c r="AY312">
        <v>0.40200000000000002</v>
      </c>
      <c r="AZ312">
        <v>0.68799999999999994</v>
      </c>
      <c r="BA312">
        <v>0.107</v>
      </c>
      <c r="BB312" cm="1">
        <f t="array" ref="BB312:BP312">VLOOKUP(A312,pitchvalue_pitchers_2019!A:Q,{3,4,5,6,7,8,9,10,11,12,13,14,15,16,17},FALSE)</f>
        <v>-12</v>
      </c>
      <c r="BC312">
        <v>21.6</v>
      </c>
      <c r="BD312">
        <v>-1.2</v>
      </c>
      <c r="BE312">
        <v>-0.8</v>
      </c>
      <c r="BF312">
        <v>-0.1</v>
      </c>
      <c r="BG312">
        <v>-6.2</v>
      </c>
      <c r="BH312">
        <v>0</v>
      </c>
      <c r="BI312">
        <v>-1.41</v>
      </c>
      <c r="BJ312">
        <v>2.14</v>
      </c>
      <c r="BK312">
        <v>-2.71</v>
      </c>
      <c r="BL312">
        <v>-0.86</v>
      </c>
      <c r="BM312">
        <v>-0.34</v>
      </c>
      <c r="BN312">
        <v>-0.83</v>
      </c>
      <c r="BO312">
        <v>0</v>
      </c>
      <c r="BP312">
        <v>15764</v>
      </c>
      <c r="BQ312" cm="1">
        <f t="array" ref="BQ312:CH312">VLOOKUP(A312,battedball_pitchers_2019!A:U,{3,4,5,6,7,8,9,10,11,12,13,14,15,16,17,18,19,20},FALSE)</f>
        <v>0.29299999999999998</v>
      </c>
      <c r="BR312">
        <v>1.45</v>
      </c>
      <c r="BS312">
        <v>0.19700000000000001</v>
      </c>
      <c r="BT312">
        <v>0.47499999999999998</v>
      </c>
      <c r="BU312">
        <v>0.32800000000000001</v>
      </c>
      <c r="BV312">
        <v>0.11899999999999999</v>
      </c>
      <c r="BW312">
        <v>0.151</v>
      </c>
      <c r="BX312">
        <v>116</v>
      </c>
      <c r="BY312">
        <v>5.74</v>
      </c>
      <c r="BZ312">
        <v>912</v>
      </c>
      <c r="CA312">
        <v>1875</v>
      </c>
      <c r="CB312">
        <v>2787</v>
      </c>
      <c r="CC312">
        <v>0.47899999999999998</v>
      </c>
      <c r="CD312">
        <v>0.30099999999999999</v>
      </c>
      <c r="CE312">
        <v>0.22</v>
      </c>
      <c r="CF312">
        <v>0.16400000000000001</v>
      </c>
      <c r="CG312">
        <v>0.44500000000000001</v>
      </c>
      <c r="CH312">
        <v>0.39100000000000001</v>
      </c>
      <c r="CI312" cm="1">
        <f t="array" ref="CI312:CS312">VLOOKUP(A312,verticalmove_pitchers_2019!A:N,{3,4,5,6,7,8,9,10,11,12,13},FALSE)</f>
        <v>182</v>
      </c>
      <c r="CJ312">
        <v>8.5</v>
      </c>
      <c r="CK312">
        <v>4.4000000000000004</v>
      </c>
      <c r="CL312">
        <v>2.2999999999999998</v>
      </c>
      <c r="CM312">
        <v>4.5999999999999996</v>
      </c>
      <c r="CN312">
        <v>0</v>
      </c>
      <c r="CO312">
        <v>-0.3</v>
      </c>
      <c r="CP312">
        <v>-6.1</v>
      </c>
      <c r="CQ312">
        <v>0</v>
      </c>
      <c r="CR312">
        <v>0</v>
      </c>
      <c r="CS312">
        <v>0</v>
      </c>
      <c r="CT312" cm="1">
        <f t="array" ref="CT312:DD312">VLOOKUP(A312,velocity_pitchers_2019!A:N,{3,4,5,6,7,8,9,10,11,12,13},FALSE)</f>
        <v>182</v>
      </c>
      <c r="CU312">
        <v>91.7</v>
      </c>
      <c r="CV312">
        <v>87.9</v>
      </c>
      <c r="CW312">
        <v>87</v>
      </c>
      <c r="CX312">
        <v>90.9</v>
      </c>
      <c r="CY312">
        <v>0</v>
      </c>
      <c r="CZ312">
        <v>83.4</v>
      </c>
      <c r="DA312">
        <v>76.099999999999994</v>
      </c>
      <c r="DB312">
        <v>0</v>
      </c>
      <c r="DC312">
        <v>0</v>
      </c>
      <c r="DD312">
        <v>0</v>
      </c>
    </row>
    <row r="313" spans="1:108" x14ac:dyDescent="0.3">
      <c r="A313" t="s">
        <v>379</v>
      </c>
      <c r="B313" t="str" cm="1">
        <f t="array" ref="B313:Y313">VLOOKUP(A313,standard_pitchers_2019!A:Y,{2,3,4,5,6,7,8,9,10,11,12,13,14,15,16,17,18,19,20,21,22,23,24,25},FALSE)</f>
        <v>Angels</v>
      </c>
      <c r="C313">
        <v>4</v>
      </c>
      <c r="D313">
        <v>10</v>
      </c>
      <c r="E313">
        <v>6.42</v>
      </c>
      <c r="F313">
        <v>19</v>
      </c>
      <c r="G313">
        <v>13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82.2</v>
      </c>
      <c r="N313">
        <v>365</v>
      </c>
      <c r="O313">
        <v>92</v>
      </c>
      <c r="P313">
        <v>61</v>
      </c>
      <c r="Q313">
        <v>59</v>
      </c>
      <c r="R313">
        <v>24</v>
      </c>
      <c r="S313">
        <v>27</v>
      </c>
      <c r="T313">
        <v>0</v>
      </c>
      <c r="U313">
        <v>2</v>
      </c>
      <c r="V313">
        <v>1</v>
      </c>
      <c r="W313">
        <v>0</v>
      </c>
      <c r="X313">
        <v>75</v>
      </c>
      <c r="Y313">
        <v>18356</v>
      </c>
      <c r="Z313" cm="1">
        <f t="array" ref="Z313:AR313">VLOOKUP(A313,advanced_pitchers_2019!A:Y,{3,4,5,6,7,8,9,10,11,12,13,14,15,16,17,18,19,20,21},FALSE)</f>
        <v>8.17</v>
      </c>
      <c r="AA313">
        <v>2.94</v>
      </c>
      <c r="AB313">
        <v>2.78</v>
      </c>
      <c r="AC313">
        <v>2.61</v>
      </c>
      <c r="AD313">
        <v>0.20499999999999999</v>
      </c>
      <c r="AE313">
        <v>7.3999999999999996E-2</v>
      </c>
      <c r="AF313">
        <v>0.13200000000000001</v>
      </c>
      <c r="AG313">
        <v>0.27400000000000002</v>
      </c>
      <c r="AH313">
        <v>1.44</v>
      </c>
      <c r="AI313">
        <v>0.28699999999999998</v>
      </c>
      <c r="AJ313">
        <v>0.68600000000000005</v>
      </c>
      <c r="AK313">
        <v>143</v>
      </c>
      <c r="AL313">
        <v>136</v>
      </c>
      <c r="AM313">
        <v>116</v>
      </c>
      <c r="AN313">
        <v>6.42</v>
      </c>
      <c r="AO313">
        <v>6.23</v>
      </c>
      <c r="AP313">
        <v>0.2</v>
      </c>
      <c r="AQ313">
        <v>5.32</v>
      </c>
      <c r="AR313">
        <v>4.78</v>
      </c>
      <c r="AS313" cm="1">
        <f t="array" ref="AS313:BA313">VLOOKUP(A313,plate_discipline_pitchers_2019!A:L,{3,4,5,6,7,8,9,10,11},FALSE)</f>
        <v>0.26400000000000001</v>
      </c>
      <c r="AT313">
        <v>0.69399999999999995</v>
      </c>
      <c r="AU313">
        <v>0.441</v>
      </c>
      <c r="AV313">
        <v>0.66800000000000004</v>
      </c>
      <c r="AW313">
        <v>0.85499999999999998</v>
      </c>
      <c r="AX313">
        <v>0.79</v>
      </c>
      <c r="AY313">
        <v>0.41299999999999998</v>
      </c>
      <c r="AZ313">
        <v>0.57799999999999996</v>
      </c>
      <c r="BA313">
        <v>9.2999999999999999E-2</v>
      </c>
      <c r="BB313" cm="1">
        <f t="array" ref="BB313:BP313">VLOOKUP(A313,pitchvalue_pitchers_2019!A:Q,{3,4,5,6,7,8,9,10,11,12,13,14,15,16,17},FALSE)</f>
        <v>-12.1</v>
      </c>
      <c r="BC313">
        <v>0.9</v>
      </c>
      <c r="BD313">
        <v>0</v>
      </c>
      <c r="BE313">
        <v>0</v>
      </c>
      <c r="BF313">
        <v>-7.3</v>
      </c>
      <c r="BG313">
        <v>0</v>
      </c>
      <c r="BH313">
        <v>0</v>
      </c>
      <c r="BI313">
        <v>-2.19</v>
      </c>
      <c r="BJ313">
        <v>0.13</v>
      </c>
      <c r="BK313">
        <v>0</v>
      </c>
      <c r="BL313">
        <v>0</v>
      </c>
      <c r="BM313">
        <v>-2.99</v>
      </c>
      <c r="BN313">
        <v>0</v>
      </c>
      <c r="BO313">
        <v>0</v>
      </c>
      <c r="BP313">
        <v>18356</v>
      </c>
      <c r="BQ313" cm="1">
        <f t="array" ref="BQ313:CH313">VLOOKUP(A313,battedball_pitchers_2019!A:U,{3,4,5,6,7,8,9,10,11,12,13,14,15,16,17,18,19,20},FALSE)</f>
        <v>0.28699999999999998</v>
      </c>
      <c r="BR313">
        <v>0.74</v>
      </c>
      <c r="BS313">
        <v>0.19500000000000001</v>
      </c>
      <c r="BT313">
        <v>0.34200000000000003</v>
      </c>
      <c r="BU313">
        <v>0.46300000000000002</v>
      </c>
      <c r="BV313">
        <v>0.05</v>
      </c>
      <c r="BW313">
        <v>0.20200000000000001</v>
      </c>
      <c r="BX313">
        <v>31</v>
      </c>
      <c r="BY313">
        <v>3.38</v>
      </c>
      <c r="BZ313">
        <v>585</v>
      </c>
      <c r="CA313">
        <v>913</v>
      </c>
      <c r="CB313">
        <v>1498</v>
      </c>
      <c r="CC313">
        <v>0.42899999999999999</v>
      </c>
      <c r="CD313">
        <v>0.35199999999999998</v>
      </c>
      <c r="CE313">
        <v>0.218</v>
      </c>
      <c r="CF313">
        <v>0.115</v>
      </c>
      <c r="CG313">
        <v>0.46400000000000002</v>
      </c>
      <c r="CH313">
        <v>0.42099999999999999</v>
      </c>
      <c r="CI313" cm="1">
        <f t="array" ref="CI313:CS313">VLOOKUP(A313,verticalmove_pitchers_2019!A:N,{3,4,5,6,7,8,9,10,11,12,13},FALSE)</f>
        <v>82.2</v>
      </c>
      <c r="CJ313">
        <v>9.3000000000000007</v>
      </c>
      <c r="CK313">
        <v>0</v>
      </c>
      <c r="CL313">
        <v>0</v>
      </c>
      <c r="CM313">
        <v>7.8</v>
      </c>
      <c r="CN313">
        <v>4.3</v>
      </c>
      <c r="CO313">
        <v>2.4</v>
      </c>
      <c r="CP313">
        <v>-2.2999999999999998</v>
      </c>
      <c r="CQ313">
        <v>0</v>
      </c>
      <c r="CR313">
        <v>0</v>
      </c>
      <c r="CS313">
        <v>0</v>
      </c>
      <c r="CT313" cm="1">
        <f t="array" ref="CT313:DD313">VLOOKUP(A313,velocity_pitchers_2019!A:N,{3,4,5,6,7,8,9,10,11,12,13},FALSE)</f>
        <v>82.2</v>
      </c>
      <c r="CU313">
        <v>91.8</v>
      </c>
      <c r="CV313">
        <v>0</v>
      </c>
      <c r="CW313">
        <v>0</v>
      </c>
      <c r="CX313">
        <v>92.3</v>
      </c>
      <c r="CY313">
        <v>83.4</v>
      </c>
      <c r="CZ313">
        <v>84.1</v>
      </c>
      <c r="DA313">
        <v>81.2</v>
      </c>
      <c r="DB313">
        <v>0</v>
      </c>
      <c r="DC313">
        <v>0</v>
      </c>
      <c r="DD313">
        <v>0</v>
      </c>
    </row>
    <row r="314" spans="1:108" x14ac:dyDescent="0.3">
      <c r="A314" t="s">
        <v>367</v>
      </c>
      <c r="B314" t="str" cm="1">
        <f t="array" ref="B314:Y314">VLOOKUP(A314,standard_pitchers_2019!A:Y,{2,3,4,5,6,7,8,9,10,11,12,13,14,15,16,17,18,19,20,21,22,23,24,25},FALSE)</f>
        <v>- - -</v>
      </c>
      <c r="C314">
        <v>4</v>
      </c>
      <c r="D314">
        <v>5</v>
      </c>
      <c r="E314">
        <v>5.97</v>
      </c>
      <c r="F314">
        <v>33</v>
      </c>
      <c r="G314">
        <v>9</v>
      </c>
      <c r="H314">
        <v>0</v>
      </c>
      <c r="I314">
        <v>0</v>
      </c>
      <c r="J314">
        <v>2</v>
      </c>
      <c r="K314">
        <v>0</v>
      </c>
      <c r="L314">
        <v>0</v>
      </c>
      <c r="M314">
        <v>92</v>
      </c>
      <c r="N314">
        <v>407</v>
      </c>
      <c r="O314">
        <v>96</v>
      </c>
      <c r="P314">
        <v>62</v>
      </c>
      <c r="Q314">
        <v>61</v>
      </c>
      <c r="R314">
        <v>14</v>
      </c>
      <c r="S314">
        <v>42</v>
      </c>
      <c r="T314">
        <v>2</v>
      </c>
      <c r="U314">
        <v>5</v>
      </c>
      <c r="V314">
        <v>3</v>
      </c>
      <c r="W314">
        <v>1</v>
      </c>
      <c r="X314">
        <v>70</v>
      </c>
      <c r="Y314">
        <v>14862</v>
      </c>
      <c r="Z314" cm="1">
        <f t="array" ref="Z314:AR314">VLOOKUP(A314,advanced_pitchers_2019!A:Y,{3,4,5,6,7,8,9,10,11,12,13,14,15,16,17,18,19,20,21},FALSE)</f>
        <v>6.85</v>
      </c>
      <c r="AA314">
        <v>4.1100000000000003</v>
      </c>
      <c r="AB314">
        <v>1.67</v>
      </c>
      <c r="AC314">
        <v>1.37</v>
      </c>
      <c r="AD314">
        <v>0.17199999999999999</v>
      </c>
      <c r="AE314">
        <v>0.10299999999999999</v>
      </c>
      <c r="AF314">
        <v>6.9000000000000006E-2</v>
      </c>
      <c r="AG314">
        <v>0.26700000000000002</v>
      </c>
      <c r="AH314">
        <v>1.5</v>
      </c>
      <c r="AI314">
        <v>0.29699999999999999</v>
      </c>
      <c r="AJ314">
        <v>0.65600000000000003</v>
      </c>
      <c r="AK314">
        <v>135</v>
      </c>
      <c r="AL314">
        <v>118</v>
      </c>
      <c r="AM314">
        <v>122</v>
      </c>
      <c r="AN314">
        <v>5.97</v>
      </c>
      <c r="AO314">
        <v>5.2</v>
      </c>
      <c r="AP314">
        <v>0.76</v>
      </c>
      <c r="AQ314">
        <v>5.43</v>
      </c>
      <c r="AR314">
        <v>5.27</v>
      </c>
      <c r="AS314" cm="1">
        <f t="array" ref="AS314:BA314">VLOOKUP(A314,plate_discipline_pitchers_2019!A:L,{3,4,5,6,7,8,9,10,11},FALSE)</f>
        <v>0.31900000000000001</v>
      </c>
      <c r="AT314">
        <v>0.67</v>
      </c>
      <c r="AU314">
        <v>0.45900000000000002</v>
      </c>
      <c r="AV314">
        <v>0.61599999999999999</v>
      </c>
      <c r="AW314">
        <v>0.89800000000000002</v>
      </c>
      <c r="AX314">
        <v>0.78</v>
      </c>
      <c r="AY314">
        <v>0.39800000000000002</v>
      </c>
      <c r="AZ314">
        <v>0.60899999999999999</v>
      </c>
      <c r="BA314">
        <v>0.10100000000000001</v>
      </c>
      <c r="BB314" cm="1">
        <f t="array" ref="BB314:BP314">VLOOKUP(A314,pitchvalue_pitchers_2019!A:Q,{3,4,5,6,7,8,9,10,11,12,13,14,15,16,17},FALSE)</f>
        <v>-12.1</v>
      </c>
      <c r="BC314">
        <v>0</v>
      </c>
      <c r="BD314">
        <v>2.8</v>
      </c>
      <c r="BE314">
        <v>2.8</v>
      </c>
      <c r="BF314">
        <v>0.2</v>
      </c>
      <c r="BG314">
        <v>0</v>
      </c>
      <c r="BH314">
        <v>0</v>
      </c>
      <c r="BI314">
        <v>-2.27</v>
      </c>
      <c r="BJ314">
        <v>0</v>
      </c>
      <c r="BK314">
        <v>1.05</v>
      </c>
      <c r="BL314">
        <v>0.43</v>
      </c>
      <c r="BM314">
        <v>0.25</v>
      </c>
      <c r="BN314">
        <v>0</v>
      </c>
      <c r="BO314">
        <v>0</v>
      </c>
      <c r="BP314">
        <v>14862</v>
      </c>
      <c r="BQ314" cm="1">
        <f t="array" ref="BQ314:CH314">VLOOKUP(A314,battedball_pitchers_2019!A:U,{3,4,5,6,7,8,9,10,11,12,13,14,15,16,17,18,19,20},FALSE)</f>
        <v>0.29699999999999999</v>
      </c>
      <c r="BR314">
        <v>1.21</v>
      </c>
      <c r="BS314">
        <v>0.21299999999999999</v>
      </c>
      <c r="BT314">
        <v>0.43</v>
      </c>
      <c r="BU314">
        <v>0.35699999999999998</v>
      </c>
      <c r="BV314">
        <v>8.7999999999999995E-2</v>
      </c>
      <c r="BW314">
        <v>0.13700000000000001</v>
      </c>
      <c r="BX314">
        <v>54</v>
      </c>
      <c r="BY314">
        <v>5.28</v>
      </c>
      <c r="BZ314">
        <v>586</v>
      </c>
      <c r="CA314">
        <v>962</v>
      </c>
      <c r="CB314">
        <v>1548</v>
      </c>
      <c r="CC314">
        <v>0.439</v>
      </c>
      <c r="CD314">
        <v>0.32900000000000001</v>
      </c>
      <c r="CE314">
        <v>0.23200000000000001</v>
      </c>
      <c r="CF314">
        <v>0.16300000000000001</v>
      </c>
      <c r="CG314">
        <v>0.45</v>
      </c>
      <c r="CH314">
        <v>0.38800000000000001</v>
      </c>
      <c r="CI314" cm="1">
        <f t="array" ref="CI314:CS314">VLOOKUP(A314,verticalmove_pitchers_2019!A:N,{3,4,5,6,7,8,9,10,11,12,13},FALSE)</f>
        <v>92</v>
      </c>
      <c r="CJ314">
        <v>-0.6</v>
      </c>
      <c r="CK314">
        <v>3.7</v>
      </c>
      <c r="CL314">
        <v>0</v>
      </c>
      <c r="CM314">
        <v>2.4</v>
      </c>
      <c r="CN314">
        <v>0.2</v>
      </c>
      <c r="CO314">
        <v>0</v>
      </c>
      <c r="CP314">
        <v>-4.5</v>
      </c>
      <c r="CQ314">
        <v>0</v>
      </c>
      <c r="CR314">
        <v>0</v>
      </c>
      <c r="CS314">
        <v>0</v>
      </c>
      <c r="CT314" cm="1">
        <f t="array" ref="CT314:DD314">VLOOKUP(A314,velocity_pitchers_2019!A:N,{3,4,5,6,7,8,9,10,11,12,13},FALSE)</f>
        <v>92</v>
      </c>
      <c r="CU314">
        <v>85.1</v>
      </c>
      <c r="CV314">
        <v>88.8</v>
      </c>
      <c r="CW314">
        <v>0</v>
      </c>
      <c r="CX314">
        <v>90.2</v>
      </c>
      <c r="CY314">
        <v>83.6</v>
      </c>
      <c r="CZ314">
        <v>0</v>
      </c>
      <c r="DA314">
        <v>82</v>
      </c>
      <c r="DB314">
        <v>0</v>
      </c>
      <c r="DC314">
        <v>0</v>
      </c>
      <c r="DD314">
        <v>0</v>
      </c>
    </row>
    <row r="315" spans="1:108" x14ac:dyDescent="0.3">
      <c r="A315" t="s">
        <v>392</v>
      </c>
      <c r="B315" t="str" cm="1">
        <f t="array" ref="B315:Y315">VLOOKUP(A315,standard_pitchers_2019!A:Y,{2,3,4,5,6,7,8,9,10,11,12,13,14,15,16,17,18,19,20,21,22,23,24,25},FALSE)</f>
        <v>Angels</v>
      </c>
      <c r="C315">
        <v>2</v>
      </c>
      <c r="D315">
        <v>6</v>
      </c>
      <c r="E315">
        <v>7.11</v>
      </c>
      <c r="F315">
        <v>19</v>
      </c>
      <c r="G315">
        <v>15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81</v>
      </c>
      <c r="N315">
        <v>375</v>
      </c>
      <c r="O315">
        <v>100</v>
      </c>
      <c r="P315">
        <v>67</v>
      </c>
      <c r="Q315">
        <v>64</v>
      </c>
      <c r="R315">
        <v>23</v>
      </c>
      <c r="S315">
        <v>33</v>
      </c>
      <c r="T315">
        <v>1</v>
      </c>
      <c r="U315">
        <v>10</v>
      </c>
      <c r="V315">
        <v>5</v>
      </c>
      <c r="W315">
        <v>1</v>
      </c>
      <c r="X315">
        <v>72</v>
      </c>
      <c r="Y315">
        <v>19911</v>
      </c>
      <c r="Z315" cm="1">
        <f t="array" ref="Z315:AR315">VLOOKUP(A315,advanced_pitchers_2019!A:Y,{3,4,5,6,7,8,9,10,11,12,13,14,15,16,17,18,19,20,21},FALSE)</f>
        <v>8</v>
      </c>
      <c r="AA315">
        <v>3.67</v>
      </c>
      <c r="AB315">
        <v>2.1800000000000002</v>
      </c>
      <c r="AC315">
        <v>2.56</v>
      </c>
      <c r="AD315">
        <v>0.192</v>
      </c>
      <c r="AE315">
        <v>8.7999999999999995E-2</v>
      </c>
      <c r="AF315">
        <v>0.104</v>
      </c>
      <c r="AG315">
        <v>0.30099999999999999</v>
      </c>
      <c r="AH315">
        <v>1.64</v>
      </c>
      <c r="AI315">
        <v>0.32500000000000001</v>
      </c>
      <c r="AJ315">
        <v>0.68600000000000005</v>
      </c>
      <c r="AK315">
        <v>158</v>
      </c>
      <c r="AL315">
        <v>147</v>
      </c>
      <c r="AM315">
        <v>124</v>
      </c>
      <c r="AN315">
        <v>7.11</v>
      </c>
      <c r="AO315">
        <v>6.72</v>
      </c>
      <c r="AP315">
        <v>0.39</v>
      </c>
      <c r="AQ315">
        <v>5.71</v>
      </c>
      <c r="AR315">
        <v>5.09</v>
      </c>
      <c r="AS315" cm="1">
        <f t="array" ref="AS315:BA315">VLOOKUP(A315,plate_discipline_pitchers_2019!A:L,{3,4,5,6,7,8,9,10,11},FALSE)</f>
        <v>0.27900000000000003</v>
      </c>
      <c r="AT315">
        <v>0.7</v>
      </c>
      <c r="AU315">
        <v>0.45500000000000002</v>
      </c>
      <c r="AV315">
        <v>0.57899999999999996</v>
      </c>
      <c r="AW315">
        <v>0.86599999999999999</v>
      </c>
      <c r="AX315">
        <v>0.76300000000000001</v>
      </c>
      <c r="AY315">
        <v>0.41699999999999998</v>
      </c>
      <c r="AZ315">
        <v>0.54100000000000004</v>
      </c>
      <c r="BA315">
        <v>0.108</v>
      </c>
      <c r="BB315" cm="1">
        <f t="array" ref="BB315:BP315">VLOOKUP(A315,pitchvalue_pitchers_2019!A:Q,{3,4,5,6,7,8,9,10,11,12,13,14,15,16,17},FALSE)</f>
        <v>-12.2</v>
      </c>
      <c r="BC315">
        <v>-2</v>
      </c>
      <c r="BD315">
        <v>0</v>
      </c>
      <c r="BE315">
        <v>-5.2</v>
      </c>
      <c r="BF315">
        <v>-4.0999999999999996</v>
      </c>
      <c r="BG315">
        <v>0</v>
      </c>
      <c r="BH315">
        <v>0</v>
      </c>
      <c r="BI315">
        <v>-1.74</v>
      </c>
      <c r="BJ315">
        <v>-4.55</v>
      </c>
      <c r="BK315">
        <v>0</v>
      </c>
      <c r="BL315">
        <v>-1.84</v>
      </c>
      <c r="BM315">
        <v>-0.9</v>
      </c>
      <c r="BN315">
        <v>0</v>
      </c>
      <c r="BO315">
        <v>0</v>
      </c>
      <c r="BP315">
        <v>19911</v>
      </c>
      <c r="BQ315" cm="1">
        <f t="array" ref="BQ315:CH315">VLOOKUP(A315,battedball_pitchers_2019!A:U,{3,4,5,6,7,8,9,10,11,12,13,14,15,16,17,18,19,20},FALSE)</f>
        <v>0.32500000000000001</v>
      </c>
      <c r="BR315">
        <v>0.83</v>
      </c>
      <c r="BS315">
        <v>0.22</v>
      </c>
      <c r="BT315">
        <v>0.35299999999999998</v>
      </c>
      <c r="BU315">
        <v>0.42699999999999999</v>
      </c>
      <c r="BV315">
        <v>0.13800000000000001</v>
      </c>
      <c r="BW315">
        <v>0.21099999999999999</v>
      </c>
      <c r="BX315">
        <v>52</v>
      </c>
      <c r="BY315">
        <v>5.78</v>
      </c>
      <c r="BZ315">
        <v>567</v>
      </c>
      <c r="CA315">
        <v>919</v>
      </c>
      <c r="CB315">
        <v>1486</v>
      </c>
      <c r="CC315">
        <v>0.45400000000000001</v>
      </c>
      <c r="CD315">
        <v>0.28499999999999998</v>
      </c>
      <c r="CE315">
        <v>0.26200000000000001</v>
      </c>
      <c r="CF315">
        <v>0.154</v>
      </c>
      <c r="CG315">
        <v>0.36899999999999999</v>
      </c>
      <c r="CH315">
        <v>0.47699999999999998</v>
      </c>
      <c r="CI315" cm="1">
        <f t="array" ref="CI315:CS315">VLOOKUP(A315,verticalmove_pitchers_2019!A:N,{3,4,5,6,7,8,9,10,11,12,13},FALSE)</f>
        <v>81</v>
      </c>
      <c r="CJ315">
        <v>8.1999999999999993</v>
      </c>
      <c r="CK315">
        <v>0</v>
      </c>
      <c r="CL315">
        <v>0</v>
      </c>
      <c r="CM315">
        <v>4.8</v>
      </c>
      <c r="CN315">
        <v>3.8</v>
      </c>
      <c r="CO315">
        <v>-1.1000000000000001</v>
      </c>
      <c r="CP315">
        <v>-4.8</v>
      </c>
      <c r="CQ315">
        <v>0</v>
      </c>
      <c r="CR315">
        <v>0</v>
      </c>
      <c r="CS315">
        <v>0</v>
      </c>
      <c r="CT315" cm="1">
        <f t="array" ref="CT315:DD315">VLOOKUP(A315,velocity_pitchers_2019!A:N,{3,4,5,6,7,8,9,10,11,12,13},FALSE)</f>
        <v>81</v>
      </c>
      <c r="CU315">
        <v>91.8</v>
      </c>
      <c r="CV315">
        <v>0</v>
      </c>
      <c r="CW315">
        <v>0</v>
      </c>
      <c r="CX315">
        <v>91.1</v>
      </c>
      <c r="CY315">
        <v>81.900000000000006</v>
      </c>
      <c r="CZ315">
        <v>81</v>
      </c>
      <c r="DA315">
        <v>75.8</v>
      </c>
      <c r="DB315">
        <v>0</v>
      </c>
      <c r="DC315">
        <v>0</v>
      </c>
      <c r="DD315">
        <v>0</v>
      </c>
    </row>
    <row r="316" spans="1:108" x14ac:dyDescent="0.3">
      <c r="A316" t="s">
        <v>248</v>
      </c>
      <c r="B316" t="str" cm="1">
        <f t="array" ref="B316:Y316">VLOOKUP(A316,standard_pitchers_2019!A:Y,{2,3,4,5,6,7,8,9,10,11,12,13,14,15,16,17,18,19,20,21,22,23,24,25},FALSE)</f>
        <v>Cubs</v>
      </c>
      <c r="C316">
        <v>13</v>
      </c>
      <c r="D316">
        <v>10</v>
      </c>
      <c r="E316">
        <v>4.46</v>
      </c>
      <c r="F316">
        <v>31</v>
      </c>
      <c r="G316">
        <v>31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171.2</v>
      </c>
      <c r="N316">
        <v>764</v>
      </c>
      <c r="O316">
        <v>205</v>
      </c>
      <c r="P316">
        <v>101</v>
      </c>
      <c r="Q316">
        <v>85</v>
      </c>
      <c r="R316">
        <v>26</v>
      </c>
      <c r="S316">
        <v>52</v>
      </c>
      <c r="T316">
        <v>0</v>
      </c>
      <c r="U316">
        <v>5</v>
      </c>
      <c r="V316">
        <v>3</v>
      </c>
      <c r="W316">
        <v>0</v>
      </c>
      <c r="X316">
        <v>165</v>
      </c>
      <c r="Y316">
        <v>4930</v>
      </c>
      <c r="Z316" cm="1">
        <f t="array" ref="Z316:AR316">VLOOKUP(A316,advanced_pitchers_2019!A:Y,{3,4,5,6,7,8,9,10,11,12,13,14,15,16,17,18,19,20,21},FALSE)</f>
        <v>8.65</v>
      </c>
      <c r="AA316">
        <v>2.73</v>
      </c>
      <c r="AB316">
        <v>3.17</v>
      </c>
      <c r="AC316">
        <v>1.36</v>
      </c>
      <c r="AD316">
        <v>0.216</v>
      </c>
      <c r="AE316">
        <v>6.8000000000000005E-2</v>
      </c>
      <c r="AF316">
        <v>0.14799999999999999</v>
      </c>
      <c r="AG316">
        <v>0.28999999999999998</v>
      </c>
      <c r="AH316">
        <v>1.5</v>
      </c>
      <c r="AI316">
        <v>0.34699999999999998</v>
      </c>
      <c r="AJ316">
        <v>0.71399999999999997</v>
      </c>
      <c r="AK316">
        <v>102</v>
      </c>
      <c r="AL316">
        <v>96</v>
      </c>
      <c r="AM316">
        <v>98</v>
      </c>
      <c r="AN316">
        <v>4.46</v>
      </c>
      <c r="AO316">
        <v>4.26</v>
      </c>
      <c r="AP316">
        <v>0.2</v>
      </c>
      <c r="AQ316">
        <v>4.3499999999999996</v>
      </c>
      <c r="AR316">
        <v>4.49</v>
      </c>
      <c r="AS316" cm="1">
        <f t="array" ref="AS316:BA316">VLOOKUP(A316,plate_discipline_pitchers_2019!A:L,{3,4,5,6,7,8,9,10,11},FALSE)</f>
        <v>0.3</v>
      </c>
      <c r="AT316">
        <v>0.70299999999999996</v>
      </c>
      <c r="AU316">
        <v>0.45400000000000001</v>
      </c>
      <c r="AV316">
        <v>0.70399999999999996</v>
      </c>
      <c r="AW316">
        <v>0.86799999999999999</v>
      </c>
      <c r="AX316">
        <v>0.80100000000000005</v>
      </c>
      <c r="AY316">
        <v>0.38100000000000001</v>
      </c>
      <c r="AZ316">
        <v>0.58899999999999997</v>
      </c>
      <c r="BA316">
        <v>0.09</v>
      </c>
      <c r="BB316" cm="1">
        <f t="array" ref="BB316:BP316">VLOOKUP(A316,pitchvalue_pitchers_2019!A:Q,{3,4,5,6,7,8,9,10,11,12,13,14,15,16,17},FALSE)</f>
        <v>-12.2</v>
      </c>
      <c r="BC316">
        <v>0</v>
      </c>
      <c r="BD316">
        <v>-2.5</v>
      </c>
      <c r="BE316">
        <v>0</v>
      </c>
      <c r="BF316">
        <v>-4.5999999999999996</v>
      </c>
      <c r="BG316">
        <v>0</v>
      </c>
      <c r="BH316">
        <v>0</v>
      </c>
      <c r="BI316">
        <v>-1.05</v>
      </c>
      <c r="BJ316">
        <v>0</v>
      </c>
      <c r="BK316">
        <v>-0.24</v>
      </c>
      <c r="BL316">
        <v>0</v>
      </c>
      <c r="BM316">
        <v>-1.28</v>
      </c>
      <c r="BN316">
        <v>0</v>
      </c>
      <c r="BO316">
        <v>0</v>
      </c>
      <c r="BP316">
        <v>4930</v>
      </c>
      <c r="BQ316" cm="1">
        <f t="array" ref="BQ316:CH316">VLOOKUP(A316,battedball_pitchers_2019!A:U,{3,4,5,6,7,8,9,10,11,12,13,14,15,16,17,18,19,20},FALSE)</f>
        <v>0.34699999999999998</v>
      </c>
      <c r="BR316">
        <v>1.3</v>
      </c>
      <c r="BS316">
        <v>0.23300000000000001</v>
      </c>
      <c r="BT316">
        <v>0.433</v>
      </c>
      <c r="BU316">
        <v>0.33400000000000002</v>
      </c>
      <c r="BV316">
        <v>0.09</v>
      </c>
      <c r="BW316">
        <v>0.14599999999999999</v>
      </c>
      <c r="BX316">
        <v>132</v>
      </c>
      <c r="BY316">
        <v>6.92</v>
      </c>
      <c r="BZ316">
        <v>1139</v>
      </c>
      <c r="CA316">
        <v>1904</v>
      </c>
      <c r="CB316">
        <v>3043</v>
      </c>
      <c r="CC316">
        <v>0.41899999999999998</v>
      </c>
      <c r="CD316">
        <v>0.35799999999999998</v>
      </c>
      <c r="CE316">
        <v>0.223</v>
      </c>
      <c r="CF316">
        <v>0.159</v>
      </c>
      <c r="CG316">
        <v>0.45600000000000002</v>
      </c>
      <c r="CH316">
        <v>0.38600000000000001</v>
      </c>
      <c r="CI316" cm="1">
        <f t="array" ref="CI316:CS316">VLOOKUP(A316,verticalmove_pitchers_2019!A:N,{3,4,5,6,7,8,9,10,11,12,13},FALSE)</f>
        <v>171.2</v>
      </c>
      <c r="CJ316">
        <v>8.4</v>
      </c>
      <c r="CK316">
        <v>5.4</v>
      </c>
      <c r="CL316">
        <v>0</v>
      </c>
      <c r="CM316">
        <v>3.8</v>
      </c>
      <c r="CN316">
        <v>3.4</v>
      </c>
      <c r="CO316">
        <v>0</v>
      </c>
      <c r="CP316">
        <v>-3.6</v>
      </c>
      <c r="CQ316">
        <v>0</v>
      </c>
      <c r="CR316">
        <v>0</v>
      </c>
      <c r="CS316">
        <v>0</v>
      </c>
      <c r="CT316" cm="1">
        <f t="array" ref="CT316:DD316">VLOOKUP(A316,velocity_pitchers_2019!A:N,{3,4,5,6,7,8,9,10,11,12,13},FALSE)</f>
        <v>171.2</v>
      </c>
      <c r="CU316">
        <v>90.8</v>
      </c>
      <c r="CV316">
        <v>88</v>
      </c>
      <c r="CW316">
        <v>0</v>
      </c>
      <c r="CX316">
        <v>89.6</v>
      </c>
      <c r="CY316">
        <v>84.4</v>
      </c>
      <c r="CZ316">
        <v>0</v>
      </c>
      <c r="DA316">
        <v>74.599999999999994</v>
      </c>
      <c r="DB316">
        <v>0</v>
      </c>
      <c r="DC316">
        <v>0</v>
      </c>
      <c r="DD316">
        <v>0</v>
      </c>
    </row>
    <row r="317" spans="1:108" x14ac:dyDescent="0.3">
      <c r="A317" t="s">
        <v>242</v>
      </c>
      <c r="B317" t="str" cm="1">
        <f t="array" ref="B317:Y317">VLOOKUP(A317,standard_pitchers_2019!A:Y,{2,3,4,5,6,7,8,9,10,11,12,13,14,15,16,17,18,19,20,21,22,23,24,25},FALSE)</f>
        <v>Pirates</v>
      </c>
      <c r="C317">
        <v>11</v>
      </c>
      <c r="D317">
        <v>12</v>
      </c>
      <c r="E317">
        <v>4.4400000000000004</v>
      </c>
      <c r="F317">
        <v>32</v>
      </c>
      <c r="G317">
        <v>31</v>
      </c>
      <c r="H317">
        <v>0</v>
      </c>
      <c r="I317">
        <v>0</v>
      </c>
      <c r="J317">
        <v>0</v>
      </c>
      <c r="K317">
        <v>1</v>
      </c>
      <c r="L317">
        <v>0</v>
      </c>
      <c r="M317">
        <v>170.1</v>
      </c>
      <c r="N317">
        <v>718</v>
      </c>
      <c r="O317">
        <v>168</v>
      </c>
      <c r="P317">
        <v>98</v>
      </c>
      <c r="Q317">
        <v>84</v>
      </c>
      <c r="R317">
        <v>21</v>
      </c>
      <c r="S317">
        <v>39</v>
      </c>
      <c r="T317">
        <v>1</v>
      </c>
      <c r="U317">
        <v>9</v>
      </c>
      <c r="V317">
        <v>2</v>
      </c>
      <c r="W317">
        <v>0</v>
      </c>
      <c r="X317">
        <v>157</v>
      </c>
      <c r="Y317">
        <v>12970</v>
      </c>
      <c r="Z317" cm="1">
        <f t="array" ref="Z317:AR317">VLOOKUP(A317,advanced_pitchers_2019!A:Y,{3,4,5,6,7,8,9,10,11,12,13,14,15,16,17,18,19,20,21},FALSE)</f>
        <v>8.3000000000000007</v>
      </c>
      <c r="AA317">
        <v>2.06</v>
      </c>
      <c r="AB317">
        <v>4.03</v>
      </c>
      <c r="AC317">
        <v>1.1100000000000001</v>
      </c>
      <c r="AD317">
        <v>0.219</v>
      </c>
      <c r="AE317">
        <v>5.3999999999999999E-2</v>
      </c>
      <c r="AF317">
        <v>0.16400000000000001</v>
      </c>
      <c r="AG317">
        <v>0.251</v>
      </c>
      <c r="AH317">
        <v>1.22</v>
      </c>
      <c r="AI317">
        <v>0.29899999999999999</v>
      </c>
      <c r="AJ317">
        <v>0.63200000000000001</v>
      </c>
      <c r="AK317">
        <v>103</v>
      </c>
      <c r="AL317">
        <v>86</v>
      </c>
      <c r="AM317">
        <v>97</v>
      </c>
      <c r="AN317">
        <v>4.4400000000000004</v>
      </c>
      <c r="AO317">
        <v>3.82</v>
      </c>
      <c r="AP317">
        <v>0.62</v>
      </c>
      <c r="AQ317">
        <v>4.3099999999999996</v>
      </c>
      <c r="AR317">
        <v>4.3099999999999996</v>
      </c>
      <c r="AS317" cm="1">
        <f t="array" ref="AS317:BA317">VLOOKUP(A317,plate_discipline_pitchers_2019!A:L,{3,4,5,6,7,8,9,10,11},FALSE)</f>
        <v>0.35499999999999998</v>
      </c>
      <c r="AT317">
        <v>0.70599999999999996</v>
      </c>
      <c r="AU317">
        <v>0.51500000000000001</v>
      </c>
      <c r="AV317">
        <v>0.59499999999999997</v>
      </c>
      <c r="AW317">
        <v>0.871</v>
      </c>
      <c r="AX317">
        <v>0.76700000000000002</v>
      </c>
      <c r="AY317">
        <v>0.45500000000000002</v>
      </c>
      <c r="AZ317">
        <v>0.65500000000000003</v>
      </c>
      <c r="BA317">
        <v>0.12</v>
      </c>
      <c r="BB317" cm="1">
        <f t="array" ref="BB317:BP317">VLOOKUP(A317,pitchvalue_pitchers_2019!A:Q,{3,4,5,6,7,8,9,10,11,12,13,14,15,16,17},FALSE)</f>
        <v>-12.4</v>
      </c>
      <c r="BC317">
        <v>10.6</v>
      </c>
      <c r="BD317">
        <v>-0.2</v>
      </c>
      <c r="BE317">
        <v>0.7</v>
      </c>
      <c r="BF317">
        <v>0.1</v>
      </c>
      <c r="BG317">
        <v>0</v>
      </c>
      <c r="BH317">
        <v>0</v>
      </c>
      <c r="BI317">
        <v>-0.94</v>
      </c>
      <c r="BJ317">
        <v>1.76</v>
      </c>
      <c r="BK317">
        <v>-7.0000000000000007E-2</v>
      </c>
      <c r="BL317">
        <v>0.31</v>
      </c>
      <c r="BM317">
        <v>0.04</v>
      </c>
      <c r="BN317">
        <v>0</v>
      </c>
      <c r="BO317">
        <v>0</v>
      </c>
      <c r="BP317">
        <v>12970</v>
      </c>
      <c r="BQ317" cm="1">
        <f t="array" ref="BQ317:CH317">VLOOKUP(A317,battedball_pitchers_2019!A:U,{3,4,5,6,7,8,9,10,11,12,13,14,15,16,17,18,19,20},FALSE)</f>
        <v>0.29899999999999999</v>
      </c>
      <c r="BR317">
        <v>1.26</v>
      </c>
      <c r="BS317">
        <v>0.20200000000000001</v>
      </c>
      <c r="BT317">
        <v>0.44500000000000001</v>
      </c>
      <c r="BU317">
        <v>0.35399999999999998</v>
      </c>
      <c r="BV317">
        <v>7.8E-2</v>
      </c>
      <c r="BW317">
        <v>0.11700000000000001</v>
      </c>
      <c r="BX317">
        <v>100</v>
      </c>
      <c r="BY317">
        <v>5.28</v>
      </c>
      <c r="BZ317">
        <v>852</v>
      </c>
      <c r="CA317">
        <v>1805</v>
      </c>
      <c r="CB317">
        <v>2657</v>
      </c>
      <c r="CC317">
        <v>0.438</v>
      </c>
      <c r="CD317">
        <v>0.34</v>
      </c>
      <c r="CE317">
        <v>0.223</v>
      </c>
      <c r="CF317">
        <v>0.189</v>
      </c>
      <c r="CG317">
        <v>0.439</v>
      </c>
      <c r="CH317">
        <v>0.371</v>
      </c>
      <c r="CI317" cm="1">
        <f t="array" ref="CI317:CS317">VLOOKUP(A317,verticalmove_pitchers_2019!A:N,{3,4,5,6,7,8,9,10,11,12,13},FALSE)</f>
        <v>170.1</v>
      </c>
      <c r="CJ317">
        <v>6.8</v>
      </c>
      <c r="CK317">
        <v>3.7</v>
      </c>
      <c r="CL317">
        <v>0</v>
      </c>
      <c r="CM317">
        <v>3.2</v>
      </c>
      <c r="CN317">
        <v>2.5</v>
      </c>
      <c r="CO317">
        <v>-0.5</v>
      </c>
      <c r="CP317">
        <v>-6.5</v>
      </c>
      <c r="CQ317">
        <v>0</v>
      </c>
      <c r="CR317">
        <v>0</v>
      </c>
      <c r="CS317">
        <v>0</v>
      </c>
      <c r="CT317" cm="1">
        <f t="array" ref="CT317:DD317">VLOOKUP(A317,velocity_pitchers_2019!A:N,{3,4,5,6,7,8,9,10,11,12,13},FALSE)</f>
        <v>170.1</v>
      </c>
      <c r="CU317">
        <v>92.9</v>
      </c>
      <c r="CV317">
        <v>88.9</v>
      </c>
      <c r="CW317">
        <v>0</v>
      </c>
      <c r="CX317">
        <v>91.7</v>
      </c>
      <c r="CY317">
        <v>85.5</v>
      </c>
      <c r="CZ317">
        <v>83.4</v>
      </c>
      <c r="DA317">
        <v>82.1</v>
      </c>
      <c r="DB317">
        <v>0</v>
      </c>
      <c r="DC317">
        <v>0</v>
      </c>
      <c r="DD317">
        <v>0</v>
      </c>
    </row>
    <row r="318" spans="1:108" x14ac:dyDescent="0.3">
      <c r="A318" t="s">
        <v>361</v>
      </c>
      <c r="B318" t="str" cm="1">
        <f t="array" ref="B318:Y318">VLOOKUP(A318,standard_pitchers_2019!A:Y,{2,3,4,5,6,7,8,9,10,11,12,13,14,15,16,17,18,19,20,21,22,23,24,25},FALSE)</f>
        <v>Rangers</v>
      </c>
      <c r="C318">
        <v>7</v>
      </c>
      <c r="D318">
        <v>11</v>
      </c>
      <c r="E318">
        <v>5.81</v>
      </c>
      <c r="F318">
        <v>32</v>
      </c>
      <c r="G318">
        <v>18</v>
      </c>
      <c r="H318">
        <v>1</v>
      </c>
      <c r="I318">
        <v>0</v>
      </c>
      <c r="J318">
        <v>0</v>
      </c>
      <c r="K318">
        <v>1</v>
      </c>
      <c r="L318">
        <v>0</v>
      </c>
      <c r="M318">
        <v>122.1</v>
      </c>
      <c r="N318">
        <v>541</v>
      </c>
      <c r="O318">
        <v>148</v>
      </c>
      <c r="P318">
        <v>94</v>
      </c>
      <c r="Q318">
        <v>79</v>
      </c>
      <c r="R318">
        <v>21</v>
      </c>
      <c r="S318">
        <v>36</v>
      </c>
      <c r="T318">
        <v>1</v>
      </c>
      <c r="U318">
        <v>4</v>
      </c>
      <c r="V318">
        <v>3</v>
      </c>
      <c r="W318">
        <v>0</v>
      </c>
      <c r="X318">
        <v>81</v>
      </c>
      <c r="Y318">
        <v>17030</v>
      </c>
      <c r="Z318" cm="1">
        <f t="array" ref="Z318:AR318">VLOOKUP(A318,advanced_pitchers_2019!A:Y,{3,4,5,6,7,8,9,10,11,12,13,14,15,16,17,18,19,20,21},FALSE)</f>
        <v>5.96</v>
      </c>
      <c r="AA318">
        <v>2.65</v>
      </c>
      <c r="AB318">
        <v>2.25</v>
      </c>
      <c r="AC318">
        <v>1.54</v>
      </c>
      <c r="AD318">
        <v>0.15</v>
      </c>
      <c r="AE318">
        <v>6.7000000000000004E-2</v>
      </c>
      <c r="AF318">
        <v>8.3000000000000004E-2</v>
      </c>
      <c r="AG318">
        <v>0.29499999999999998</v>
      </c>
      <c r="AH318">
        <v>1.5</v>
      </c>
      <c r="AI318">
        <v>0.318</v>
      </c>
      <c r="AJ318">
        <v>0.59299999999999997</v>
      </c>
      <c r="AK318">
        <v>115</v>
      </c>
      <c r="AL318">
        <v>107</v>
      </c>
      <c r="AM318">
        <v>109</v>
      </c>
      <c r="AN318">
        <v>5.81</v>
      </c>
      <c r="AO318">
        <v>5.0999999999999996</v>
      </c>
      <c r="AP318">
        <v>0.71</v>
      </c>
      <c r="AQ318">
        <v>5</v>
      </c>
      <c r="AR318">
        <v>5.0999999999999996</v>
      </c>
      <c r="AS318" cm="1">
        <f t="array" ref="AS318:BA318">VLOOKUP(A318,plate_discipline_pitchers_2019!A:L,{3,4,5,6,7,8,9,10,11},FALSE)</f>
        <v>0.28299999999999997</v>
      </c>
      <c r="AT318">
        <v>0.68700000000000006</v>
      </c>
      <c r="AU318">
        <v>0.45900000000000002</v>
      </c>
      <c r="AV318">
        <v>0.73599999999999999</v>
      </c>
      <c r="AW318">
        <v>0.89700000000000002</v>
      </c>
      <c r="AX318">
        <v>0.84099999999999997</v>
      </c>
      <c r="AY318">
        <v>0.437</v>
      </c>
      <c r="AZ318">
        <v>0.625</v>
      </c>
      <c r="BA318">
        <v>7.2999999999999995E-2</v>
      </c>
      <c r="BB318" cm="1">
        <f t="array" ref="BB318:BP318">VLOOKUP(A318,pitchvalue_pitchers_2019!A:Q,{3,4,5,6,7,8,9,10,11,12,13,14,15,16,17},FALSE)</f>
        <v>-12.6</v>
      </c>
      <c r="BC318">
        <v>-9.6999999999999993</v>
      </c>
      <c r="BD318">
        <v>0</v>
      </c>
      <c r="BE318">
        <v>0.5</v>
      </c>
      <c r="BF318">
        <v>2.2999999999999998</v>
      </c>
      <c r="BG318">
        <v>0</v>
      </c>
      <c r="BH318">
        <v>0</v>
      </c>
      <c r="BI318">
        <v>-0.96</v>
      </c>
      <c r="BJ318">
        <v>-3.14</v>
      </c>
      <c r="BK318">
        <v>0</v>
      </c>
      <c r="BL318">
        <v>0.28000000000000003</v>
      </c>
      <c r="BM318">
        <v>0.95</v>
      </c>
      <c r="BN318">
        <v>0</v>
      </c>
      <c r="BO318">
        <v>0</v>
      </c>
      <c r="BP318">
        <v>17030</v>
      </c>
      <c r="BQ318" cm="1">
        <f t="array" ref="BQ318:CH318">VLOOKUP(A318,battedball_pitchers_2019!A:U,{3,4,5,6,7,8,9,10,11,12,13,14,15,16,17,18,19,20},FALSE)</f>
        <v>0.318</v>
      </c>
      <c r="BR318">
        <v>1.46</v>
      </c>
      <c r="BS318">
        <v>0.222</v>
      </c>
      <c r="BT318">
        <v>0.46100000000000002</v>
      </c>
      <c r="BU318">
        <v>0.316</v>
      </c>
      <c r="BV318">
        <v>8.4000000000000005E-2</v>
      </c>
      <c r="BW318">
        <v>0.16</v>
      </c>
      <c r="BX318">
        <v>85</v>
      </c>
      <c r="BY318">
        <v>6.25</v>
      </c>
      <c r="BZ318">
        <v>739</v>
      </c>
      <c r="CA318">
        <v>1308</v>
      </c>
      <c r="CB318">
        <v>2047</v>
      </c>
      <c r="CC318">
        <v>0.42399999999999999</v>
      </c>
      <c r="CD318">
        <v>0.35699999999999998</v>
      </c>
      <c r="CE318">
        <v>0.219</v>
      </c>
      <c r="CF318">
        <v>0.14299999999999999</v>
      </c>
      <c r="CG318">
        <v>0.39800000000000002</v>
      </c>
      <c r="CH318">
        <v>0.46</v>
      </c>
      <c r="CI318" cm="1">
        <f t="array" ref="CI318:CS318">VLOOKUP(A318,verticalmove_pitchers_2019!A:N,{3,4,5,6,7,8,9,10,11,12,13},FALSE)</f>
        <v>122.1</v>
      </c>
      <c r="CJ318">
        <v>7.9</v>
      </c>
      <c r="CK318">
        <v>0</v>
      </c>
      <c r="CL318">
        <v>0</v>
      </c>
      <c r="CM318">
        <v>3.7</v>
      </c>
      <c r="CN318">
        <v>5.0999999999999996</v>
      </c>
      <c r="CO318">
        <v>0.3</v>
      </c>
      <c r="CP318">
        <v>-3.7</v>
      </c>
      <c r="CQ318">
        <v>0</v>
      </c>
      <c r="CR318">
        <v>0</v>
      </c>
      <c r="CS318">
        <v>0</v>
      </c>
      <c r="CT318" cm="1">
        <f t="array" ref="CT318:DD318">VLOOKUP(A318,velocity_pitchers_2019!A:N,{3,4,5,6,7,8,9,10,11,12,13},FALSE)</f>
        <v>122.1</v>
      </c>
      <c r="CU318">
        <v>93.3</v>
      </c>
      <c r="CV318">
        <v>0</v>
      </c>
      <c r="CW318">
        <v>0</v>
      </c>
      <c r="CX318">
        <v>92.2</v>
      </c>
      <c r="CY318">
        <v>85.4</v>
      </c>
      <c r="CZ318">
        <v>85.4</v>
      </c>
      <c r="DA318">
        <v>80.599999999999994</v>
      </c>
      <c r="DB318">
        <v>0</v>
      </c>
      <c r="DC318">
        <v>0</v>
      </c>
      <c r="DD318">
        <v>0</v>
      </c>
    </row>
    <row r="319" spans="1:108" x14ac:dyDescent="0.3">
      <c r="A319" t="s">
        <v>296</v>
      </c>
      <c r="B319" t="str" cm="1">
        <f t="array" ref="B319:Y319">VLOOKUP(A319,standard_pitchers_2019!A:Y,{2,3,4,5,6,7,8,9,10,11,12,13,14,15,16,17,18,19,20,21,22,23,24,25},FALSE)</f>
        <v>Twins</v>
      </c>
      <c r="C319">
        <v>13</v>
      </c>
      <c r="D319">
        <v>7</v>
      </c>
      <c r="E319">
        <v>4.84</v>
      </c>
      <c r="F319">
        <v>34</v>
      </c>
      <c r="G319">
        <v>29</v>
      </c>
      <c r="H319">
        <v>0</v>
      </c>
      <c r="I319">
        <v>0</v>
      </c>
      <c r="J319">
        <v>0</v>
      </c>
      <c r="K319">
        <v>2</v>
      </c>
      <c r="L319">
        <v>1</v>
      </c>
      <c r="M319">
        <v>160</v>
      </c>
      <c r="N319">
        <v>706</v>
      </c>
      <c r="O319">
        <v>175</v>
      </c>
      <c r="P319">
        <v>99</v>
      </c>
      <c r="Q319">
        <v>86</v>
      </c>
      <c r="R319">
        <v>23</v>
      </c>
      <c r="S319">
        <v>56</v>
      </c>
      <c r="T319">
        <v>0</v>
      </c>
      <c r="U319">
        <v>7</v>
      </c>
      <c r="V319">
        <v>8</v>
      </c>
      <c r="W319">
        <v>0</v>
      </c>
      <c r="X319">
        <v>160</v>
      </c>
      <c r="Y319">
        <v>10123</v>
      </c>
      <c r="Z319" cm="1">
        <f t="array" ref="Z319:AR319">VLOOKUP(A319,advanced_pitchers_2019!A:Y,{3,4,5,6,7,8,9,10,11,12,13,14,15,16,17,18,19,20,21},FALSE)</f>
        <v>9</v>
      </c>
      <c r="AA319">
        <v>3.15</v>
      </c>
      <c r="AB319">
        <v>2.86</v>
      </c>
      <c r="AC319">
        <v>1.29</v>
      </c>
      <c r="AD319">
        <v>0.22700000000000001</v>
      </c>
      <c r="AE319">
        <v>7.9000000000000001E-2</v>
      </c>
      <c r="AF319">
        <v>0.14699999999999999</v>
      </c>
      <c r="AG319">
        <v>0.27200000000000002</v>
      </c>
      <c r="AH319">
        <v>1.44</v>
      </c>
      <c r="AI319">
        <v>0.33</v>
      </c>
      <c r="AJ319">
        <v>0.67500000000000004</v>
      </c>
      <c r="AK319">
        <v>104</v>
      </c>
      <c r="AL319">
        <v>93</v>
      </c>
      <c r="AM319">
        <v>83</v>
      </c>
      <c r="AN319">
        <v>4.84</v>
      </c>
      <c r="AO319">
        <v>4.26</v>
      </c>
      <c r="AP319">
        <v>0.56999999999999995</v>
      </c>
      <c r="AQ319">
        <v>3.8</v>
      </c>
      <c r="AR319">
        <v>4.25</v>
      </c>
      <c r="AS319" cm="1">
        <f t="array" ref="AS319:BA319">VLOOKUP(A319,plate_discipline_pitchers_2019!A:L,{3,4,5,6,7,8,9,10,11},FALSE)</f>
        <v>0.36</v>
      </c>
      <c r="AT319">
        <v>0.65800000000000003</v>
      </c>
      <c r="AU319">
        <v>0.46200000000000002</v>
      </c>
      <c r="AV319">
        <v>0.55900000000000005</v>
      </c>
      <c r="AW319">
        <v>0.88200000000000001</v>
      </c>
      <c r="AX319">
        <v>0.71599999999999997</v>
      </c>
      <c r="AY319">
        <v>0.34200000000000003</v>
      </c>
      <c r="AZ319">
        <v>0.63700000000000001</v>
      </c>
      <c r="BA319">
        <v>0.13100000000000001</v>
      </c>
      <c r="BB319" cm="1">
        <f t="array" ref="BB319:BP319">VLOOKUP(A319,pitchvalue_pitchers_2019!A:Q,{3,4,5,6,7,8,9,10,11,12,13,14,15,16,17},FALSE)</f>
        <v>-12.8</v>
      </c>
      <c r="BC319">
        <v>8.5</v>
      </c>
      <c r="BD319">
        <v>0</v>
      </c>
      <c r="BE319">
        <v>-5.0999999999999996</v>
      </c>
      <c r="BF319">
        <v>-1.9</v>
      </c>
      <c r="BG319">
        <v>0</v>
      </c>
      <c r="BH319">
        <v>0</v>
      </c>
      <c r="BI319">
        <v>-0.92</v>
      </c>
      <c r="BJ319">
        <v>1.46</v>
      </c>
      <c r="BK319">
        <v>0</v>
      </c>
      <c r="BL319">
        <v>-1.46</v>
      </c>
      <c r="BM319">
        <v>-0.43</v>
      </c>
      <c r="BN319">
        <v>0</v>
      </c>
      <c r="BO319">
        <v>0</v>
      </c>
      <c r="BP319">
        <v>10123</v>
      </c>
      <c r="BQ319" cm="1">
        <f t="array" ref="BQ319:CH319">VLOOKUP(A319,battedball_pitchers_2019!A:U,{3,4,5,6,7,8,9,10,11,12,13,14,15,16,17,18,19,20},FALSE)</f>
        <v>0.33</v>
      </c>
      <c r="BR319">
        <v>2.16</v>
      </c>
      <c r="BS319">
        <v>0.248</v>
      </c>
      <c r="BT319">
        <v>0.51400000000000001</v>
      </c>
      <c r="BU319">
        <v>0.23799999999999999</v>
      </c>
      <c r="BV319">
        <v>0.14199999999999999</v>
      </c>
      <c r="BW319">
        <v>0.20399999999999999</v>
      </c>
      <c r="BX319">
        <v>127</v>
      </c>
      <c r="BY319">
        <v>7.14</v>
      </c>
      <c r="BZ319">
        <v>1064</v>
      </c>
      <c r="CA319">
        <v>1700</v>
      </c>
      <c r="CB319">
        <v>2764</v>
      </c>
      <c r="CC319">
        <v>0.47899999999999998</v>
      </c>
      <c r="CD319">
        <v>0.32400000000000001</v>
      </c>
      <c r="CE319">
        <v>0.19700000000000001</v>
      </c>
      <c r="CF319">
        <v>0.16200000000000001</v>
      </c>
      <c r="CG319">
        <v>0.46700000000000003</v>
      </c>
      <c r="CH319">
        <v>0.371</v>
      </c>
      <c r="CI319" cm="1">
        <f t="array" ref="CI319:CS319">VLOOKUP(A319,verticalmove_pitchers_2019!A:N,{3,4,5,6,7,8,9,10,11,12,13},FALSE)</f>
        <v>160</v>
      </c>
      <c r="CJ319">
        <v>8.8000000000000007</v>
      </c>
      <c r="CK319">
        <v>0</v>
      </c>
      <c r="CL319">
        <v>0</v>
      </c>
      <c r="CM319">
        <v>6.3</v>
      </c>
      <c r="CN319">
        <v>2.8</v>
      </c>
      <c r="CO319">
        <v>-1.4</v>
      </c>
      <c r="CP319">
        <v>-5.7</v>
      </c>
      <c r="CQ319">
        <v>0</v>
      </c>
      <c r="CR319">
        <v>0</v>
      </c>
      <c r="CS319">
        <v>0</v>
      </c>
      <c r="CT319" cm="1">
        <f t="array" ref="CT319:DD319">VLOOKUP(A319,velocity_pitchers_2019!A:N,{3,4,5,6,7,8,9,10,11,12,13},FALSE)</f>
        <v>160</v>
      </c>
      <c r="CU319">
        <v>93.7</v>
      </c>
      <c r="CV319">
        <v>0</v>
      </c>
      <c r="CW319">
        <v>0</v>
      </c>
      <c r="CX319">
        <v>93.6</v>
      </c>
      <c r="CY319">
        <v>85.6</v>
      </c>
      <c r="CZ319">
        <v>84.3</v>
      </c>
      <c r="DA319">
        <v>80.5</v>
      </c>
      <c r="DB319">
        <v>0</v>
      </c>
      <c r="DC319">
        <v>0</v>
      </c>
      <c r="DD319">
        <v>0</v>
      </c>
    </row>
    <row r="320" spans="1:108" x14ac:dyDescent="0.3">
      <c r="A320" t="s">
        <v>177</v>
      </c>
      <c r="B320" t="str" cm="1">
        <f t="array" ref="B320:Y320">VLOOKUP(A320,standard_pitchers_2019!A:Y,{2,3,4,5,6,7,8,9,10,11,12,13,14,15,16,17,18,19,20,21,22,23,24,25},FALSE)</f>
        <v>Rockies</v>
      </c>
      <c r="C320">
        <v>11</v>
      </c>
      <c r="D320">
        <v>8</v>
      </c>
      <c r="E320">
        <v>3.84</v>
      </c>
      <c r="F320">
        <v>26</v>
      </c>
      <c r="G320">
        <v>25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150</v>
      </c>
      <c r="N320">
        <v>637</v>
      </c>
      <c r="O320">
        <v>147</v>
      </c>
      <c r="P320">
        <v>70</v>
      </c>
      <c r="Q320">
        <v>64</v>
      </c>
      <c r="R320">
        <v>19</v>
      </c>
      <c r="S320">
        <v>56</v>
      </c>
      <c r="T320">
        <v>4</v>
      </c>
      <c r="U320">
        <v>4</v>
      </c>
      <c r="V320">
        <v>7</v>
      </c>
      <c r="W320">
        <v>0</v>
      </c>
      <c r="X320">
        <v>150</v>
      </c>
      <c r="Y320">
        <v>14916</v>
      </c>
      <c r="Z320" cm="1">
        <f t="array" ref="Z320:AR320">VLOOKUP(A320,advanced_pitchers_2019!A:Y,{3,4,5,6,7,8,9,10,11,12,13,14,15,16,17,18,19,20,21},FALSE)</f>
        <v>9</v>
      </c>
      <c r="AA320">
        <v>3.36</v>
      </c>
      <c r="AB320">
        <v>2.68</v>
      </c>
      <c r="AC320">
        <v>1.1399999999999999</v>
      </c>
      <c r="AD320">
        <v>0.23499999999999999</v>
      </c>
      <c r="AE320">
        <v>8.7999999999999995E-2</v>
      </c>
      <c r="AF320">
        <v>0.14799999999999999</v>
      </c>
      <c r="AG320">
        <v>0.255</v>
      </c>
      <c r="AH320">
        <v>1.35</v>
      </c>
      <c r="AI320">
        <v>0.314</v>
      </c>
      <c r="AJ320">
        <v>0.75900000000000001</v>
      </c>
      <c r="AK320">
        <v>76</v>
      </c>
      <c r="AL320">
        <v>86</v>
      </c>
      <c r="AM320">
        <v>88</v>
      </c>
      <c r="AN320">
        <v>3.84</v>
      </c>
      <c r="AO320">
        <v>4.0599999999999996</v>
      </c>
      <c r="AP320">
        <v>-0.22</v>
      </c>
      <c r="AQ320">
        <v>3.89</v>
      </c>
      <c r="AR320">
        <v>4.3499999999999996</v>
      </c>
      <c r="AS320" cm="1">
        <f t="array" ref="AS320:BA320">VLOOKUP(A320,plate_discipline_pitchers_2019!A:L,{3,4,5,6,7,8,9,10,11},FALSE)</f>
        <v>0.30399999999999999</v>
      </c>
      <c r="AT320">
        <v>0.67800000000000005</v>
      </c>
      <c r="AU320">
        <v>0.47199999999999998</v>
      </c>
      <c r="AV320">
        <v>0.53800000000000003</v>
      </c>
      <c r="AW320">
        <v>0.86699999999999999</v>
      </c>
      <c r="AX320">
        <v>0.75</v>
      </c>
      <c r="AY320">
        <v>0.44800000000000001</v>
      </c>
      <c r="AZ320">
        <v>0.64400000000000002</v>
      </c>
      <c r="BA320">
        <v>0.11799999999999999</v>
      </c>
      <c r="BB320" cm="1">
        <f t="array" ref="BB320:BP320">VLOOKUP(A320,pitchvalue_pitchers_2019!A:Q,{3,4,5,6,7,8,9,10,11,12,13,14,15,16,17},FALSE)</f>
        <v>-12.9</v>
      </c>
      <c r="BC320">
        <v>13.9</v>
      </c>
      <c r="BD320">
        <v>0</v>
      </c>
      <c r="BE320">
        <v>1.6</v>
      </c>
      <c r="BF320">
        <v>-3.5</v>
      </c>
      <c r="BG320">
        <v>0</v>
      </c>
      <c r="BH320">
        <v>0</v>
      </c>
      <c r="BI320">
        <v>-1.03</v>
      </c>
      <c r="BJ320">
        <v>1.75</v>
      </c>
      <c r="BK320">
        <v>0</v>
      </c>
      <c r="BL320">
        <v>0.61</v>
      </c>
      <c r="BM320">
        <v>-4.9800000000000004</v>
      </c>
      <c r="BN320">
        <v>0</v>
      </c>
      <c r="BO320">
        <v>0</v>
      </c>
      <c r="BP320">
        <v>14916</v>
      </c>
      <c r="BQ320" cm="1">
        <f t="array" ref="BQ320:CH320">VLOOKUP(A320,battedball_pitchers_2019!A:U,{3,4,5,6,7,8,9,10,11,12,13,14,15,16,17,18,19,20},FALSE)</f>
        <v>0.314</v>
      </c>
      <c r="BR320">
        <v>1.9</v>
      </c>
      <c r="BS320">
        <v>0.23200000000000001</v>
      </c>
      <c r="BT320">
        <v>0.504</v>
      </c>
      <c r="BU320">
        <v>0.26500000000000001</v>
      </c>
      <c r="BV320">
        <v>8.1000000000000003E-2</v>
      </c>
      <c r="BW320">
        <v>0.17100000000000001</v>
      </c>
      <c r="BX320">
        <v>88</v>
      </c>
      <c r="BY320">
        <v>5.28</v>
      </c>
      <c r="BZ320">
        <v>854</v>
      </c>
      <c r="CA320">
        <v>1519</v>
      </c>
      <c r="CB320">
        <v>2373</v>
      </c>
      <c r="CC320">
        <v>0.35399999999999998</v>
      </c>
      <c r="CD320">
        <v>0.37</v>
      </c>
      <c r="CE320">
        <v>0.27600000000000002</v>
      </c>
      <c r="CF320">
        <v>0.152</v>
      </c>
      <c r="CG320">
        <v>0.45</v>
      </c>
      <c r="CH320">
        <v>0.39800000000000002</v>
      </c>
      <c r="CI320" cm="1">
        <f t="array" ref="CI320:CS320">VLOOKUP(A320,verticalmove_pitchers_2019!A:N,{3,4,5,6,7,8,9,10,11,12,13},FALSE)</f>
        <v>150</v>
      </c>
      <c r="CJ320">
        <v>6.6</v>
      </c>
      <c r="CK320">
        <v>0</v>
      </c>
      <c r="CL320">
        <v>0</v>
      </c>
      <c r="CM320">
        <v>3.9</v>
      </c>
      <c r="CN320">
        <v>5</v>
      </c>
      <c r="CO320">
        <v>2.9</v>
      </c>
      <c r="CP320">
        <v>-4.2</v>
      </c>
      <c r="CQ320">
        <v>0</v>
      </c>
      <c r="CR320">
        <v>0</v>
      </c>
      <c r="CS320">
        <v>0</v>
      </c>
      <c r="CT320" cm="1">
        <f t="array" ref="CT320:DD320">VLOOKUP(A320,velocity_pitchers_2019!A:N,{3,4,5,6,7,8,9,10,11,12,13},FALSE)</f>
        <v>150</v>
      </c>
      <c r="CU320">
        <v>96.1</v>
      </c>
      <c r="CV320">
        <v>0</v>
      </c>
      <c r="CW320">
        <v>0</v>
      </c>
      <c r="CX320">
        <v>95.5</v>
      </c>
      <c r="CY320">
        <v>86.7</v>
      </c>
      <c r="CZ320">
        <v>88.5</v>
      </c>
      <c r="DA320">
        <v>78.7</v>
      </c>
      <c r="DB320">
        <v>0</v>
      </c>
      <c r="DC320">
        <v>0</v>
      </c>
      <c r="DD320">
        <v>0</v>
      </c>
    </row>
    <row r="321" spans="1:108" x14ac:dyDescent="0.3">
      <c r="A321" t="s">
        <v>364</v>
      </c>
      <c r="B321" t="str" cm="1">
        <f t="array" ref="B321:Y321">VLOOKUP(A321,standard_pitchers_2019!A:Y,{2,3,4,5,6,7,8,9,10,11,12,13,14,15,16,17,18,19,20,21,22,23,24,25},FALSE)</f>
        <v>- - -</v>
      </c>
      <c r="C321">
        <v>5</v>
      </c>
      <c r="D321">
        <v>14</v>
      </c>
      <c r="E321">
        <v>5.89</v>
      </c>
      <c r="F321">
        <v>27</v>
      </c>
      <c r="G321">
        <v>27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131.1</v>
      </c>
      <c r="N321">
        <v>605</v>
      </c>
      <c r="O321">
        <v>145</v>
      </c>
      <c r="P321">
        <v>92</v>
      </c>
      <c r="Q321">
        <v>86</v>
      </c>
      <c r="R321">
        <v>20</v>
      </c>
      <c r="S321">
        <v>68</v>
      </c>
      <c r="T321">
        <v>2</v>
      </c>
      <c r="U321">
        <v>11</v>
      </c>
      <c r="V321">
        <v>7</v>
      </c>
      <c r="W321">
        <v>0</v>
      </c>
      <c r="X321">
        <v>115</v>
      </c>
      <c r="Y321">
        <v>11490</v>
      </c>
      <c r="Z321" cm="1">
        <f t="array" ref="Z321:AR321">VLOOKUP(A321,advanced_pitchers_2019!A:Y,{3,4,5,6,7,8,9,10,11,12,13,14,15,16,17,18,19,20,21},FALSE)</f>
        <v>7.88</v>
      </c>
      <c r="AA321">
        <v>4.66</v>
      </c>
      <c r="AB321">
        <v>1.69</v>
      </c>
      <c r="AC321">
        <v>1.37</v>
      </c>
      <c r="AD321">
        <v>0.19</v>
      </c>
      <c r="AE321">
        <v>0.112</v>
      </c>
      <c r="AF321">
        <v>7.8E-2</v>
      </c>
      <c r="AG321">
        <v>0.27600000000000002</v>
      </c>
      <c r="AH321">
        <v>1.62</v>
      </c>
      <c r="AI321">
        <v>0.32</v>
      </c>
      <c r="AJ321">
        <v>0.67300000000000004</v>
      </c>
      <c r="AK321">
        <v>128</v>
      </c>
      <c r="AL321">
        <v>114</v>
      </c>
      <c r="AM321">
        <v>112</v>
      </c>
      <c r="AN321">
        <v>5.89</v>
      </c>
      <c r="AO321">
        <v>5.25</v>
      </c>
      <c r="AP321">
        <v>0.65</v>
      </c>
      <c r="AQ321">
        <v>5.15</v>
      </c>
      <c r="AR321">
        <v>5.28</v>
      </c>
      <c r="AS321" cm="1">
        <f t="array" ref="AS321:BA321">VLOOKUP(A321,plate_discipline_pitchers_2019!A:L,{3,4,5,6,7,8,9,10,11},FALSE)</f>
        <v>0.27600000000000002</v>
      </c>
      <c r="AT321">
        <v>0.68400000000000005</v>
      </c>
      <c r="AU321">
        <v>0.44400000000000001</v>
      </c>
      <c r="AV321">
        <v>0.67600000000000005</v>
      </c>
      <c r="AW321">
        <v>0.872</v>
      </c>
      <c r="AX321">
        <v>0.79900000000000004</v>
      </c>
      <c r="AY321">
        <v>0.41</v>
      </c>
      <c r="AZ321">
        <v>0.59799999999999998</v>
      </c>
      <c r="BA321">
        <v>8.8999999999999996E-2</v>
      </c>
      <c r="BB321" cm="1">
        <f t="array" ref="BB321:BP321">VLOOKUP(A321,pitchvalue_pitchers_2019!A:Q,{3,4,5,6,7,8,9,10,11,12,13,14,15,16,17},FALSE)</f>
        <v>-13.4</v>
      </c>
      <c r="BC321">
        <v>0</v>
      </c>
      <c r="BD321">
        <v>0</v>
      </c>
      <c r="BE321">
        <v>-5.2</v>
      </c>
      <c r="BF321">
        <v>0.7</v>
      </c>
      <c r="BG321">
        <v>0</v>
      </c>
      <c r="BH321">
        <v>0</v>
      </c>
      <c r="BI321">
        <v>-1.01</v>
      </c>
      <c r="BJ321">
        <v>0</v>
      </c>
      <c r="BK321">
        <v>0</v>
      </c>
      <c r="BL321">
        <v>-0.98</v>
      </c>
      <c r="BM321">
        <v>0.17</v>
      </c>
      <c r="BN321">
        <v>0</v>
      </c>
      <c r="BO321">
        <v>0</v>
      </c>
      <c r="BP321">
        <v>11490</v>
      </c>
      <c r="BQ321" cm="1">
        <f t="array" ref="BQ321:CH321">VLOOKUP(A321,battedball_pitchers_2019!A:U,{3,4,5,6,7,8,9,10,11,12,13,14,15,16,17,18,19,20},FALSE)</f>
        <v>0.32</v>
      </c>
      <c r="BR321">
        <v>1.55</v>
      </c>
      <c r="BS321">
        <v>0.22700000000000001</v>
      </c>
      <c r="BT321">
        <v>0.46899999999999997</v>
      </c>
      <c r="BU321">
        <v>0.30299999999999999</v>
      </c>
      <c r="BV321">
        <v>0.105</v>
      </c>
      <c r="BW321">
        <v>0.161</v>
      </c>
      <c r="BX321">
        <v>84</v>
      </c>
      <c r="BY321">
        <v>5.76</v>
      </c>
      <c r="BZ321">
        <v>887</v>
      </c>
      <c r="CA321">
        <v>1418</v>
      </c>
      <c r="CB321">
        <v>2305</v>
      </c>
      <c r="CC321">
        <v>0.38500000000000001</v>
      </c>
      <c r="CD321">
        <v>0.378</v>
      </c>
      <c r="CE321">
        <v>0.23699999999999999</v>
      </c>
      <c r="CF321">
        <v>0.17299999999999999</v>
      </c>
      <c r="CG321">
        <v>0.42899999999999999</v>
      </c>
      <c r="CH321">
        <v>0.39800000000000002</v>
      </c>
      <c r="CI321" cm="1">
        <f t="array" ref="CI321:CS321">VLOOKUP(A321,verticalmove_pitchers_2019!A:N,{3,4,5,6,7,8,9,10,11,12,13},FALSE)</f>
        <v>131.1</v>
      </c>
      <c r="CJ321">
        <v>7.7</v>
      </c>
      <c r="CK321">
        <v>0</v>
      </c>
      <c r="CL321">
        <v>0</v>
      </c>
      <c r="CM321">
        <v>6.1</v>
      </c>
      <c r="CN321">
        <v>2.9</v>
      </c>
      <c r="CO321">
        <v>-9.6</v>
      </c>
      <c r="CP321">
        <v>-8.6999999999999993</v>
      </c>
      <c r="CQ321">
        <v>0</v>
      </c>
      <c r="CR321">
        <v>0</v>
      </c>
      <c r="CS321">
        <v>0</v>
      </c>
      <c r="CT321" cm="1">
        <f t="array" ref="CT321:DD321">VLOOKUP(A321,velocity_pitchers_2019!A:N,{3,4,5,6,7,8,9,10,11,12,13},FALSE)</f>
        <v>131.1</v>
      </c>
      <c r="CU321">
        <v>93.7</v>
      </c>
      <c r="CV321">
        <v>0</v>
      </c>
      <c r="CW321">
        <v>0</v>
      </c>
      <c r="CX321">
        <v>94.1</v>
      </c>
      <c r="CY321">
        <v>88.4</v>
      </c>
      <c r="CZ321">
        <v>77.900000000000006</v>
      </c>
      <c r="DA321">
        <v>78.7</v>
      </c>
      <c r="DB321">
        <v>0</v>
      </c>
      <c r="DC321">
        <v>0</v>
      </c>
      <c r="DD321">
        <v>0</v>
      </c>
    </row>
    <row r="322" spans="1:108" x14ac:dyDescent="0.3">
      <c r="A322" t="s">
        <v>290</v>
      </c>
      <c r="B322" t="str" cm="1">
        <f t="array" ref="B322:Y322">VLOOKUP(A322,standard_pitchers_2019!A:Y,{2,3,4,5,6,7,8,9,10,11,12,13,14,15,16,17,18,19,20,21,22,23,24,25},FALSE)</f>
        <v>Cardinals</v>
      </c>
      <c r="C322">
        <v>6</v>
      </c>
      <c r="D322">
        <v>7</v>
      </c>
      <c r="E322">
        <v>4.76</v>
      </c>
      <c r="F322">
        <v>29</v>
      </c>
      <c r="G322">
        <v>24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126.2</v>
      </c>
      <c r="N322">
        <v>562</v>
      </c>
      <c r="O322">
        <v>143</v>
      </c>
      <c r="P322">
        <v>71</v>
      </c>
      <c r="Q322">
        <v>67</v>
      </c>
      <c r="R322">
        <v>26</v>
      </c>
      <c r="S322">
        <v>55</v>
      </c>
      <c r="T322">
        <v>4</v>
      </c>
      <c r="U322">
        <v>3</v>
      </c>
      <c r="V322">
        <v>2</v>
      </c>
      <c r="W322">
        <v>0</v>
      </c>
      <c r="X322">
        <v>104</v>
      </c>
      <c r="Y322">
        <v>14078</v>
      </c>
      <c r="Z322" cm="1">
        <f t="array" ref="Z322:AR322">VLOOKUP(A322,advanced_pitchers_2019!A:Y,{3,4,5,6,7,8,9,10,11,12,13,14,15,16,17,18,19,20,21},FALSE)</f>
        <v>7.39</v>
      </c>
      <c r="AA322">
        <v>3.91</v>
      </c>
      <c r="AB322">
        <v>1.89</v>
      </c>
      <c r="AC322">
        <v>1.85</v>
      </c>
      <c r="AD322">
        <v>0.185</v>
      </c>
      <c r="AE322">
        <v>9.8000000000000004E-2</v>
      </c>
      <c r="AF322">
        <v>8.6999999999999994E-2</v>
      </c>
      <c r="AG322">
        <v>0.28399999999999997</v>
      </c>
      <c r="AH322">
        <v>1.56</v>
      </c>
      <c r="AI322">
        <v>0.313</v>
      </c>
      <c r="AJ322">
        <v>0.79</v>
      </c>
      <c r="AK322">
        <v>112</v>
      </c>
      <c r="AL322">
        <v>130</v>
      </c>
      <c r="AM322">
        <v>108</v>
      </c>
      <c r="AN322">
        <v>4.76</v>
      </c>
      <c r="AO322">
        <v>5.61</v>
      </c>
      <c r="AP322">
        <v>-0.85</v>
      </c>
      <c r="AQ322">
        <v>4.8</v>
      </c>
      <c r="AR322">
        <v>5.08</v>
      </c>
      <c r="AS322" cm="1">
        <f t="array" ref="AS322:BA322">VLOOKUP(A322,plate_discipline_pitchers_2019!A:L,{3,4,5,6,7,8,9,10,11},FALSE)</f>
        <v>0.30299999999999999</v>
      </c>
      <c r="AT322">
        <v>0.71799999999999997</v>
      </c>
      <c r="AU322">
        <v>0.47399999999999998</v>
      </c>
      <c r="AV322">
        <v>0.73499999999999999</v>
      </c>
      <c r="AW322">
        <v>0.84199999999999997</v>
      </c>
      <c r="AX322">
        <v>0.80200000000000005</v>
      </c>
      <c r="AY322">
        <v>0.41199999999999998</v>
      </c>
      <c r="AZ322">
        <v>0.57699999999999996</v>
      </c>
      <c r="BA322">
        <v>9.4E-2</v>
      </c>
      <c r="BB322" cm="1">
        <f t="array" ref="BB322:BP322">VLOOKUP(A322,pitchvalue_pitchers_2019!A:Q,{3,4,5,6,7,8,9,10,11,12,13,14,15,16,17},FALSE)</f>
        <v>-13.6</v>
      </c>
      <c r="BC322">
        <v>0</v>
      </c>
      <c r="BD322">
        <v>-5.2</v>
      </c>
      <c r="BE322">
        <v>-5.6</v>
      </c>
      <c r="BF322">
        <v>10.199999999999999</v>
      </c>
      <c r="BG322">
        <v>0</v>
      </c>
      <c r="BH322">
        <v>0</v>
      </c>
      <c r="BI322">
        <v>-1.21</v>
      </c>
      <c r="BJ322">
        <v>0</v>
      </c>
      <c r="BK322">
        <v>-1.57</v>
      </c>
      <c r="BL322">
        <v>-2.4700000000000002</v>
      </c>
      <c r="BM322">
        <v>1.95</v>
      </c>
      <c r="BN322">
        <v>0</v>
      </c>
      <c r="BO322">
        <v>0</v>
      </c>
      <c r="BP322">
        <v>14078</v>
      </c>
      <c r="BQ322" cm="1">
        <f t="array" ref="BQ322:CH322">VLOOKUP(A322,battedball_pitchers_2019!A:U,{3,4,5,6,7,8,9,10,11,12,13,14,15,16,17,18,19,20},FALSE)</f>
        <v>0.313</v>
      </c>
      <c r="BR322">
        <v>1.6</v>
      </c>
      <c r="BS322">
        <v>0.221</v>
      </c>
      <c r="BT322">
        <v>0.48</v>
      </c>
      <c r="BU322">
        <v>0.29899999999999999</v>
      </c>
      <c r="BV322">
        <v>5.8999999999999997E-2</v>
      </c>
      <c r="BW322">
        <v>0.22</v>
      </c>
      <c r="BX322">
        <v>74</v>
      </c>
      <c r="BY322">
        <v>5.26</v>
      </c>
      <c r="BZ322">
        <v>827</v>
      </c>
      <c r="CA322">
        <v>1372</v>
      </c>
      <c r="CB322">
        <v>2199</v>
      </c>
      <c r="CC322">
        <v>0.48299999999999998</v>
      </c>
      <c r="CD322">
        <v>0.27500000000000002</v>
      </c>
      <c r="CE322">
        <v>0.24299999999999999</v>
      </c>
      <c r="CF322">
        <v>0.14499999999999999</v>
      </c>
      <c r="CG322">
        <v>0.46</v>
      </c>
      <c r="CH322">
        <v>0.39500000000000002</v>
      </c>
      <c r="CI322" cm="1">
        <f t="array" ref="CI322:CS322">VLOOKUP(A322,verticalmove_pitchers_2019!A:N,{3,4,5,6,7,8,9,10,11,12,13},FALSE)</f>
        <v>126.2</v>
      </c>
      <c r="CJ322">
        <v>9.3000000000000007</v>
      </c>
      <c r="CK322">
        <v>5.7</v>
      </c>
      <c r="CL322">
        <v>0</v>
      </c>
      <c r="CM322">
        <v>7.9</v>
      </c>
      <c r="CN322">
        <v>4.8</v>
      </c>
      <c r="CO322">
        <v>5</v>
      </c>
      <c r="CP322">
        <v>-7.4</v>
      </c>
      <c r="CQ322">
        <v>0</v>
      </c>
      <c r="CR322">
        <v>0</v>
      </c>
      <c r="CS322">
        <v>0</v>
      </c>
      <c r="CT322" cm="1">
        <f t="array" ref="CT322:DD322">VLOOKUP(A322,velocity_pitchers_2019!A:N,{3,4,5,6,7,8,9,10,11,12,13},FALSE)</f>
        <v>126.2</v>
      </c>
      <c r="CU322">
        <v>93.4</v>
      </c>
      <c r="CV322">
        <v>89.7</v>
      </c>
      <c r="CW322">
        <v>0</v>
      </c>
      <c r="CX322">
        <v>93.2</v>
      </c>
      <c r="CY322">
        <v>85.9</v>
      </c>
      <c r="CZ322">
        <v>91.8</v>
      </c>
      <c r="DA322">
        <v>75.599999999999994</v>
      </c>
      <c r="DB322">
        <v>0</v>
      </c>
      <c r="DC322">
        <v>0</v>
      </c>
      <c r="DD322">
        <v>0</v>
      </c>
    </row>
    <row r="323" spans="1:108" x14ac:dyDescent="0.3">
      <c r="A323" t="s">
        <v>189</v>
      </c>
      <c r="B323" t="str" cm="1">
        <f t="array" ref="B323:Y323">VLOOKUP(A323,standard_pitchers_2019!A:Y,{2,3,4,5,6,7,8,9,10,11,12,13,14,15,16,17,18,19,20,21,22,23,24,25},FALSE)</f>
        <v>Cubs</v>
      </c>
      <c r="C323">
        <v>6</v>
      </c>
      <c r="D323">
        <v>8</v>
      </c>
      <c r="E323">
        <v>3.98</v>
      </c>
      <c r="F323">
        <v>31</v>
      </c>
      <c r="G323">
        <v>31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178.2</v>
      </c>
      <c r="N323">
        <v>731</v>
      </c>
      <c r="O323">
        <v>140</v>
      </c>
      <c r="P323">
        <v>82</v>
      </c>
      <c r="Q323">
        <v>79</v>
      </c>
      <c r="R323">
        <v>33</v>
      </c>
      <c r="S323">
        <v>56</v>
      </c>
      <c r="T323">
        <v>1</v>
      </c>
      <c r="U323">
        <v>11</v>
      </c>
      <c r="V323">
        <v>11</v>
      </c>
      <c r="W323">
        <v>0</v>
      </c>
      <c r="X323">
        <v>229</v>
      </c>
      <c r="Y323">
        <v>13074</v>
      </c>
      <c r="Z323" cm="1">
        <f t="array" ref="Z323:AR323">VLOOKUP(A323,advanced_pitchers_2019!A:Y,{3,4,5,6,7,8,9,10,11,12,13,14,15,16,17,18,19,20,21},FALSE)</f>
        <v>11.54</v>
      </c>
      <c r="AA323">
        <v>2.82</v>
      </c>
      <c r="AB323">
        <v>4.09</v>
      </c>
      <c r="AC323">
        <v>1.66</v>
      </c>
      <c r="AD323">
        <v>0.313</v>
      </c>
      <c r="AE323">
        <v>7.6999999999999999E-2</v>
      </c>
      <c r="AF323">
        <v>0.23699999999999999</v>
      </c>
      <c r="AG323">
        <v>0.21099999999999999</v>
      </c>
      <c r="AH323">
        <v>1.1000000000000001</v>
      </c>
      <c r="AI323">
        <v>0.26600000000000001</v>
      </c>
      <c r="AJ323">
        <v>0.77700000000000002</v>
      </c>
      <c r="AK323">
        <v>91</v>
      </c>
      <c r="AL323">
        <v>94</v>
      </c>
      <c r="AM323">
        <v>76</v>
      </c>
      <c r="AN323">
        <v>3.98</v>
      </c>
      <c r="AO323">
        <v>4.18</v>
      </c>
      <c r="AP323">
        <v>-0.2</v>
      </c>
      <c r="AQ323">
        <v>3.39</v>
      </c>
      <c r="AR323">
        <v>3.55</v>
      </c>
      <c r="AS323" cm="1">
        <f t="array" ref="AS323:BA323">VLOOKUP(A323,plate_discipline_pitchers_2019!A:L,{3,4,5,6,7,8,9,10,11},FALSE)</f>
        <v>0.33800000000000002</v>
      </c>
      <c r="AT323">
        <v>0.64700000000000002</v>
      </c>
      <c r="AU323">
        <v>0.47499999999999998</v>
      </c>
      <c r="AV323">
        <v>0.56000000000000005</v>
      </c>
      <c r="AW323">
        <v>0.82199999999999995</v>
      </c>
      <c r="AX323">
        <v>0.71799999999999997</v>
      </c>
      <c r="AY323">
        <v>0.44500000000000001</v>
      </c>
      <c r="AZ323">
        <v>0.624</v>
      </c>
      <c r="BA323">
        <v>0.13400000000000001</v>
      </c>
      <c r="BB323" cm="1">
        <f t="array" ref="BB323:BP323">VLOOKUP(A323,pitchvalue_pitchers_2019!A:Q,{3,4,5,6,7,8,9,10,11,12,13,14,15,16,17},FALSE)</f>
        <v>-13.7</v>
      </c>
      <c r="BC323">
        <v>-1.4</v>
      </c>
      <c r="BD323">
        <v>21.4</v>
      </c>
      <c r="BE323">
        <v>6.1</v>
      </c>
      <c r="BF323">
        <v>-0.3</v>
      </c>
      <c r="BG323">
        <v>4.7</v>
      </c>
      <c r="BH323">
        <v>0</v>
      </c>
      <c r="BI323">
        <v>-1.38</v>
      </c>
      <c r="BJ323">
        <v>-0.34</v>
      </c>
      <c r="BK323">
        <v>2.16</v>
      </c>
      <c r="BL323">
        <v>3.03</v>
      </c>
      <c r="BM323">
        <v>-1.45</v>
      </c>
      <c r="BN323">
        <v>2.0299999999999998</v>
      </c>
      <c r="BO323">
        <v>0</v>
      </c>
      <c r="BP323">
        <v>13074</v>
      </c>
      <c r="BQ323" cm="1">
        <f t="array" ref="BQ323:CH323">VLOOKUP(A323,battedball_pitchers_2019!A:U,{3,4,5,6,7,8,9,10,11,12,13,14,15,16,17,18,19,20},FALSE)</f>
        <v>0.26600000000000001</v>
      </c>
      <c r="BR323">
        <v>1.35</v>
      </c>
      <c r="BS323">
        <v>0.20899999999999999</v>
      </c>
      <c r="BT323">
        <v>0.45500000000000002</v>
      </c>
      <c r="BU323">
        <v>0.33600000000000002</v>
      </c>
      <c r="BV323">
        <v>3.4000000000000002E-2</v>
      </c>
      <c r="BW323">
        <v>0.22800000000000001</v>
      </c>
      <c r="BX323">
        <v>92</v>
      </c>
      <c r="BY323">
        <v>4.63</v>
      </c>
      <c r="BZ323">
        <v>969</v>
      </c>
      <c r="CA323">
        <v>1879</v>
      </c>
      <c r="CB323">
        <v>2848</v>
      </c>
      <c r="CC323">
        <v>0.44400000000000001</v>
      </c>
      <c r="CD323">
        <v>0.33300000000000002</v>
      </c>
      <c r="CE323">
        <v>0.223</v>
      </c>
      <c r="CF323">
        <v>0.14499999999999999</v>
      </c>
      <c r="CG323">
        <v>0.54300000000000004</v>
      </c>
      <c r="CH323">
        <v>0.313</v>
      </c>
      <c r="CI323" cm="1">
        <f t="array" ref="CI323:CS323">VLOOKUP(A323,verticalmove_pitchers_2019!A:N,{3,4,5,6,7,8,9,10,11,12,13},FALSE)</f>
        <v>178.2</v>
      </c>
      <c r="CJ323">
        <v>9</v>
      </c>
      <c r="CK323">
        <v>4.2</v>
      </c>
      <c r="CL323">
        <v>3.2</v>
      </c>
      <c r="CM323">
        <v>5.3</v>
      </c>
      <c r="CN323">
        <v>2.7</v>
      </c>
      <c r="CO323">
        <v>-0.8</v>
      </c>
      <c r="CP323">
        <v>-8.1</v>
      </c>
      <c r="CQ323">
        <v>-10.8</v>
      </c>
      <c r="CR323">
        <v>0</v>
      </c>
      <c r="CS323">
        <v>0</v>
      </c>
      <c r="CT323" cm="1">
        <f t="array" ref="CT323:DD323">VLOOKUP(A323,velocity_pitchers_2019!A:N,{3,4,5,6,7,8,9,10,11,12,13},FALSE)</f>
        <v>178.2</v>
      </c>
      <c r="CU323">
        <v>94.3</v>
      </c>
      <c r="CV323">
        <v>91.3</v>
      </c>
      <c r="CW323">
        <v>88.8</v>
      </c>
      <c r="CX323">
        <v>94.4</v>
      </c>
      <c r="CY323">
        <v>90.6</v>
      </c>
      <c r="CZ323">
        <v>85.1</v>
      </c>
      <c r="DA323">
        <v>77.400000000000006</v>
      </c>
      <c r="DB323">
        <v>68.7</v>
      </c>
      <c r="DC323">
        <v>0</v>
      </c>
      <c r="DD323">
        <v>0</v>
      </c>
    </row>
    <row r="324" spans="1:108" x14ac:dyDescent="0.3">
      <c r="A324" t="s">
        <v>390</v>
      </c>
      <c r="B324" t="str" cm="1">
        <f t="array" ref="B324:Y324">VLOOKUP(A324,standard_pitchers_2019!A:Y,{2,3,4,5,6,7,8,9,10,11,12,13,14,15,16,17,18,19,20,21,22,23,24,25},FALSE)</f>
        <v>Orioles</v>
      </c>
      <c r="C324">
        <v>1</v>
      </c>
      <c r="D324">
        <v>10</v>
      </c>
      <c r="E324">
        <v>7.09</v>
      </c>
      <c r="F324">
        <v>23</v>
      </c>
      <c r="G324">
        <v>14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80</v>
      </c>
      <c r="N324">
        <v>365</v>
      </c>
      <c r="O324">
        <v>94</v>
      </c>
      <c r="P324">
        <v>73</v>
      </c>
      <c r="Q324">
        <v>63</v>
      </c>
      <c r="R324">
        <v>28</v>
      </c>
      <c r="S324">
        <v>30</v>
      </c>
      <c r="T324">
        <v>0</v>
      </c>
      <c r="U324">
        <v>2</v>
      </c>
      <c r="V324">
        <v>1</v>
      </c>
      <c r="W324">
        <v>0</v>
      </c>
      <c r="X324">
        <v>68</v>
      </c>
      <c r="Y324">
        <v>16130</v>
      </c>
      <c r="Z324" cm="1">
        <f t="array" ref="Z324:AR324">VLOOKUP(A324,advanced_pitchers_2019!A:Y,{3,4,5,6,7,8,9,10,11,12,13,14,15,16,17,18,19,20,21},FALSE)</f>
        <v>7.65</v>
      </c>
      <c r="AA324">
        <v>3.38</v>
      </c>
      <c r="AB324">
        <v>2.27</v>
      </c>
      <c r="AC324">
        <v>3.15</v>
      </c>
      <c r="AD324">
        <v>0.186</v>
      </c>
      <c r="AE324">
        <v>8.2000000000000003E-2</v>
      </c>
      <c r="AF324">
        <v>0.104</v>
      </c>
      <c r="AG324">
        <v>0.28199999999999997</v>
      </c>
      <c r="AH324">
        <v>1.55</v>
      </c>
      <c r="AI324">
        <v>0.27800000000000002</v>
      </c>
      <c r="AJ324">
        <v>0.61099999999999999</v>
      </c>
      <c r="AK324">
        <v>151</v>
      </c>
      <c r="AL324">
        <v>152</v>
      </c>
      <c r="AM324">
        <v>124</v>
      </c>
      <c r="AN324">
        <v>7.09</v>
      </c>
      <c r="AO324">
        <v>7.26</v>
      </c>
      <c r="AP324">
        <v>-0.18</v>
      </c>
      <c r="AQ324">
        <v>5.67</v>
      </c>
      <c r="AR324">
        <v>5.17</v>
      </c>
      <c r="AS324" cm="1">
        <f t="array" ref="AS324:BA324">VLOOKUP(A324,plate_discipline_pitchers_2019!A:L,{3,4,5,6,7,8,9,10,11},FALSE)</f>
        <v>0.29899999999999999</v>
      </c>
      <c r="AT324">
        <v>0.748</v>
      </c>
      <c r="AU324">
        <v>0.48899999999999999</v>
      </c>
      <c r="AV324">
        <v>0.70399999999999996</v>
      </c>
      <c r="AW324">
        <v>0.89200000000000002</v>
      </c>
      <c r="AX324">
        <v>0.82499999999999996</v>
      </c>
      <c r="AY324">
        <v>0.42199999999999999</v>
      </c>
      <c r="AZ324">
        <v>0.625</v>
      </c>
      <c r="BA324">
        <v>8.5000000000000006E-2</v>
      </c>
      <c r="BB324" cm="1">
        <f t="array" ref="BB324:BP324">VLOOKUP(A324,pitchvalue_pitchers_2019!A:Q,{3,4,5,6,7,8,9,10,11,12,13,14,15,16,17},FALSE)</f>
        <v>-14.1</v>
      </c>
      <c r="BC324">
        <v>-5</v>
      </c>
      <c r="BD324">
        <v>0</v>
      </c>
      <c r="BE324">
        <v>-1.6</v>
      </c>
      <c r="BF324">
        <v>-4.2</v>
      </c>
      <c r="BG324">
        <v>0</v>
      </c>
      <c r="BH324">
        <v>0</v>
      </c>
      <c r="BI324">
        <v>-1.66</v>
      </c>
      <c r="BJ324">
        <v>-1.4</v>
      </c>
      <c r="BK324">
        <v>0</v>
      </c>
      <c r="BL324">
        <v>-2.61</v>
      </c>
      <c r="BM324">
        <v>-2.54</v>
      </c>
      <c r="BN324">
        <v>0</v>
      </c>
      <c r="BO324">
        <v>0</v>
      </c>
      <c r="BP324">
        <v>16130</v>
      </c>
      <c r="BQ324" cm="1">
        <f t="array" ref="BQ324:CH324">VLOOKUP(A324,battedball_pitchers_2019!A:U,{3,4,5,6,7,8,9,10,11,12,13,14,15,16,17,18,19,20},FALSE)</f>
        <v>0.27800000000000002</v>
      </c>
      <c r="BR324">
        <v>0.71</v>
      </c>
      <c r="BS324">
        <v>0.218</v>
      </c>
      <c r="BT324">
        <v>0.32600000000000001</v>
      </c>
      <c r="BU324">
        <v>0.45600000000000002</v>
      </c>
      <c r="BV324">
        <v>0.10100000000000001</v>
      </c>
      <c r="BW324">
        <v>0.23499999999999999</v>
      </c>
      <c r="BX324">
        <v>32</v>
      </c>
      <c r="BY324">
        <v>3.6</v>
      </c>
      <c r="BZ324">
        <v>539</v>
      </c>
      <c r="CA324">
        <v>891</v>
      </c>
      <c r="CB324">
        <v>1430</v>
      </c>
      <c r="CC324">
        <v>0.32800000000000001</v>
      </c>
      <c r="CD324">
        <v>0.39600000000000002</v>
      </c>
      <c r="CE324">
        <v>0.27500000000000002</v>
      </c>
      <c r="CF324">
        <v>0.128</v>
      </c>
      <c r="CG324">
        <v>0.434</v>
      </c>
      <c r="CH324">
        <v>0.438</v>
      </c>
      <c r="CI324" cm="1">
        <f t="array" ref="CI324:CS324">VLOOKUP(A324,verticalmove_pitchers_2019!A:N,{3,4,5,6,7,8,9,10,11,12,13},FALSE)</f>
        <v>80</v>
      </c>
      <c r="CJ324">
        <v>9.3000000000000007</v>
      </c>
      <c r="CK324">
        <v>0</v>
      </c>
      <c r="CL324">
        <v>0</v>
      </c>
      <c r="CM324">
        <v>7.8</v>
      </c>
      <c r="CN324">
        <v>4.4000000000000004</v>
      </c>
      <c r="CO324">
        <v>1.5</v>
      </c>
      <c r="CP324">
        <v>-3.2</v>
      </c>
      <c r="CQ324">
        <v>0</v>
      </c>
      <c r="CR324">
        <v>0</v>
      </c>
      <c r="CS324">
        <v>0</v>
      </c>
      <c r="CT324" cm="1">
        <f t="array" ref="CT324:DD324">VLOOKUP(A324,velocity_pitchers_2019!A:N,{3,4,5,6,7,8,9,10,11,12,13},FALSE)</f>
        <v>80</v>
      </c>
      <c r="CU324">
        <v>93.4</v>
      </c>
      <c r="CV324">
        <v>0</v>
      </c>
      <c r="CW324">
        <v>0</v>
      </c>
      <c r="CX324">
        <v>92.9</v>
      </c>
      <c r="CY324">
        <v>85.9</v>
      </c>
      <c r="CZ324">
        <v>83.7</v>
      </c>
      <c r="DA324">
        <v>77.5</v>
      </c>
      <c r="DB324">
        <v>0</v>
      </c>
      <c r="DC324">
        <v>0</v>
      </c>
      <c r="DD324">
        <v>0</v>
      </c>
    </row>
    <row r="325" spans="1:108" x14ac:dyDescent="0.3">
      <c r="A325" t="s">
        <v>368</v>
      </c>
      <c r="B325" t="str" cm="1">
        <f t="array" ref="B325:Y325">VLOOKUP(A325,standard_pitchers_2019!A:Y,{2,3,4,5,6,7,8,9,10,11,12,13,14,15,16,17,18,19,20,21,22,23,24,25},FALSE)</f>
        <v>Angels</v>
      </c>
      <c r="C325">
        <v>4</v>
      </c>
      <c r="D325">
        <v>9</v>
      </c>
      <c r="E325">
        <v>5.98</v>
      </c>
      <c r="F325">
        <v>37</v>
      </c>
      <c r="G325">
        <v>11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102.1</v>
      </c>
      <c r="N325">
        <v>455</v>
      </c>
      <c r="O325">
        <v>111</v>
      </c>
      <c r="P325">
        <v>71</v>
      </c>
      <c r="Q325">
        <v>68</v>
      </c>
      <c r="R325">
        <v>25</v>
      </c>
      <c r="S325">
        <v>39</v>
      </c>
      <c r="T325">
        <v>0</v>
      </c>
      <c r="U325">
        <v>6</v>
      </c>
      <c r="V325">
        <v>14</v>
      </c>
      <c r="W325">
        <v>0</v>
      </c>
      <c r="X325">
        <v>81</v>
      </c>
      <c r="Y325">
        <v>6249</v>
      </c>
      <c r="Z325" cm="1">
        <f t="array" ref="Z325:AR325">VLOOKUP(A325,advanced_pitchers_2019!A:Y,{3,4,5,6,7,8,9,10,11,12,13,14,15,16,17,18,19,20,21},FALSE)</f>
        <v>7.12</v>
      </c>
      <c r="AA325">
        <v>3.43</v>
      </c>
      <c r="AB325">
        <v>2.08</v>
      </c>
      <c r="AC325">
        <v>2.2000000000000002</v>
      </c>
      <c r="AD325">
        <v>0.17799999999999999</v>
      </c>
      <c r="AE325">
        <v>8.5999999999999993E-2</v>
      </c>
      <c r="AF325">
        <v>9.1999999999999998E-2</v>
      </c>
      <c r="AG325">
        <v>0.27100000000000002</v>
      </c>
      <c r="AH325">
        <v>1.47</v>
      </c>
      <c r="AI325">
        <v>0.28299999999999997</v>
      </c>
      <c r="AJ325">
        <v>0.70199999999999996</v>
      </c>
      <c r="AK325">
        <v>133</v>
      </c>
      <c r="AL325">
        <v>134</v>
      </c>
      <c r="AM325">
        <v>112</v>
      </c>
      <c r="AN325">
        <v>5.98</v>
      </c>
      <c r="AO325">
        <v>6.13</v>
      </c>
      <c r="AP325">
        <v>-0.15</v>
      </c>
      <c r="AQ325">
        <v>5.1100000000000003</v>
      </c>
      <c r="AR325">
        <v>4.95</v>
      </c>
      <c r="AS325" cm="1">
        <f t="array" ref="AS325:BA325">VLOOKUP(A325,plate_discipline_pitchers_2019!A:L,{3,4,5,6,7,8,9,10,11},FALSE)</f>
        <v>0.27100000000000002</v>
      </c>
      <c r="AT325">
        <v>0.67600000000000005</v>
      </c>
      <c r="AU325">
        <v>0.45</v>
      </c>
      <c r="AV325">
        <v>0.58899999999999997</v>
      </c>
      <c r="AW325">
        <v>0.873</v>
      </c>
      <c r="AX325">
        <v>0.77800000000000002</v>
      </c>
      <c r="AY325">
        <v>0.443</v>
      </c>
      <c r="AZ325">
        <v>0.57799999999999996</v>
      </c>
      <c r="BA325">
        <v>0.1</v>
      </c>
      <c r="BB325" cm="1">
        <f t="array" ref="BB325:BP325">VLOOKUP(A325,pitchvalue_pitchers_2019!A:Q,{3,4,5,6,7,8,9,10,11,12,13,14,15,16,17},FALSE)</f>
        <v>-14.4</v>
      </c>
      <c r="BC325">
        <v>2</v>
      </c>
      <c r="BD325">
        <v>0</v>
      </c>
      <c r="BE325">
        <v>-5</v>
      </c>
      <c r="BF325">
        <v>-1.9</v>
      </c>
      <c r="BG325">
        <v>0</v>
      </c>
      <c r="BH325">
        <v>0</v>
      </c>
      <c r="BI325">
        <v>-2.17</v>
      </c>
      <c r="BJ325">
        <v>0.61</v>
      </c>
      <c r="BK325">
        <v>0</v>
      </c>
      <c r="BL325">
        <v>-1.28</v>
      </c>
      <c r="BM325">
        <v>-0.46</v>
      </c>
      <c r="BN325">
        <v>0</v>
      </c>
      <c r="BO325">
        <v>0</v>
      </c>
      <c r="BP325">
        <v>6249</v>
      </c>
      <c r="BQ325" cm="1">
        <f t="array" ref="BQ325:CH325">VLOOKUP(A325,battedball_pitchers_2019!A:U,{3,4,5,6,7,8,9,10,11,12,13,14,15,16,17,18,19,20},FALSE)</f>
        <v>0.28299999999999997</v>
      </c>
      <c r="BR325">
        <v>1.35</v>
      </c>
      <c r="BS325">
        <v>0.20200000000000001</v>
      </c>
      <c r="BT325">
        <v>0.45900000000000002</v>
      </c>
      <c r="BU325">
        <v>0.33900000000000002</v>
      </c>
      <c r="BV325">
        <v>1.7999999999999999E-2</v>
      </c>
      <c r="BW325">
        <v>0.22500000000000001</v>
      </c>
      <c r="BX325">
        <v>37</v>
      </c>
      <c r="BY325">
        <v>3.25</v>
      </c>
      <c r="BZ325">
        <v>681</v>
      </c>
      <c r="CA325">
        <v>1107</v>
      </c>
      <c r="CB325">
        <v>1788</v>
      </c>
      <c r="CC325">
        <v>0.52300000000000002</v>
      </c>
      <c r="CD325">
        <v>0.307</v>
      </c>
      <c r="CE325">
        <v>0.17</v>
      </c>
      <c r="CF325">
        <v>0.161</v>
      </c>
      <c r="CG325">
        <v>0.38600000000000001</v>
      </c>
      <c r="CH325">
        <v>0.45300000000000001</v>
      </c>
      <c r="CI325" cm="1">
        <f t="array" ref="CI325:CS325">VLOOKUP(A325,verticalmove_pitchers_2019!A:N,{3,4,5,6,7,8,9,10,11,12,13},FALSE)</f>
        <v>102.1</v>
      </c>
      <c r="CJ325">
        <v>7.5</v>
      </c>
      <c r="CK325">
        <v>3.6</v>
      </c>
      <c r="CL325">
        <v>0</v>
      </c>
      <c r="CM325">
        <v>3.8</v>
      </c>
      <c r="CN325">
        <v>-0.1</v>
      </c>
      <c r="CO325">
        <v>1.9</v>
      </c>
      <c r="CP325">
        <v>-7.5</v>
      </c>
      <c r="CQ325">
        <v>0</v>
      </c>
      <c r="CR325">
        <v>0</v>
      </c>
      <c r="CS325">
        <v>0</v>
      </c>
      <c r="CT325" cm="1">
        <f t="array" ref="CT325:DD325">VLOOKUP(A325,velocity_pitchers_2019!A:N,{3,4,5,6,7,8,9,10,11,12,13},FALSE)</f>
        <v>102.1</v>
      </c>
      <c r="CU325">
        <v>92.4</v>
      </c>
      <c r="CV325">
        <v>89.5</v>
      </c>
      <c r="CW325">
        <v>0</v>
      </c>
      <c r="CX325">
        <v>92</v>
      </c>
      <c r="CY325">
        <v>83.8</v>
      </c>
      <c r="CZ325">
        <v>86.1</v>
      </c>
      <c r="DA325">
        <v>79.8</v>
      </c>
      <c r="DB325">
        <v>0</v>
      </c>
      <c r="DC325">
        <v>0</v>
      </c>
      <c r="DD325">
        <v>0</v>
      </c>
    </row>
    <row r="326" spans="1:108" x14ac:dyDescent="0.3">
      <c r="A326" t="s">
        <v>333</v>
      </c>
      <c r="B326" t="str" cm="1">
        <f t="array" ref="B326:Y326">VLOOKUP(A326,standard_pitchers_2019!A:Y,{2,3,4,5,6,7,8,9,10,11,12,13,14,15,16,17,18,19,20,21,22,23,24,25},FALSE)</f>
        <v>Angels</v>
      </c>
      <c r="C326">
        <v>4</v>
      </c>
      <c r="D326">
        <v>4</v>
      </c>
      <c r="E326">
        <v>5.38</v>
      </c>
      <c r="F326">
        <v>17</v>
      </c>
      <c r="G326">
        <v>12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72</v>
      </c>
      <c r="N326">
        <v>327</v>
      </c>
      <c r="O326">
        <v>85</v>
      </c>
      <c r="P326">
        <v>50</v>
      </c>
      <c r="Q326">
        <v>43</v>
      </c>
      <c r="R326">
        <v>18</v>
      </c>
      <c r="S326">
        <v>26</v>
      </c>
      <c r="T326">
        <v>1</v>
      </c>
      <c r="U326">
        <v>5</v>
      </c>
      <c r="V326">
        <v>1</v>
      </c>
      <c r="W326">
        <v>2</v>
      </c>
      <c r="X326">
        <v>55</v>
      </c>
      <c r="Y326">
        <v>18790</v>
      </c>
      <c r="Z326" cm="1">
        <f t="array" ref="Z326:AR326">VLOOKUP(A326,advanced_pitchers_2019!A:Y,{3,4,5,6,7,8,9,10,11,12,13,14,15,16,17,18,19,20,21},FALSE)</f>
        <v>6.88</v>
      </c>
      <c r="AA326">
        <v>3.25</v>
      </c>
      <c r="AB326">
        <v>2.12</v>
      </c>
      <c r="AC326">
        <v>2.25</v>
      </c>
      <c r="AD326">
        <v>0.16800000000000001</v>
      </c>
      <c r="AE326">
        <v>0.08</v>
      </c>
      <c r="AF326">
        <v>8.8999999999999996E-2</v>
      </c>
      <c r="AG326">
        <v>0.28699999999999998</v>
      </c>
      <c r="AH326">
        <v>1.54</v>
      </c>
      <c r="AI326">
        <v>0.3</v>
      </c>
      <c r="AJ326">
        <v>0.72699999999999998</v>
      </c>
      <c r="AK326">
        <v>119</v>
      </c>
      <c r="AL326">
        <v>136</v>
      </c>
      <c r="AM326">
        <v>120</v>
      </c>
      <c r="AN326">
        <v>5.38</v>
      </c>
      <c r="AO326">
        <v>6.23</v>
      </c>
      <c r="AP326">
        <v>-0.85</v>
      </c>
      <c r="AQ326">
        <v>5.52</v>
      </c>
      <c r="AR326">
        <v>5.2</v>
      </c>
      <c r="AS326" cm="1">
        <f t="array" ref="AS326:BA326">VLOOKUP(A326,plate_discipline_pitchers_2019!A:L,{3,4,5,6,7,8,9,10,11},FALSE)</f>
        <v>0.32700000000000001</v>
      </c>
      <c r="AT326">
        <v>0.67200000000000004</v>
      </c>
      <c r="AU326">
        <v>0.46899999999999997</v>
      </c>
      <c r="AV326">
        <v>0.72499999999999998</v>
      </c>
      <c r="AW326">
        <v>0.86199999999999999</v>
      </c>
      <c r="AX326">
        <v>0.80600000000000005</v>
      </c>
      <c r="AY326">
        <v>0.41399999999999998</v>
      </c>
      <c r="AZ326">
        <v>0.63</v>
      </c>
      <c r="BA326">
        <v>9.0999999999999998E-2</v>
      </c>
      <c r="BB326" cm="1">
        <f t="array" ref="BB326:BP326">VLOOKUP(A326,pitchvalue_pitchers_2019!A:Q,{3,4,5,6,7,8,9,10,11,12,13,14,15,16,17},FALSE)</f>
        <v>-14.5</v>
      </c>
      <c r="BC326">
        <v>-2.1</v>
      </c>
      <c r="BD326">
        <v>0</v>
      </c>
      <c r="BE326">
        <v>-2.8</v>
      </c>
      <c r="BF326">
        <v>1.5</v>
      </c>
      <c r="BG326">
        <v>0</v>
      </c>
      <c r="BH326">
        <v>0</v>
      </c>
      <c r="BI326">
        <v>-2.25</v>
      </c>
      <c r="BJ326">
        <v>-3.55</v>
      </c>
      <c r="BK326">
        <v>0</v>
      </c>
      <c r="BL326">
        <v>-0.9</v>
      </c>
      <c r="BM326">
        <v>0.57999999999999996</v>
      </c>
      <c r="BN326">
        <v>0</v>
      </c>
      <c r="BO326">
        <v>0</v>
      </c>
      <c r="BP326">
        <v>18790</v>
      </c>
      <c r="BQ326" cm="1">
        <f t="array" ref="BQ326:CH326">VLOOKUP(A326,battedball_pitchers_2019!A:U,{3,4,5,6,7,8,9,10,11,12,13,14,15,16,17,18,19,20},FALSE)</f>
        <v>0.3</v>
      </c>
      <c r="BR326">
        <v>1.03</v>
      </c>
      <c r="BS326">
        <v>0.218</v>
      </c>
      <c r="BT326">
        <v>0.39700000000000002</v>
      </c>
      <c r="BU326">
        <v>0.38500000000000001</v>
      </c>
      <c r="BV326">
        <v>5.3999999999999999E-2</v>
      </c>
      <c r="BW326">
        <v>0.19600000000000001</v>
      </c>
      <c r="BX326">
        <v>51</v>
      </c>
      <c r="BY326">
        <v>6.38</v>
      </c>
      <c r="BZ326">
        <v>461</v>
      </c>
      <c r="CA326">
        <v>813</v>
      </c>
      <c r="CB326">
        <v>1274</v>
      </c>
      <c r="CC326">
        <v>0.378</v>
      </c>
      <c r="CD326">
        <v>0.39</v>
      </c>
      <c r="CE326">
        <v>0.23200000000000001</v>
      </c>
      <c r="CF326">
        <v>0.16200000000000001</v>
      </c>
      <c r="CG326">
        <v>0.39</v>
      </c>
      <c r="CH326">
        <v>0.44800000000000001</v>
      </c>
      <c r="CI326" cm="1">
        <f t="array" ref="CI326:CS326">VLOOKUP(A326,verticalmove_pitchers_2019!A:N,{3,4,5,6,7,8,9,10,11,12,13},FALSE)</f>
        <v>72</v>
      </c>
      <c r="CJ326">
        <v>8.9</v>
      </c>
      <c r="CK326">
        <v>0</v>
      </c>
      <c r="CL326">
        <v>0</v>
      </c>
      <c r="CM326">
        <v>6.7</v>
      </c>
      <c r="CN326">
        <v>4.8</v>
      </c>
      <c r="CO326">
        <v>-2.6</v>
      </c>
      <c r="CP326">
        <v>-7.9</v>
      </c>
      <c r="CQ326">
        <v>0</v>
      </c>
      <c r="CR326">
        <v>0</v>
      </c>
      <c r="CS326">
        <v>0</v>
      </c>
      <c r="CT326" cm="1">
        <f t="array" ref="CT326:DD326">VLOOKUP(A326,velocity_pitchers_2019!A:N,{3,4,5,6,7,8,9,10,11,12,13},FALSE)</f>
        <v>72</v>
      </c>
      <c r="CU326">
        <v>91.2</v>
      </c>
      <c r="CV326">
        <v>0</v>
      </c>
      <c r="CW326">
        <v>0</v>
      </c>
      <c r="CX326">
        <v>91.1</v>
      </c>
      <c r="CY326">
        <v>84.2</v>
      </c>
      <c r="CZ326">
        <v>82.6</v>
      </c>
      <c r="DA326">
        <v>76.7</v>
      </c>
      <c r="DB326">
        <v>0</v>
      </c>
      <c r="DC326">
        <v>0</v>
      </c>
      <c r="DD326">
        <v>0</v>
      </c>
    </row>
    <row r="327" spans="1:108" x14ac:dyDescent="0.3">
      <c r="A327" t="s">
        <v>337</v>
      </c>
      <c r="B327" t="str" cm="1">
        <f t="array" ref="B327:Y327">VLOOKUP(A327,standard_pitchers_2019!A:Y,{2,3,4,5,6,7,8,9,10,11,12,13,14,15,16,17,18,19,20,21,22,23,24,25},FALSE)</f>
        <v>Phillies</v>
      </c>
      <c r="C327">
        <v>4</v>
      </c>
      <c r="D327">
        <v>6</v>
      </c>
      <c r="E327">
        <v>5.38</v>
      </c>
      <c r="F327">
        <v>30</v>
      </c>
      <c r="G327">
        <v>13</v>
      </c>
      <c r="H327">
        <v>1</v>
      </c>
      <c r="I327">
        <v>0</v>
      </c>
      <c r="J327">
        <v>1</v>
      </c>
      <c r="K327">
        <v>1</v>
      </c>
      <c r="L327">
        <v>0</v>
      </c>
      <c r="M327">
        <v>93.2</v>
      </c>
      <c r="N327">
        <v>421</v>
      </c>
      <c r="O327">
        <v>103</v>
      </c>
      <c r="P327">
        <v>64</v>
      </c>
      <c r="Q327">
        <v>56</v>
      </c>
      <c r="R327">
        <v>20</v>
      </c>
      <c r="S327">
        <v>39</v>
      </c>
      <c r="T327">
        <v>2</v>
      </c>
      <c r="U327">
        <v>4</v>
      </c>
      <c r="V327">
        <v>4</v>
      </c>
      <c r="W327">
        <v>1</v>
      </c>
      <c r="X327">
        <v>89</v>
      </c>
      <c r="Y327">
        <v>15454</v>
      </c>
      <c r="Z327" cm="1">
        <f t="array" ref="Z327:AR327">VLOOKUP(A327,advanced_pitchers_2019!A:Y,{3,4,5,6,7,8,9,10,11,12,13,14,15,16,17,18,19,20,21},FALSE)</f>
        <v>8.5500000000000007</v>
      </c>
      <c r="AA327">
        <v>3.75</v>
      </c>
      <c r="AB327">
        <v>2.2799999999999998</v>
      </c>
      <c r="AC327">
        <v>1.92</v>
      </c>
      <c r="AD327">
        <v>0.21099999999999999</v>
      </c>
      <c r="AE327">
        <v>9.2999999999999999E-2</v>
      </c>
      <c r="AF327">
        <v>0.11899999999999999</v>
      </c>
      <c r="AG327">
        <v>0.27200000000000002</v>
      </c>
      <c r="AH327">
        <v>1.52</v>
      </c>
      <c r="AI327">
        <v>0.309</v>
      </c>
      <c r="AJ327">
        <v>0.69499999999999995</v>
      </c>
      <c r="AK327">
        <v>122</v>
      </c>
      <c r="AL327">
        <v>121</v>
      </c>
      <c r="AM327">
        <v>103</v>
      </c>
      <c r="AN327">
        <v>5.38</v>
      </c>
      <c r="AO327">
        <v>5.47</v>
      </c>
      <c r="AP327">
        <v>-0.09</v>
      </c>
      <c r="AQ327">
        <v>4.58</v>
      </c>
      <c r="AR327">
        <v>4.7300000000000004</v>
      </c>
      <c r="AS327" cm="1">
        <f t="array" ref="AS327:BA327">VLOOKUP(A327,plate_discipline_pitchers_2019!A:L,{3,4,5,6,7,8,9,10,11},FALSE)</f>
        <v>0.29799999999999999</v>
      </c>
      <c r="AT327">
        <v>0.66400000000000003</v>
      </c>
      <c r="AU327">
        <v>0.45600000000000002</v>
      </c>
      <c r="AV327">
        <v>0.66400000000000003</v>
      </c>
      <c r="AW327">
        <v>0.84699999999999998</v>
      </c>
      <c r="AX327">
        <v>0.77900000000000003</v>
      </c>
      <c r="AY327">
        <v>0.432</v>
      </c>
      <c r="AZ327">
        <v>0.60799999999999998</v>
      </c>
      <c r="BA327">
        <v>0.10100000000000001</v>
      </c>
      <c r="BB327" cm="1">
        <f t="array" ref="BB327:BP327">VLOOKUP(A327,pitchvalue_pitchers_2019!A:Q,{3,4,5,6,7,8,9,10,11,12,13,14,15,16,17},FALSE)</f>
        <v>-14.8</v>
      </c>
      <c r="BC327">
        <v>1.9</v>
      </c>
      <c r="BD327">
        <v>0</v>
      </c>
      <c r="BE327">
        <v>1.1000000000000001</v>
      </c>
      <c r="BF327">
        <v>-0.4</v>
      </c>
      <c r="BG327">
        <v>0</v>
      </c>
      <c r="BH327">
        <v>0</v>
      </c>
      <c r="BI327">
        <v>-1.79</v>
      </c>
      <c r="BJ327">
        <v>0.96</v>
      </c>
      <c r="BK327">
        <v>0</v>
      </c>
      <c r="BL327">
        <v>0.19</v>
      </c>
      <c r="BM327">
        <v>-2.36</v>
      </c>
      <c r="BN327">
        <v>0</v>
      </c>
      <c r="BO327">
        <v>0</v>
      </c>
      <c r="BP327">
        <v>15454</v>
      </c>
      <c r="BQ327" cm="1">
        <f t="array" ref="BQ327:CH327">VLOOKUP(A327,battedball_pitchers_2019!A:U,{3,4,5,6,7,8,9,10,11,12,13,14,15,16,17,18,19,20},FALSE)</f>
        <v>0.309</v>
      </c>
      <c r="BR327">
        <v>1.37</v>
      </c>
      <c r="BS327">
        <v>0.252</v>
      </c>
      <c r="BT327">
        <v>0.433</v>
      </c>
      <c r="BU327">
        <v>0.316</v>
      </c>
      <c r="BV327">
        <v>0.09</v>
      </c>
      <c r="BW327">
        <v>0.22500000000000001</v>
      </c>
      <c r="BX327">
        <v>44</v>
      </c>
      <c r="BY327">
        <v>4.2300000000000004</v>
      </c>
      <c r="BZ327">
        <v>602</v>
      </c>
      <c r="CA327">
        <v>1017</v>
      </c>
      <c r="CB327">
        <v>1619</v>
      </c>
      <c r="CC327">
        <v>0.38800000000000001</v>
      </c>
      <c r="CD327">
        <v>0.32900000000000001</v>
      </c>
      <c r="CE327">
        <v>0.28399999999999997</v>
      </c>
      <c r="CF327">
        <v>0.187</v>
      </c>
      <c r="CG327">
        <v>0.41499999999999998</v>
      </c>
      <c r="CH327">
        <v>0.39800000000000002</v>
      </c>
      <c r="CI327" cm="1">
        <f t="array" ref="CI327:CS327">VLOOKUP(A327,verticalmove_pitchers_2019!A:N,{3,4,5,6,7,8,9,10,11,12,13},FALSE)</f>
        <v>93.2</v>
      </c>
      <c r="CJ327">
        <v>9.6999999999999993</v>
      </c>
      <c r="CK327">
        <v>3.6</v>
      </c>
      <c r="CL327">
        <v>0</v>
      </c>
      <c r="CM327">
        <v>8.1</v>
      </c>
      <c r="CN327">
        <v>4.9000000000000004</v>
      </c>
      <c r="CO327">
        <v>-0.2</v>
      </c>
      <c r="CP327">
        <v>-10.1</v>
      </c>
      <c r="CQ327">
        <v>0</v>
      </c>
      <c r="CR327">
        <v>0</v>
      </c>
      <c r="CS327">
        <v>0</v>
      </c>
      <c r="CT327" cm="1">
        <f t="array" ref="CT327:DD327">VLOOKUP(A327,velocity_pitchers_2019!A:N,{3,4,5,6,7,8,9,10,11,12,13},FALSE)</f>
        <v>93.2</v>
      </c>
      <c r="CU327">
        <v>94.9</v>
      </c>
      <c r="CV327">
        <v>88.9</v>
      </c>
      <c r="CW327">
        <v>0</v>
      </c>
      <c r="CX327">
        <v>93.7</v>
      </c>
      <c r="CY327">
        <v>88.2</v>
      </c>
      <c r="CZ327">
        <v>85.9</v>
      </c>
      <c r="DA327">
        <v>80.8</v>
      </c>
      <c r="DB327">
        <v>0</v>
      </c>
      <c r="DC327">
        <v>0</v>
      </c>
      <c r="DD327">
        <v>0</v>
      </c>
    </row>
    <row r="328" spans="1:108" x14ac:dyDescent="0.3">
      <c r="A328" t="s">
        <v>360</v>
      </c>
      <c r="B328" t="str" cm="1">
        <f t="array" ref="B328:Y328">VLOOKUP(A328,standard_pitchers_2019!A:Y,{2,3,4,5,6,7,8,9,10,11,12,13,14,15,16,17,18,19,20,21,22,23,24,25},FALSE)</f>
        <v>White Sox</v>
      </c>
      <c r="C328">
        <v>4</v>
      </c>
      <c r="D328">
        <v>7</v>
      </c>
      <c r="E328">
        <v>5.79</v>
      </c>
      <c r="F328">
        <v>14</v>
      </c>
      <c r="G328">
        <v>14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73</v>
      </c>
      <c r="N328">
        <v>326</v>
      </c>
      <c r="O328">
        <v>78</v>
      </c>
      <c r="P328">
        <v>51</v>
      </c>
      <c r="Q328">
        <v>47</v>
      </c>
      <c r="R328">
        <v>15</v>
      </c>
      <c r="S328">
        <v>35</v>
      </c>
      <c r="T328">
        <v>1</v>
      </c>
      <c r="U328">
        <v>2</v>
      </c>
      <c r="V328">
        <v>4</v>
      </c>
      <c r="W328">
        <v>0</v>
      </c>
      <c r="X328">
        <v>81</v>
      </c>
      <c r="Y328">
        <v>18525</v>
      </c>
      <c r="Z328" cm="1">
        <f t="array" ref="Z328:AR328">VLOOKUP(A328,advanced_pitchers_2019!A:Y,{3,4,5,6,7,8,9,10,11,12,13,14,15,16,17,18,19,20,21},FALSE)</f>
        <v>9.99</v>
      </c>
      <c r="AA328">
        <v>4.32</v>
      </c>
      <c r="AB328">
        <v>2.31</v>
      </c>
      <c r="AC328">
        <v>1.85</v>
      </c>
      <c r="AD328">
        <v>0.248</v>
      </c>
      <c r="AE328">
        <v>0.107</v>
      </c>
      <c r="AF328">
        <v>0.14099999999999999</v>
      </c>
      <c r="AG328">
        <v>0.27</v>
      </c>
      <c r="AH328">
        <v>1.55</v>
      </c>
      <c r="AI328">
        <v>0.32600000000000001</v>
      </c>
      <c r="AJ328">
        <v>0.68100000000000005</v>
      </c>
      <c r="AK328">
        <v>128</v>
      </c>
      <c r="AL328">
        <v>112</v>
      </c>
      <c r="AM328">
        <v>97</v>
      </c>
      <c r="AN328">
        <v>5.79</v>
      </c>
      <c r="AO328">
        <v>5.19</v>
      </c>
      <c r="AP328">
        <v>0.61</v>
      </c>
      <c r="AQ328">
        <v>4.42</v>
      </c>
      <c r="AR328">
        <v>4.5999999999999996</v>
      </c>
      <c r="AS328" cm="1">
        <f t="array" ref="AS328:BA328">VLOOKUP(A328,plate_discipline_pitchers_2019!A:L,{3,4,5,6,7,8,9,10,11},FALSE)</f>
        <v>0.3</v>
      </c>
      <c r="AT328">
        <v>0.66500000000000004</v>
      </c>
      <c r="AU328">
        <v>0.44400000000000001</v>
      </c>
      <c r="AV328">
        <v>0.629</v>
      </c>
      <c r="AW328">
        <v>0.83499999999999996</v>
      </c>
      <c r="AX328">
        <v>0.75</v>
      </c>
      <c r="AY328">
        <v>0.39400000000000002</v>
      </c>
      <c r="AZ328">
        <v>0.59199999999999997</v>
      </c>
      <c r="BA328">
        <v>0.111</v>
      </c>
      <c r="BB328" cm="1">
        <f t="array" ref="BB328:BP328">VLOOKUP(A328,pitchvalue_pitchers_2019!A:Q,{3,4,5,6,7,8,9,10,11,12,13,14,15,16,17},FALSE)</f>
        <v>-15</v>
      </c>
      <c r="BC328">
        <v>3.2</v>
      </c>
      <c r="BD328">
        <v>0</v>
      </c>
      <c r="BE328">
        <v>0.1</v>
      </c>
      <c r="BF328">
        <v>3.5</v>
      </c>
      <c r="BG328">
        <v>0</v>
      </c>
      <c r="BH328">
        <v>0</v>
      </c>
      <c r="BI328">
        <v>-2.13</v>
      </c>
      <c r="BJ328">
        <v>1.1200000000000001</v>
      </c>
      <c r="BK328">
        <v>0</v>
      </c>
      <c r="BL328">
        <v>0.03</v>
      </c>
      <c r="BM328">
        <v>2.86</v>
      </c>
      <c r="BN328">
        <v>0</v>
      </c>
      <c r="BO328">
        <v>0</v>
      </c>
      <c r="BP328">
        <v>18525</v>
      </c>
      <c r="BQ328" cm="1">
        <f t="array" ref="BQ328:CH328">VLOOKUP(A328,battedball_pitchers_2019!A:U,{3,4,5,6,7,8,9,10,11,12,13,14,15,16,17,18,19,20},FALSE)</f>
        <v>0.32600000000000001</v>
      </c>
      <c r="BR328">
        <v>1.36</v>
      </c>
      <c r="BS328">
        <v>0.20699999999999999</v>
      </c>
      <c r="BT328">
        <v>0.45700000000000002</v>
      </c>
      <c r="BU328">
        <v>0.33700000000000002</v>
      </c>
      <c r="BV328">
        <v>0.14299999999999999</v>
      </c>
      <c r="BW328">
        <v>0.214</v>
      </c>
      <c r="BX328">
        <v>35</v>
      </c>
      <c r="BY328">
        <v>4.32</v>
      </c>
      <c r="BZ328">
        <v>543</v>
      </c>
      <c r="CA328">
        <v>821</v>
      </c>
      <c r="CB328">
        <v>1364</v>
      </c>
      <c r="CC328">
        <v>0.38500000000000001</v>
      </c>
      <c r="CD328">
        <v>0.36099999999999999</v>
      </c>
      <c r="CE328">
        <v>0.255</v>
      </c>
      <c r="CF328">
        <v>0.17799999999999999</v>
      </c>
      <c r="CG328">
        <v>0.51900000000000002</v>
      </c>
      <c r="CH328">
        <v>0.30299999999999999</v>
      </c>
      <c r="CI328" cm="1">
        <f t="array" ref="CI328:CS328">VLOOKUP(A328,verticalmove_pitchers_2019!A:N,{3,4,5,6,7,8,9,10,11,12,13},FALSE)</f>
        <v>73</v>
      </c>
      <c r="CJ328">
        <v>7.8</v>
      </c>
      <c r="CK328">
        <v>0</v>
      </c>
      <c r="CL328">
        <v>0</v>
      </c>
      <c r="CM328">
        <v>0</v>
      </c>
      <c r="CN328">
        <v>6.9</v>
      </c>
      <c r="CO328">
        <v>-3.1</v>
      </c>
      <c r="CP328">
        <v>-11.1</v>
      </c>
      <c r="CQ328">
        <v>0</v>
      </c>
      <c r="CR328">
        <v>0</v>
      </c>
      <c r="CS328">
        <v>0</v>
      </c>
      <c r="CT328" cm="1">
        <f t="array" ref="CT328:DD328">VLOOKUP(A328,velocity_pitchers_2019!A:N,{3,4,5,6,7,8,9,10,11,12,13},FALSE)</f>
        <v>73</v>
      </c>
      <c r="CU328">
        <v>96.6</v>
      </c>
      <c r="CV328">
        <v>0</v>
      </c>
      <c r="CW328">
        <v>0</v>
      </c>
      <c r="CX328">
        <v>0</v>
      </c>
      <c r="CY328">
        <v>83.3</v>
      </c>
      <c r="CZ328">
        <v>84.7</v>
      </c>
      <c r="DA328">
        <v>79.599999999999994</v>
      </c>
      <c r="DB328">
        <v>0</v>
      </c>
      <c r="DC328">
        <v>0</v>
      </c>
      <c r="DD328">
        <v>0</v>
      </c>
    </row>
    <row r="329" spans="1:108" x14ac:dyDescent="0.3">
      <c r="A329" t="s">
        <v>396</v>
      </c>
      <c r="B329" t="str" cm="1">
        <f t="array" ref="B329:Y329">VLOOKUP(A329,standard_pitchers_2019!A:Y,{2,3,4,5,6,7,8,9,10,11,12,13,14,15,16,17,18,19,20,21,22,23,24,25},FALSE)</f>
        <v>- - -</v>
      </c>
      <c r="C329">
        <v>3</v>
      </c>
      <c r="D329">
        <v>10</v>
      </c>
      <c r="E329">
        <v>9.58</v>
      </c>
      <c r="F329">
        <v>18</v>
      </c>
      <c r="G329">
        <v>13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67.2</v>
      </c>
      <c r="N329">
        <v>336</v>
      </c>
      <c r="O329">
        <v>105</v>
      </c>
      <c r="P329">
        <v>81</v>
      </c>
      <c r="Q329">
        <v>72</v>
      </c>
      <c r="R329">
        <v>23</v>
      </c>
      <c r="S329">
        <v>32</v>
      </c>
      <c r="T329">
        <v>0</v>
      </c>
      <c r="U329">
        <v>3</v>
      </c>
      <c r="V329">
        <v>6</v>
      </c>
      <c r="W329">
        <v>0</v>
      </c>
      <c r="X329">
        <v>52</v>
      </c>
      <c r="Y329">
        <v>1841</v>
      </c>
      <c r="Z329" cm="1">
        <f t="array" ref="Z329:AR329">VLOOKUP(A329,advanced_pitchers_2019!A:Y,{3,4,5,6,7,8,9,10,11,12,13,14,15,16,17,18,19,20,21},FALSE)</f>
        <v>6.92</v>
      </c>
      <c r="AA329">
        <v>4.26</v>
      </c>
      <c r="AB329">
        <v>1.63</v>
      </c>
      <c r="AC329">
        <v>3.06</v>
      </c>
      <c r="AD329">
        <v>0.155</v>
      </c>
      <c r="AE329">
        <v>9.5000000000000001E-2</v>
      </c>
      <c r="AF329">
        <v>0.06</v>
      </c>
      <c r="AG329">
        <v>0.34899999999999998</v>
      </c>
      <c r="AH329">
        <v>2.02</v>
      </c>
      <c r="AI329">
        <v>0.36299999999999999</v>
      </c>
      <c r="AJ329">
        <v>0.54700000000000004</v>
      </c>
      <c r="AK329">
        <v>207</v>
      </c>
      <c r="AL329">
        <v>164</v>
      </c>
      <c r="AM329">
        <v>129</v>
      </c>
      <c r="AN329">
        <v>9.58</v>
      </c>
      <c r="AO329">
        <v>7.65</v>
      </c>
      <c r="AP329">
        <v>1.93</v>
      </c>
      <c r="AQ329">
        <v>5.9</v>
      </c>
      <c r="AR329">
        <v>5.54</v>
      </c>
      <c r="AS329" cm="1">
        <f t="array" ref="AS329:BA329">VLOOKUP(A329,plate_discipline_pitchers_2019!A:L,{3,4,5,6,7,8,9,10,11},FALSE)</f>
        <v>0.27300000000000002</v>
      </c>
      <c r="AT329">
        <v>0.71799999999999997</v>
      </c>
      <c r="AU329">
        <v>0.45900000000000002</v>
      </c>
      <c r="AV329">
        <v>0.60299999999999998</v>
      </c>
      <c r="AW329">
        <v>0.88100000000000001</v>
      </c>
      <c r="AX329">
        <v>0.78400000000000003</v>
      </c>
      <c r="AY329">
        <v>0.41699999999999998</v>
      </c>
      <c r="AZ329">
        <v>0.55400000000000005</v>
      </c>
      <c r="BA329">
        <v>9.9000000000000005E-2</v>
      </c>
      <c r="BB329" cm="1">
        <f t="array" ref="BB329:BP329">VLOOKUP(A329,pitchvalue_pitchers_2019!A:Q,{3,4,5,6,7,8,9,10,11,12,13,14,15,16,17},FALSE)</f>
        <v>-15.7</v>
      </c>
      <c r="BC329">
        <v>-5.3</v>
      </c>
      <c r="BD329">
        <v>-12.8</v>
      </c>
      <c r="BE329">
        <v>-1</v>
      </c>
      <c r="BF329">
        <v>-2.2999999999999998</v>
      </c>
      <c r="BG329">
        <v>0</v>
      </c>
      <c r="BH329">
        <v>0</v>
      </c>
      <c r="BI329">
        <v>-2.7</v>
      </c>
      <c r="BJ329">
        <v>-1.58</v>
      </c>
      <c r="BK329">
        <v>-4.8899999999999997</v>
      </c>
      <c r="BL329">
        <v>-2.34</v>
      </c>
      <c r="BM329">
        <v>-2.41</v>
      </c>
      <c r="BN329">
        <v>0</v>
      </c>
      <c r="BO329">
        <v>0</v>
      </c>
      <c r="BP329">
        <v>1841</v>
      </c>
      <c r="BQ329" cm="1">
        <f t="array" ref="BQ329:CH329">VLOOKUP(A329,battedball_pitchers_2019!A:U,{3,4,5,6,7,8,9,10,11,12,13,14,15,16,17,18,19,20},FALSE)</f>
        <v>0.36299999999999999</v>
      </c>
      <c r="BR329">
        <v>1.1399999999999999</v>
      </c>
      <c r="BS329">
        <v>0.20399999999999999</v>
      </c>
      <c r="BT329">
        <v>0.42399999999999999</v>
      </c>
      <c r="BU329">
        <v>0.371</v>
      </c>
      <c r="BV329">
        <v>7.6999999999999999E-2</v>
      </c>
      <c r="BW329">
        <v>0.253</v>
      </c>
      <c r="BX329">
        <v>46</v>
      </c>
      <c r="BY329">
        <v>6.12</v>
      </c>
      <c r="BZ329">
        <v>521</v>
      </c>
      <c r="CA329">
        <v>794</v>
      </c>
      <c r="CB329">
        <v>1315</v>
      </c>
      <c r="CC329">
        <v>0.45800000000000002</v>
      </c>
      <c r="CD329">
        <v>0.36899999999999999</v>
      </c>
      <c r="CE329">
        <v>0.17299999999999999</v>
      </c>
      <c r="CF329">
        <v>0.13300000000000001</v>
      </c>
      <c r="CG329">
        <v>0.39800000000000002</v>
      </c>
      <c r="CH329">
        <v>0.47</v>
      </c>
      <c r="CI329" cm="1">
        <f t="array" ref="CI329:CS329">VLOOKUP(A329,verticalmove_pitchers_2019!A:N,{3,4,5,6,7,8,9,10,11,12,13},FALSE)</f>
        <v>67.2</v>
      </c>
      <c r="CJ329">
        <v>7.3</v>
      </c>
      <c r="CK329">
        <v>4.5999999999999996</v>
      </c>
      <c r="CL329">
        <v>0</v>
      </c>
      <c r="CM329">
        <v>6.2</v>
      </c>
      <c r="CN329">
        <v>6.5</v>
      </c>
      <c r="CO329">
        <v>0.1</v>
      </c>
      <c r="CP329">
        <v>-5</v>
      </c>
      <c r="CQ329">
        <v>0</v>
      </c>
      <c r="CR329">
        <v>0</v>
      </c>
      <c r="CS329">
        <v>0</v>
      </c>
      <c r="CT329" cm="1">
        <f t="array" ref="CT329:DD329">VLOOKUP(A329,velocity_pitchers_2019!A:N,{3,4,5,6,7,8,9,10,11,12,13},FALSE)</f>
        <v>67.2</v>
      </c>
      <c r="CU329">
        <v>93.4</v>
      </c>
      <c r="CV329">
        <v>91.8</v>
      </c>
      <c r="CW329">
        <v>0</v>
      </c>
      <c r="CX329">
        <v>93.5</v>
      </c>
      <c r="CY329">
        <v>86.9</v>
      </c>
      <c r="CZ329">
        <v>85.9</v>
      </c>
      <c r="DA329">
        <v>78.400000000000006</v>
      </c>
      <c r="DB329">
        <v>0</v>
      </c>
      <c r="DC329">
        <v>0</v>
      </c>
      <c r="DD329">
        <v>0</v>
      </c>
    </row>
    <row r="330" spans="1:108" x14ac:dyDescent="0.3">
      <c r="A330" t="s">
        <v>378</v>
      </c>
      <c r="B330" t="str" cm="1">
        <f t="array" ref="B330:Y330">VLOOKUP(A330,standard_pitchers_2019!A:Y,{2,3,4,5,6,7,8,9,10,11,12,13,14,15,16,17,18,19,20,21,22,23,24,25},FALSE)</f>
        <v>Mariners</v>
      </c>
      <c r="C330">
        <v>1</v>
      </c>
      <c r="D330">
        <v>8</v>
      </c>
      <c r="E330">
        <v>6.4</v>
      </c>
      <c r="F330">
        <v>15</v>
      </c>
      <c r="G330">
        <v>15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71.2</v>
      </c>
      <c r="N330">
        <v>325</v>
      </c>
      <c r="O330">
        <v>85</v>
      </c>
      <c r="P330">
        <v>58</v>
      </c>
      <c r="Q330">
        <v>51</v>
      </c>
      <c r="R330">
        <v>17</v>
      </c>
      <c r="S330">
        <v>25</v>
      </c>
      <c r="T330">
        <v>0</v>
      </c>
      <c r="U330">
        <v>6</v>
      </c>
      <c r="V330">
        <v>5</v>
      </c>
      <c r="W330">
        <v>0</v>
      </c>
      <c r="X330">
        <v>57</v>
      </c>
      <c r="Y330">
        <v>4772</v>
      </c>
      <c r="Z330" cm="1">
        <f t="array" ref="Z330:AR330">VLOOKUP(A330,advanced_pitchers_2019!A:Y,{3,4,5,6,7,8,9,10,11,12,13,14,15,16,17,18,19,20,21},FALSE)</f>
        <v>7.16</v>
      </c>
      <c r="AA330">
        <v>3.14</v>
      </c>
      <c r="AB330">
        <v>2.2799999999999998</v>
      </c>
      <c r="AC330">
        <v>2.13</v>
      </c>
      <c r="AD330">
        <v>0.17499999999999999</v>
      </c>
      <c r="AE330">
        <v>7.6999999999999999E-2</v>
      </c>
      <c r="AF330">
        <v>9.8000000000000004E-2</v>
      </c>
      <c r="AG330">
        <v>0.28899999999999998</v>
      </c>
      <c r="AH330">
        <v>1.53</v>
      </c>
      <c r="AI330">
        <v>0.309</v>
      </c>
      <c r="AJ330">
        <v>0.629</v>
      </c>
      <c r="AK330">
        <v>144</v>
      </c>
      <c r="AL330">
        <v>133</v>
      </c>
      <c r="AM330">
        <v>113</v>
      </c>
      <c r="AN330">
        <v>6.4</v>
      </c>
      <c r="AO330">
        <v>6</v>
      </c>
      <c r="AP330">
        <v>0.4</v>
      </c>
      <c r="AQ330">
        <v>5.17</v>
      </c>
      <c r="AR330">
        <v>5.0199999999999996</v>
      </c>
      <c r="AS330" cm="1">
        <f t="array" ref="AS330:BA330">VLOOKUP(A330,plate_discipline_pitchers_2019!A:L,{3,4,5,6,7,8,9,10,11},FALSE)</f>
        <v>0.29199999999999998</v>
      </c>
      <c r="AT330">
        <v>0.622</v>
      </c>
      <c r="AU330">
        <v>0.43099999999999999</v>
      </c>
      <c r="AV330">
        <v>0.64900000000000002</v>
      </c>
      <c r="AW330">
        <v>0.89700000000000002</v>
      </c>
      <c r="AX330">
        <v>0.8</v>
      </c>
      <c r="AY330">
        <v>0.42199999999999999</v>
      </c>
      <c r="AZ330">
        <v>0.66800000000000004</v>
      </c>
      <c r="BA330">
        <v>8.5999999999999993E-2</v>
      </c>
      <c r="BB330" cm="1">
        <f t="array" ref="BB330:BP330">VLOOKUP(A330,pitchvalue_pitchers_2019!A:Q,{3,4,5,6,7,8,9,10,11,12,13,14,15,16,17},FALSE)</f>
        <v>-15.9</v>
      </c>
      <c r="BC330">
        <v>2.4</v>
      </c>
      <c r="BD330">
        <v>0</v>
      </c>
      <c r="BE330">
        <v>4.7</v>
      </c>
      <c r="BF330">
        <v>-5.4</v>
      </c>
      <c r="BG330">
        <v>0</v>
      </c>
      <c r="BH330">
        <v>0</v>
      </c>
      <c r="BI330">
        <v>-3.31</v>
      </c>
      <c r="BJ330">
        <v>2.17</v>
      </c>
      <c r="BK330">
        <v>0</v>
      </c>
      <c r="BL330">
        <v>1.0900000000000001</v>
      </c>
      <c r="BM330">
        <v>-2.74</v>
      </c>
      <c r="BN330">
        <v>0</v>
      </c>
      <c r="BO330">
        <v>0</v>
      </c>
      <c r="BP330">
        <v>4772</v>
      </c>
      <c r="BQ330" cm="1">
        <f t="array" ref="BQ330:CH330">VLOOKUP(A330,battedball_pitchers_2019!A:U,{3,4,5,6,7,8,9,10,11,12,13,14,15,16,17,18,19,20},FALSE)</f>
        <v>0.309</v>
      </c>
      <c r="BR330">
        <v>1.4</v>
      </c>
      <c r="BS330">
        <v>0.17399999999999999</v>
      </c>
      <c r="BT330">
        <v>0.48099999999999998</v>
      </c>
      <c r="BU330">
        <v>0.34499999999999997</v>
      </c>
      <c r="BV330">
        <v>8.5999999999999993E-2</v>
      </c>
      <c r="BW330">
        <v>0.21</v>
      </c>
      <c r="BX330">
        <v>41</v>
      </c>
      <c r="BY330">
        <v>5.15</v>
      </c>
      <c r="BZ330">
        <v>449</v>
      </c>
      <c r="CA330">
        <v>767</v>
      </c>
      <c r="CB330">
        <v>1216</v>
      </c>
      <c r="CC330">
        <v>0.51900000000000002</v>
      </c>
      <c r="CD330">
        <v>0.35</v>
      </c>
      <c r="CE330">
        <v>0.13100000000000001</v>
      </c>
      <c r="CF330">
        <v>0.13900000000000001</v>
      </c>
      <c r="CG330">
        <v>0.45600000000000002</v>
      </c>
      <c r="CH330">
        <v>0.40500000000000003</v>
      </c>
      <c r="CI330" cm="1">
        <f t="array" ref="CI330:CS330">VLOOKUP(A330,verticalmove_pitchers_2019!A:N,{3,4,5,6,7,8,9,10,11,12,13},FALSE)</f>
        <v>71.2</v>
      </c>
      <c r="CJ330">
        <v>7.2</v>
      </c>
      <c r="CK330">
        <v>4.3</v>
      </c>
      <c r="CL330">
        <v>0</v>
      </c>
      <c r="CM330">
        <v>4.3</v>
      </c>
      <c r="CN330">
        <v>0</v>
      </c>
      <c r="CO330">
        <v>0.3</v>
      </c>
      <c r="CP330">
        <v>-5.8</v>
      </c>
      <c r="CQ330">
        <v>0</v>
      </c>
      <c r="CR330">
        <v>0</v>
      </c>
      <c r="CS330">
        <v>0</v>
      </c>
      <c r="CT330" cm="1">
        <f t="array" ref="CT330:DD330">VLOOKUP(A330,velocity_pitchers_2019!A:N,{3,4,5,6,7,8,9,10,11,12,13},FALSE)</f>
        <v>71.2</v>
      </c>
      <c r="CU330">
        <v>90.4</v>
      </c>
      <c r="CV330">
        <v>88.6</v>
      </c>
      <c r="CW330">
        <v>0</v>
      </c>
      <c r="CX330">
        <v>89.9</v>
      </c>
      <c r="CY330">
        <v>85.1</v>
      </c>
      <c r="CZ330">
        <v>84.1</v>
      </c>
      <c r="DA330">
        <v>79.7</v>
      </c>
      <c r="DB330">
        <v>0</v>
      </c>
      <c r="DC330">
        <v>0</v>
      </c>
      <c r="DD330">
        <v>0</v>
      </c>
    </row>
    <row r="331" spans="1:108" x14ac:dyDescent="0.3">
      <c r="A331" t="s">
        <v>381</v>
      </c>
      <c r="B331" t="str" cm="1">
        <f t="array" ref="B331:Y331">VLOOKUP(A331,standard_pitchers_2019!A:Y,{2,3,4,5,6,7,8,9,10,11,12,13,14,15,16,17,18,19,20,21,22,23,24,25},FALSE)</f>
        <v>Rockies</v>
      </c>
      <c r="C331">
        <v>2</v>
      </c>
      <c r="D331">
        <v>6</v>
      </c>
      <c r="E331">
        <v>6.56</v>
      </c>
      <c r="F331">
        <v>15</v>
      </c>
      <c r="G331">
        <v>15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70</v>
      </c>
      <c r="N331">
        <v>315</v>
      </c>
      <c r="O331">
        <v>77</v>
      </c>
      <c r="P331">
        <v>51</v>
      </c>
      <c r="Q331">
        <v>51</v>
      </c>
      <c r="R331">
        <v>21</v>
      </c>
      <c r="S331">
        <v>34</v>
      </c>
      <c r="T331">
        <v>3</v>
      </c>
      <c r="U331">
        <v>4</v>
      </c>
      <c r="V331">
        <v>2</v>
      </c>
      <c r="W331">
        <v>0</v>
      </c>
      <c r="X331">
        <v>68</v>
      </c>
      <c r="Y331">
        <v>17432</v>
      </c>
      <c r="Z331" cm="1">
        <f t="array" ref="Z331:AR331">VLOOKUP(A331,advanced_pitchers_2019!A:Y,{3,4,5,6,7,8,9,10,11,12,13,14,15,16,17,18,19,20,21},FALSE)</f>
        <v>8.74</v>
      </c>
      <c r="AA331">
        <v>4.37</v>
      </c>
      <c r="AB331">
        <v>2</v>
      </c>
      <c r="AC331">
        <v>2.7</v>
      </c>
      <c r="AD331">
        <v>0.216</v>
      </c>
      <c r="AE331">
        <v>0.108</v>
      </c>
      <c r="AF331">
        <v>0.108</v>
      </c>
      <c r="AG331">
        <v>0.27800000000000002</v>
      </c>
      <c r="AH331">
        <v>1.59</v>
      </c>
      <c r="AI331">
        <v>0.29799999999999999</v>
      </c>
      <c r="AJ331">
        <v>0.748</v>
      </c>
      <c r="AK331">
        <v>130</v>
      </c>
      <c r="AL331">
        <v>145</v>
      </c>
      <c r="AM331">
        <v>123</v>
      </c>
      <c r="AN331">
        <v>6.56</v>
      </c>
      <c r="AO331">
        <v>6.8</v>
      </c>
      <c r="AP331">
        <v>-0.24</v>
      </c>
      <c r="AQ331">
        <v>5.43</v>
      </c>
      <c r="AR331">
        <v>5.1100000000000003</v>
      </c>
      <c r="AS331" cm="1">
        <f t="array" ref="AS331:BA331">VLOOKUP(A331,plate_discipline_pitchers_2019!A:L,{3,4,5,6,7,8,9,10,11},FALSE)</f>
        <v>0.29499999999999998</v>
      </c>
      <c r="AT331">
        <v>0.68300000000000005</v>
      </c>
      <c r="AU331">
        <v>0.46200000000000002</v>
      </c>
      <c r="AV331">
        <v>0.66400000000000003</v>
      </c>
      <c r="AW331">
        <v>0.875</v>
      </c>
      <c r="AX331">
        <v>0.79800000000000004</v>
      </c>
      <c r="AY331">
        <v>0.43</v>
      </c>
      <c r="AZ331">
        <v>0.55900000000000005</v>
      </c>
      <c r="BA331">
        <v>9.2999999999999999E-2</v>
      </c>
      <c r="BB331" cm="1">
        <f t="array" ref="BB331:BP331">VLOOKUP(A331,pitchvalue_pitchers_2019!A:Q,{3,4,5,6,7,8,9,10,11,12,13,14,15,16,17},FALSE)</f>
        <v>-16.600000000000001</v>
      </c>
      <c r="BC331">
        <v>0.2</v>
      </c>
      <c r="BD331">
        <v>0</v>
      </c>
      <c r="BE331">
        <v>3.3</v>
      </c>
      <c r="BF331">
        <v>-3.6</v>
      </c>
      <c r="BG331">
        <v>0</v>
      </c>
      <c r="BH331">
        <v>0</v>
      </c>
      <c r="BI331">
        <v>-2.2400000000000002</v>
      </c>
      <c r="BJ331">
        <v>1.34</v>
      </c>
      <c r="BK331">
        <v>0</v>
      </c>
      <c r="BL331">
        <v>0.91</v>
      </c>
      <c r="BM331">
        <v>-2.4900000000000002</v>
      </c>
      <c r="BN331">
        <v>0</v>
      </c>
      <c r="BO331">
        <v>0</v>
      </c>
      <c r="BP331">
        <v>17432</v>
      </c>
      <c r="BQ331" cm="1">
        <f t="array" ref="BQ331:CH331">VLOOKUP(A331,battedball_pitchers_2019!A:U,{3,4,5,6,7,8,9,10,11,12,13,14,15,16,17,18,19,20},FALSE)</f>
        <v>0.29799999999999999</v>
      </c>
      <c r="BR331">
        <v>0.81</v>
      </c>
      <c r="BS331">
        <v>0.215</v>
      </c>
      <c r="BT331">
        <v>0.35099999999999998</v>
      </c>
      <c r="BU331">
        <v>0.434</v>
      </c>
      <c r="BV331">
        <v>6.7000000000000004E-2</v>
      </c>
      <c r="BW331">
        <v>0.23599999999999999</v>
      </c>
      <c r="BX331">
        <v>39</v>
      </c>
      <c r="BY331">
        <v>5.01</v>
      </c>
      <c r="BZ331">
        <v>464</v>
      </c>
      <c r="CA331">
        <v>792</v>
      </c>
      <c r="CB331">
        <v>1256</v>
      </c>
      <c r="CC331">
        <v>0.43099999999999999</v>
      </c>
      <c r="CD331">
        <v>0.30599999999999999</v>
      </c>
      <c r="CE331">
        <v>0.26300000000000001</v>
      </c>
      <c r="CF331">
        <v>0.16700000000000001</v>
      </c>
      <c r="CG331">
        <v>0.43099999999999999</v>
      </c>
      <c r="CH331">
        <v>0.40200000000000002</v>
      </c>
      <c r="CI331" cm="1">
        <f t="array" ref="CI331:CS331">VLOOKUP(A331,verticalmove_pitchers_2019!A:N,{3,4,5,6,7,8,9,10,11,12,13},FALSE)</f>
        <v>70</v>
      </c>
      <c r="CJ331">
        <v>7.9</v>
      </c>
      <c r="CK331">
        <v>0</v>
      </c>
      <c r="CL331">
        <v>0</v>
      </c>
      <c r="CM331">
        <v>0</v>
      </c>
      <c r="CN331">
        <v>2.2000000000000002</v>
      </c>
      <c r="CO331">
        <v>0.4</v>
      </c>
      <c r="CP331">
        <v>-7.8</v>
      </c>
      <c r="CQ331">
        <v>0</v>
      </c>
      <c r="CR331">
        <v>0</v>
      </c>
      <c r="CS331">
        <v>0</v>
      </c>
      <c r="CT331" cm="1">
        <f t="array" ref="CT331:DD331">VLOOKUP(A331,velocity_pitchers_2019!A:N,{3,4,5,6,7,8,9,10,11,12,13},FALSE)</f>
        <v>70</v>
      </c>
      <c r="CU331">
        <v>93.8</v>
      </c>
      <c r="CV331">
        <v>0</v>
      </c>
      <c r="CW331">
        <v>0</v>
      </c>
      <c r="CX331">
        <v>0</v>
      </c>
      <c r="CY331">
        <v>84.3</v>
      </c>
      <c r="CZ331">
        <v>83.6</v>
      </c>
      <c r="DA331">
        <v>77.2</v>
      </c>
      <c r="DB331">
        <v>0</v>
      </c>
      <c r="DC331">
        <v>0</v>
      </c>
      <c r="DD331">
        <v>0</v>
      </c>
    </row>
    <row r="332" spans="1:108" x14ac:dyDescent="0.3">
      <c r="A332" t="s">
        <v>377</v>
      </c>
      <c r="B332" t="str" cm="1">
        <f t="array" ref="B332:Y332">VLOOKUP(A332,standard_pitchers_2019!A:Y,{2,3,4,5,6,7,8,9,10,11,12,13,14,15,16,17,18,19,20,21,22,23,24,25},FALSE)</f>
        <v>Royals</v>
      </c>
      <c r="C332">
        <v>4</v>
      </c>
      <c r="D332">
        <v>9</v>
      </c>
      <c r="E332">
        <v>6.33</v>
      </c>
      <c r="F332">
        <v>39</v>
      </c>
      <c r="G332">
        <v>18</v>
      </c>
      <c r="H332">
        <v>0</v>
      </c>
      <c r="I332">
        <v>0</v>
      </c>
      <c r="J332">
        <v>1</v>
      </c>
      <c r="K332">
        <v>0</v>
      </c>
      <c r="L332">
        <v>1</v>
      </c>
      <c r="M332">
        <v>123.2</v>
      </c>
      <c r="N332">
        <v>548</v>
      </c>
      <c r="O332">
        <v>140</v>
      </c>
      <c r="P332">
        <v>94</v>
      </c>
      <c r="Q332">
        <v>87</v>
      </c>
      <c r="R332">
        <v>27</v>
      </c>
      <c r="S332">
        <v>42</v>
      </c>
      <c r="T332">
        <v>0</v>
      </c>
      <c r="U332">
        <v>10</v>
      </c>
      <c r="V332">
        <v>6</v>
      </c>
      <c r="W332">
        <v>0</v>
      </c>
      <c r="X332">
        <v>109</v>
      </c>
      <c r="Y332">
        <v>14527</v>
      </c>
      <c r="Z332" cm="1">
        <f t="array" ref="Z332:AR332">VLOOKUP(A332,advanced_pitchers_2019!A:Y,{3,4,5,6,7,8,9,10,11,12,13,14,15,16,17,18,19,20,21},FALSE)</f>
        <v>7.93</v>
      </c>
      <c r="AA332">
        <v>3.06</v>
      </c>
      <c r="AB332">
        <v>2.6</v>
      </c>
      <c r="AC332">
        <v>1.96</v>
      </c>
      <c r="AD332">
        <v>0.19900000000000001</v>
      </c>
      <c r="AE332">
        <v>7.6999999999999999E-2</v>
      </c>
      <c r="AF332">
        <v>0.122</v>
      </c>
      <c r="AG332">
        <v>0.28199999999999997</v>
      </c>
      <c r="AH332">
        <v>1.47</v>
      </c>
      <c r="AI332">
        <v>0.314</v>
      </c>
      <c r="AJ332">
        <v>0.63600000000000001</v>
      </c>
      <c r="AK332">
        <v>135</v>
      </c>
      <c r="AL332">
        <v>123</v>
      </c>
      <c r="AM332">
        <v>105</v>
      </c>
      <c r="AN332">
        <v>6.33</v>
      </c>
      <c r="AO332">
        <v>5.55</v>
      </c>
      <c r="AP332">
        <v>0.78</v>
      </c>
      <c r="AQ332">
        <v>4.82</v>
      </c>
      <c r="AR332">
        <v>4.6500000000000004</v>
      </c>
      <c r="AS332" cm="1">
        <f t="array" ref="AS332:BA332">VLOOKUP(A332,plate_discipline_pitchers_2019!A:L,{3,4,5,6,7,8,9,10,11},FALSE)</f>
        <v>0.29599999999999999</v>
      </c>
      <c r="AT332">
        <v>0.65700000000000003</v>
      </c>
      <c r="AU332">
        <v>0.44500000000000001</v>
      </c>
      <c r="AV332">
        <v>0.65500000000000003</v>
      </c>
      <c r="AW332">
        <v>0.89500000000000002</v>
      </c>
      <c r="AX332">
        <v>0.80200000000000005</v>
      </c>
      <c r="AY332">
        <v>0.41399999999999998</v>
      </c>
      <c r="AZ332">
        <v>0.59099999999999997</v>
      </c>
      <c r="BA332">
        <v>8.7999999999999995E-2</v>
      </c>
      <c r="BB332" cm="1">
        <f t="array" ref="BB332:BP332">VLOOKUP(A332,pitchvalue_pitchers_2019!A:Q,{3,4,5,6,7,8,9,10,11,12,13,14,15,16,17},FALSE)</f>
        <v>-16.7</v>
      </c>
      <c r="BC332">
        <v>-0.8</v>
      </c>
      <c r="BD332">
        <v>0</v>
      </c>
      <c r="BE332">
        <v>2.5</v>
      </c>
      <c r="BF332">
        <v>-3.3</v>
      </c>
      <c r="BG332">
        <v>0</v>
      </c>
      <c r="BH332">
        <v>0</v>
      </c>
      <c r="BI332">
        <v>-1.49</v>
      </c>
      <c r="BJ332">
        <v>-0.57999999999999996</v>
      </c>
      <c r="BK332">
        <v>0</v>
      </c>
      <c r="BL332">
        <v>0.38</v>
      </c>
      <c r="BM332">
        <v>-2.1800000000000002</v>
      </c>
      <c r="BN332">
        <v>0</v>
      </c>
      <c r="BO332">
        <v>0</v>
      </c>
      <c r="BP332">
        <v>14527</v>
      </c>
      <c r="BQ332" cm="1">
        <f t="array" ref="BQ332:CH332">VLOOKUP(A332,battedball_pitchers_2019!A:U,{3,4,5,6,7,8,9,10,11,12,13,14,15,16,17,18,19,20},FALSE)</f>
        <v>0.314</v>
      </c>
      <c r="BR332">
        <v>1.37</v>
      </c>
      <c r="BS332">
        <v>0.19700000000000001</v>
      </c>
      <c r="BT332">
        <v>0.46400000000000002</v>
      </c>
      <c r="BU332">
        <v>0.33900000000000002</v>
      </c>
      <c r="BV332">
        <v>3.7999999999999999E-2</v>
      </c>
      <c r="BW332">
        <v>0.20599999999999999</v>
      </c>
      <c r="BX332">
        <v>71</v>
      </c>
      <c r="BY332">
        <v>5.17</v>
      </c>
      <c r="BZ332">
        <v>774</v>
      </c>
      <c r="CA332">
        <v>1286</v>
      </c>
      <c r="CB332">
        <v>2060</v>
      </c>
      <c r="CC332">
        <v>0.39300000000000002</v>
      </c>
      <c r="CD332">
        <v>0.35399999999999998</v>
      </c>
      <c r="CE332">
        <v>0.253</v>
      </c>
      <c r="CF332">
        <v>0.14000000000000001</v>
      </c>
      <c r="CG332">
        <v>0.46800000000000003</v>
      </c>
      <c r="CH332">
        <v>0.39300000000000002</v>
      </c>
      <c r="CI332" cm="1">
        <f t="array" ref="CI332:CS332">VLOOKUP(A332,verticalmove_pitchers_2019!A:N,{3,4,5,6,7,8,9,10,11,12,13},FALSE)</f>
        <v>123.2</v>
      </c>
      <c r="CJ332">
        <v>7.8</v>
      </c>
      <c r="CK332">
        <v>0</v>
      </c>
      <c r="CL332">
        <v>0</v>
      </c>
      <c r="CM332">
        <v>5</v>
      </c>
      <c r="CN332">
        <v>2.9</v>
      </c>
      <c r="CO332">
        <v>0.3</v>
      </c>
      <c r="CP332">
        <v>-6.8</v>
      </c>
      <c r="CQ332">
        <v>0</v>
      </c>
      <c r="CR332">
        <v>0</v>
      </c>
      <c r="CS332">
        <v>0</v>
      </c>
      <c r="CT332" cm="1">
        <f t="array" ref="CT332:DD332">VLOOKUP(A332,velocity_pitchers_2019!A:N,{3,4,5,6,7,8,9,10,11,12,13},FALSE)</f>
        <v>123.2</v>
      </c>
      <c r="CU332">
        <v>94.7</v>
      </c>
      <c r="CV332">
        <v>0</v>
      </c>
      <c r="CW332">
        <v>0</v>
      </c>
      <c r="CX332">
        <v>94.3</v>
      </c>
      <c r="CY332">
        <v>87.8</v>
      </c>
      <c r="CZ332">
        <v>87.4</v>
      </c>
      <c r="DA332">
        <v>82</v>
      </c>
      <c r="DB332">
        <v>0</v>
      </c>
      <c r="DC332">
        <v>0</v>
      </c>
      <c r="DD332">
        <v>0</v>
      </c>
    </row>
    <row r="333" spans="1:108" x14ac:dyDescent="0.3">
      <c r="A333" t="s">
        <v>317</v>
      </c>
      <c r="B333" t="str" cm="1">
        <f t="array" ref="B333:Y333">VLOOKUP(A333,standard_pitchers_2019!A:Y,{2,3,4,5,6,7,8,9,10,11,12,13,14,15,16,17,18,19,20,21,22,23,24,25},FALSE)</f>
        <v>Twins</v>
      </c>
      <c r="C333">
        <v>10</v>
      </c>
      <c r="D333">
        <v>7</v>
      </c>
      <c r="E333">
        <v>5.12</v>
      </c>
      <c r="F333">
        <v>32</v>
      </c>
      <c r="G333">
        <v>29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165.1</v>
      </c>
      <c r="N333">
        <v>737</v>
      </c>
      <c r="O333">
        <v>184</v>
      </c>
      <c r="P333">
        <v>104</v>
      </c>
      <c r="Q333">
        <v>94</v>
      </c>
      <c r="R333">
        <v>23</v>
      </c>
      <c r="S333">
        <v>67</v>
      </c>
      <c r="T333">
        <v>1</v>
      </c>
      <c r="U333">
        <v>3</v>
      </c>
      <c r="V333">
        <v>3</v>
      </c>
      <c r="W333">
        <v>1</v>
      </c>
      <c r="X333">
        <v>135</v>
      </c>
      <c r="Y333">
        <v>6902</v>
      </c>
      <c r="Z333" cm="1">
        <f t="array" ref="Z333:AR333">VLOOKUP(A333,advanced_pitchers_2019!A:Y,{3,4,5,6,7,8,9,10,11,12,13,14,15,16,17,18,19,20,21},FALSE)</f>
        <v>7.35</v>
      </c>
      <c r="AA333">
        <v>3.65</v>
      </c>
      <c r="AB333">
        <v>2.0099999999999998</v>
      </c>
      <c r="AC333">
        <v>1.25</v>
      </c>
      <c r="AD333">
        <v>0.183</v>
      </c>
      <c r="AE333">
        <v>9.0999999999999998E-2</v>
      </c>
      <c r="AF333">
        <v>9.1999999999999998E-2</v>
      </c>
      <c r="AG333">
        <v>0.27600000000000002</v>
      </c>
      <c r="AH333">
        <v>1.52</v>
      </c>
      <c r="AI333">
        <v>0.316</v>
      </c>
      <c r="AJ333">
        <v>0.67600000000000005</v>
      </c>
      <c r="AK333">
        <v>110</v>
      </c>
      <c r="AL333">
        <v>101</v>
      </c>
      <c r="AM333">
        <v>103</v>
      </c>
      <c r="AN333">
        <v>5.12</v>
      </c>
      <c r="AO333">
        <v>4.66</v>
      </c>
      <c r="AP333">
        <v>0.46</v>
      </c>
      <c r="AQ333">
        <v>4.6900000000000004</v>
      </c>
      <c r="AR333">
        <v>5.01</v>
      </c>
      <c r="AS333" cm="1">
        <f t="array" ref="AS333:BA333">VLOOKUP(A333,plate_discipline_pitchers_2019!A:L,{3,4,5,6,7,8,9,10,11},FALSE)</f>
        <v>0.35399999999999998</v>
      </c>
      <c r="AT333">
        <v>0.69</v>
      </c>
      <c r="AU333">
        <v>0.48499999999999999</v>
      </c>
      <c r="AV333">
        <v>0.69599999999999995</v>
      </c>
      <c r="AW333">
        <v>0.878</v>
      </c>
      <c r="AX333">
        <v>0.79700000000000004</v>
      </c>
      <c r="AY333">
        <v>0.39</v>
      </c>
      <c r="AZ333">
        <v>0.64300000000000002</v>
      </c>
      <c r="BA333">
        <v>9.8000000000000004E-2</v>
      </c>
      <c r="BB333" cm="1">
        <f t="array" ref="BB333:BP333">VLOOKUP(A333,pitchvalue_pitchers_2019!A:Q,{3,4,5,6,7,8,9,10,11,12,13,14,15,16,17},FALSE)</f>
        <v>-16.899999999999999</v>
      </c>
      <c r="BC333">
        <v>0</v>
      </c>
      <c r="BD333">
        <v>12.5</v>
      </c>
      <c r="BE333">
        <v>-1.6</v>
      </c>
      <c r="BF333">
        <v>-2.1</v>
      </c>
      <c r="BG333">
        <v>0</v>
      </c>
      <c r="BH333">
        <v>0</v>
      </c>
      <c r="BI333">
        <v>-1.44</v>
      </c>
      <c r="BJ333">
        <v>0</v>
      </c>
      <c r="BK333">
        <v>1.47</v>
      </c>
      <c r="BL333">
        <v>-1.18</v>
      </c>
      <c r="BM333">
        <v>-0.35</v>
      </c>
      <c r="BN333">
        <v>0</v>
      </c>
      <c r="BO333">
        <v>0</v>
      </c>
      <c r="BP333">
        <v>6902</v>
      </c>
      <c r="BQ333" cm="1">
        <f t="array" ref="BQ333:CH333">VLOOKUP(A333,battedball_pitchers_2019!A:U,{3,4,5,6,7,8,9,10,11,12,13,14,15,16,17,18,19,20},FALSE)</f>
        <v>0.316</v>
      </c>
      <c r="BR333">
        <v>1.64</v>
      </c>
      <c r="BS333">
        <v>0.22800000000000001</v>
      </c>
      <c r="BT333">
        <v>0.48</v>
      </c>
      <c r="BU333">
        <v>0.29299999999999998</v>
      </c>
      <c r="BV333">
        <v>0.105</v>
      </c>
      <c r="BW333">
        <v>0.15</v>
      </c>
      <c r="BX333">
        <v>141</v>
      </c>
      <c r="BY333">
        <v>7.68</v>
      </c>
      <c r="BZ333">
        <v>976</v>
      </c>
      <c r="CA333">
        <v>1796</v>
      </c>
      <c r="CB333">
        <v>2772</v>
      </c>
      <c r="CC333">
        <v>0.42099999999999999</v>
      </c>
      <c r="CD333">
        <v>0.32900000000000001</v>
      </c>
      <c r="CE333">
        <v>0.25</v>
      </c>
      <c r="CF333">
        <v>0.17299999999999999</v>
      </c>
      <c r="CG333">
        <v>0.47599999999999998</v>
      </c>
      <c r="CH333">
        <v>0.35199999999999998</v>
      </c>
      <c r="CI333" cm="1">
        <f t="array" ref="CI333:CS333">VLOOKUP(A333,verticalmove_pitchers_2019!A:N,{3,4,5,6,7,8,9,10,11,12,13},FALSE)</f>
        <v>165.1</v>
      </c>
      <c r="CJ333">
        <v>8.5</v>
      </c>
      <c r="CK333">
        <v>3.4</v>
      </c>
      <c r="CL333">
        <v>0</v>
      </c>
      <c r="CM333">
        <v>5.2</v>
      </c>
      <c r="CN333">
        <v>5.0999999999999996</v>
      </c>
      <c r="CO333">
        <v>0</v>
      </c>
      <c r="CP333">
        <v>-4.5</v>
      </c>
      <c r="CQ333">
        <v>0</v>
      </c>
      <c r="CR333">
        <v>0</v>
      </c>
      <c r="CS333">
        <v>0</v>
      </c>
      <c r="CT333" cm="1">
        <f t="array" ref="CT333:DD333">VLOOKUP(A333,velocity_pitchers_2019!A:N,{3,4,5,6,7,8,9,10,11,12,13},FALSE)</f>
        <v>165.1</v>
      </c>
      <c r="CU333">
        <v>94.4</v>
      </c>
      <c r="CV333">
        <v>88.8</v>
      </c>
      <c r="CW333">
        <v>0</v>
      </c>
      <c r="CX333">
        <v>94.1</v>
      </c>
      <c r="CY333">
        <v>85.6</v>
      </c>
      <c r="CZ333">
        <v>0</v>
      </c>
      <c r="DA333">
        <v>79.5</v>
      </c>
      <c r="DB333">
        <v>0</v>
      </c>
      <c r="DC333">
        <v>0</v>
      </c>
      <c r="DD333">
        <v>0</v>
      </c>
    </row>
    <row r="334" spans="1:108" x14ac:dyDescent="0.3">
      <c r="A334" t="s">
        <v>385</v>
      </c>
      <c r="B334" t="str" cm="1">
        <f t="array" ref="B334:Y334">VLOOKUP(A334,standard_pitchers_2019!A:Y,{2,3,4,5,6,7,8,9,10,11,12,13,14,15,16,17,18,19,20,21,22,23,24,25},FALSE)</f>
        <v>Rockies</v>
      </c>
      <c r="C334">
        <v>11</v>
      </c>
      <c r="D334">
        <v>11</v>
      </c>
      <c r="E334">
        <v>6.71</v>
      </c>
      <c r="F334">
        <v>25</v>
      </c>
      <c r="G334">
        <v>25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124.2</v>
      </c>
      <c r="N334">
        <v>582</v>
      </c>
      <c r="O334">
        <v>161</v>
      </c>
      <c r="P334">
        <v>99</v>
      </c>
      <c r="Q334">
        <v>93</v>
      </c>
      <c r="R334">
        <v>19</v>
      </c>
      <c r="S334">
        <v>57</v>
      </c>
      <c r="T334">
        <v>5</v>
      </c>
      <c r="U334">
        <v>4</v>
      </c>
      <c r="V334">
        <v>1</v>
      </c>
      <c r="W334">
        <v>3</v>
      </c>
      <c r="X334">
        <v>76</v>
      </c>
      <c r="Y334">
        <v>15488</v>
      </c>
      <c r="Z334" cm="1">
        <f t="array" ref="Z334:AR334">VLOOKUP(A334,advanced_pitchers_2019!A:Y,{3,4,5,6,7,8,9,10,11,12,13,14,15,16,17,18,19,20,21},FALSE)</f>
        <v>5.49</v>
      </c>
      <c r="AA334">
        <v>4.1100000000000003</v>
      </c>
      <c r="AB334">
        <v>1.33</v>
      </c>
      <c r="AC334">
        <v>1.37</v>
      </c>
      <c r="AD334">
        <v>0.13100000000000001</v>
      </c>
      <c r="AE334">
        <v>9.8000000000000004E-2</v>
      </c>
      <c r="AF334">
        <v>3.3000000000000002E-2</v>
      </c>
      <c r="AG334">
        <v>0.309</v>
      </c>
      <c r="AH334">
        <v>1.75</v>
      </c>
      <c r="AI334">
        <v>0.33300000000000002</v>
      </c>
      <c r="AJ334">
        <v>0.629</v>
      </c>
      <c r="AK334">
        <v>133</v>
      </c>
      <c r="AL334">
        <v>116</v>
      </c>
      <c r="AM334">
        <v>116</v>
      </c>
      <c r="AN334">
        <v>6.71</v>
      </c>
      <c r="AO334">
        <v>5.44</v>
      </c>
      <c r="AP334">
        <v>1.27</v>
      </c>
      <c r="AQ334">
        <v>5.12</v>
      </c>
      <c r="AR334">
        <v>5.5</v>
      </c>
      <c r="AS334" cm="1">
        <f t="array" ref="AS334:BA334">VLOOKUP(A334,plate_discipline_pitchers_2019!A:L,{3,4,5,6,7,8,9,10,11},FALSE)</f>
        <v>0.26</v>
      </c>
      <c r="AT334">
        <v>0.70399999999999996</v>
      </c>
      <c r="AU334">
        <v>0.44800000000000001</v>
      </c>
      <c r="AV334">
        <v>0.67600000000000005</v>
      </c>
      <c r="AW334">
        <v>0.91400000000000003</v>
      </c>
      <c r="AX334">
        <v>0.83399999999999996</v>
      </c>
      <c r="AY334">
        <v>0.42299999999999999</v>
      </c>
      <c r="AZ334">
        <v>0.56200000000000006</v>
      </c>
      <c r="BA334">
        <v>7.3999999999999996E-2</v>
      </c>
      <c r="BB334" cm="1">
        <f t="array" ref="BB334:BP334">VLOOKUP(A334,pitchvalue_pitchers_2019!A:Q,{3,4,5,6,7,8,9,10,11,12,13,14,15,16,17},FALSE)</f>
        <v>-17</v>
      </c>
      <c r="BC334">
        <v>-0.7</v>
      </c>
      <c r="BD334">
        <v>0</v>
      </c>
      <c r="BE334">
        <v>-2.2000000000000002</v>
      </c>
      <c r="BF334">
        <v>-0.9</v>
      </c>
      <c r="BG334">
        <v>-3.9</v>
      </c>
      <c r="BH334">
        <v>0</v>
      </c>
      <c r="BI334">
        <v>-1.21</v>
      </c>
      <c r="BJ334">
        <v>-0.15</v>
      </c>
      <c r="BK334">
        <v>0</v>
      </c>
      <c r="BL334">
        <v>-0.99</v>
      </c>
      <c r="BM334">
        <v>-0.99</v>
      </c>
      <c r="BN334">
        <v>-6.7</v>
      </c>
      <c r="BO334">
        <v>0</v>
      </c>
      <c r="BP334">
        <v>15488</v>
      </c>
      <c r="BQ334" cm="1">
        <f t="array" ref="BQ334:CH334">VLOOKUP(A334,battedball_pitchers_2019!A:U,{3,4,5,6,7,8,9,10,11,12,13,14,15,16,17,18,19,20},FALSE)</f>
        <v>0.33300000000000002</v>
      </c>
      <c r="BR334">
        <v>2.2599999999999998</v>
      </c>
      <c r="BS334">
        <v>0.224</v>
      </c>
      <c r="BT334">
        <v>0.53800000000000003</v>
      </c>
      <c r="BU334">
        <v>0.23799999999999999</v>
      </c>
      <c r="BV334">
        <v>3.7999999999999999E-2</v>
      </c>
      <c r="BW334">
        <v>0.183</v>
      </c>
      <c r="BX334">
        <v>84</v>
      </c>
      <c r="BY334">
        <v>6.06</v>
      </c>
      <c r="BZ334">
        <v>885</v>
      </c>
      <c r="CA334">
        <v>1352</v>
      </c>
      <c r="CB334">
        <v>2237</v>
      </c>
      <c r="CC334">
        <v>0.38200000000000001</v>
      </c>
      <c r="CD334">
        <v>0.371</v>
      </c>
      <c r="CE334">
        <v>0.247</v>
      </c>
      <c r="CF334">
        <v>0.17799999999999999</v>
      </c>
      <c r="CG334">
        <v>0.438</v>
      </c>
      <c r="CH334">
        <v>0.38400000000000001</v>
      </c>
      <c r="CI334" cm="1">
        <f t="array" ref="CI334:CS334">VLOOKUP(A334,verticalmove_pitchers_2019!A:N,{3,4,5,6,7,8,9,10,11,12,13},FALSE)</f>
        <v>124.2</v>
      </c>
      <c r="CJ334">
        <v>6.4</v>
      </c>
      <c r="CK334">
        <v>0</v>
      </c>
      <c r="CL334">
        <v>0</v>
      </c>
      <c r="CM334">
        <v>0</v>
      </c>
      <c r="CN334">
        <v>5.6</v>
      </c>
      <c r="CO334">
        <v>0.1</v>
      </c>
      <c r="CP334">
        <v>-3.1</v>
      </c>
      <c r="CQ334">
        <v>0</v>
      </c>
      <c r="CR334">
        <v>0</v>
      </c>
      <c r="CS334">
        <v>0</v>
      </c>
      <c r="CT334" cm="1">
        <f t="array" ref="CT334:DD334">VLOOKUP(A334,velocity_pitchers_2019!A:N,{3,4,5,6,7,8,9,10,11,12,13},FALSE)</f>
        <v>124.2</v>
      </c>
      <c r="CU334">
        <v>93.7</v>
      </c>
      <c r="CV334">
        <v>0</v>
      </c>
      <c r="CW334">
        <v>0</v>
      </c>
      <c r="CX334">
        <v>0</v>
      </c>
      <c r="CY334">
        <v>86.8</v>
      </c>
      <c r="CZ334">
        <v>84.2</v>
      </c>
      <c r="DA334">
        <v>79</v>
      </c>
      <c r="DB334">
        <v>0</v>
      </c>
      <c r="DC334">
        <v>0</v>
      </c>
      <c r="DD334">
        <v>0</v>
      </c>
    </row>
    <row r="335" spans="1:108" x14ac:dyDescent="0.3">
      <c r="A335" t="s">
        <v>349</v>
      </c>
      <c r="B335" t="str" cm="1">
        <f t="array" ref="B335:Y335">VLOOKUP(A335,standard_pitchers_2019!A:Y,{2,3,4,5,6,7,8,9,10,11,12,13,14,15,16,17,18,19,20,21,22,23,24,25},FALSE)</f>
        <v>Giants</v>
      </c>
      <c r="C335">
        <v>6</v>
      </c>
      <c r="D335">
        <v>11</v>
      </c>
      <c r="E335">
        <v>5.64</v>
      </c>
      <c r="F335">
        <v>28</v>
      </c>
      <c r="G335">
        <v>16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99</v>
      </c>
      <c r="N335">
        <v>439</v>
      </c>
      <c r="O335">
        <v>108</v>
      </c>
      <c r="P335">
        <v>74</v>
      </c>
      <c r="Q335">
        <v>62</v>
      </c>
      <c r="R335">
        <v>21</v>
      </c>
      <c r="S335">
        <v>36</v>
      </c>
      <c r="T335">
        <v>0</v>
      </c>
      <c r="U335">
        <v>2</v>
      </c>
      <c r="V335">
        <v>1</v>
      </c>
      <c r="W335">
        <v>0</v>
      </c>
      <c r="X335">
        <v>71</v>
      </c>
      <c r="Y335">
        <v>14509</v>
      </c>
      <c r="Z335" cm="1">
        <f t="array" ref="Z335:AR335">VLOOKUP(A335,advanced_pitchers_2019!A:Y,{3,4,5,6,7,8,9,10,11,12,13,14,15,16,17,18,19,20,21},FALSE)</f>
        <v>6.45</v>
      </c>
      <c r="AA335">
        <v>3.27</v>
      </c>
      <c r="AB335">
        <v>1.97</v>
      </c>
      <c r="AC335">
        <v>1.91</v>
      </c>
      <c r="AD335">
        <v>0.16200000000000001</v>
      </c>
      <c r="AE335">
        <v>8.2000000000000003E-2</v>
      </c>
      <c r="AF335">
        <v>0.08</v>
      </c>
      <c r="AG335">
        <v>0.26900000000000002</v>
      </c>
      <c r="AH335">
        <v>1.45</v>
      </c>
      <c r="AI335">
        <v>0.28199999999999997</v>
      </c>
      <c r="AJ335">
        <v>0.61699999999999999</v>
      </c>
      <c r="AK335">
        <v>134</v>
      </c>
      <c r="AL335">
        <v>136</v>
      </c>
      <c r="AM335">
        <v>116</v>
      </c>
      <c r="AN335">
        <v>5.64</v>
      </c>
      <c r="AO335">
        <v>5.69</v>
      </c>
      <c r="AP335">
        <v>-0.05</v>
      </c>
      <c r="AQ335">
        <v>5.14</v>
      </c>
      <c r="AR335">
        <v>5.23</v>
      </c>
      <c r="AS335" cm="1">
        <f t="array" ref="AS335:BA335">VLOOKUP(A335,plate_discipline_pitchers_2019!A:L,{3,4,5,6,7,8,9,10,11},FALSE)</f>
        <v>0.26900000000000002</v>
      </c>
      <c r="AT335">
        <v>0.69199999999999995</v>
      </c>
      <c r="AU335">
        <v>0.45</v>
      </c>
      <c r="AV335">
        <v>0.67200000000000004</v>
      </c>
      <c r="AW335">
        <v>0.88900000000000001</v>
      </c>
      <c r="AX335">
        <v>0.81499999999999995</v>
      </c>
      <c r="AY335">
        <v>0.42899999999999999</v>
      </c>
      <c r="AZ335">
        <v>0.57199999999999995</v>
      </c>
      <c r="BA335">
        <v>8.3000000000000004E-2</v>
      </c>
      <c r="BB335" cm="1">
        <f t="array" ref="BB335:BP335">VLOOKUP(A335,pitchvalue_pitchers_2019!A:Q,{3,4,5,6,7,8,9,10,11,12,13,14,15,16,17},FALSE)</f>
        <v>-17.600000000000001</v>
      </c>
      <c r="BC335">
        <v>2</v>
      </c>
      <c r="BD335">
        <v>0</v>
      </c>
      <c r="BE335">
        <v>2</v>
      </c>
      <c r="BF335">
        <v>-1</v>
      </c>
      <c r="BG335">
        <v>0</v>
      </c>
      <c r="BH335">
        <v>0</v>
      </c>
      <c r="BI335">
        <v>-2.19</v>
      </c>
      <c r="BJ335">
        <v>0.86</v>
      </c>
      <c r="BK335">
        <v>0</v>
      </c>
      <c r="BL335">
        <v>0.71</v>
      </c>
      <c r="BM335">
        <v>-0.28999999999999998</v>
      </c>
      <c r="BN335">
        <v>0</v>
      </c>
      <c r="BO335">
        <v>0</v>
      </c>
      <c r="BP335">
        <v>14509</v>
      </c>
      <c r="BQ335" cm="1">
        <f t="array" ref="BQ335:CH335">VLOOKUP(A335,battedball_pitchers_2019!A:U,{3,4,5,6,7,8,9,10,11,12,13,14,15,16,17,18,19,20},FALSE)</f>
        <v>0.28199999999999997</v>
      </c>
      <c r="BR335">
        <v>1.28</v>
      </c>
      <c r="BS335">
        <v>0.22500000000000001</v>
      </c>
      <c r="BT335">
        <v>0.435</v>
      </c>
      <c r="BU335">
        <v>0.34</v>
      </c>
      <c r="BV335">
        <v>8.2000000000000003E-2</v>
      </c>
      <c r="BW335">
        <v>0.191</v>
      </c>
      <c r="BX335">
        <v>32</v>
      </c>
      <c r="BY335">
        <v>2.91</v>
      </c>
      <c r="BZ335">
        <v>635</v>
      </c>
      <c r="CA335">
        <v>1033</v>
      </c>
      <c r="CB335">
        <v>1668</v>
      </c>
      <c r="CC335">
        <v>0.42399999999999999</v>
      </c>
      <c r="CD335">
        <v>0.32700000000000001</v>
      </c>
      <c r="CE335">
        <v>0.248</v>
      </c>
      <c r="CF335">
        <v>0.13300000000000001</v>
      </c>
      <c r="CG335">
        <v>0.442</v>
      </c>
      <c r="CH335">
        <v>0.42399999999999999</v>
      </c>
      <c r="CI335" cm="1">
        <f t="array" ref="CI335:CS335">VLOOKUP(A335,verticalmove_pitchers_2019!A:N,{3,4,5,6,7,8,9,10,11,12,13},FALSE)</f>
        <v>99</v>
      </c>
      <c r="CJ335">
        <v>8.6</v>
      </c>
      <c r="CK335">
        <v>0</v>
      </c>
      <c r="CL335">
        <v>0</v>
      </c>
      <c r="CM335">
        <v>7.2</v>
      </c>
      <c r="CN335">
        <v>5.2</v>
      </c>
      <c r="CO335">
        <v>3.7</v>
      </c>
      <c r="CP335">
        <v>-8.4</v>
      </c>
      <c r="CQ335">
        <v>0</v>
      </c>
      <c r="CR335">
        <v>0</v>
      </c>
      <c r="CS335">
        <v>0</v>
      </c>
      <c r="CT335" cm="1">
        <f t="array" ref="CT335:DD335">VLOOKUP(A335,velocity_pitchers_2019!A:N,{3,4,5,6,7,8,9,10,11,12,13},FALSE)</f>
        <v>99</v>
      </c>
      <c r="CU335">
        <v>91.2</v>
      </c>
      <c r="CV335">
        <v>0</v>
      </c>
      <c r="CW335">
        <v>0</v>
      </c>
      <c r="CX335">
        <v>90.1</v>
      </c>
      <c r="CY335">
        <v>84.9</v>
      </c>
      <c r="CZ335">
        <v>86.9</v>
      </c>
      <c r="DA335">
        <v>76</v>
      </c>
      <c r="DB335">
        <v>0</v>
      </c>
      <c r="DC335">
        <v>0</v>
      </c>
      <c r="DD335">
        <v>0</v>
      </c>
    </row>
    <row r="336" spans="1:108" x14ac:dyDescent="0.3">
      <c r="A336" t="s">
        <v>340</v>
      </c>
      <c r="B336" t="str" cm="1">
        <f t="array" ref="B336:Y336">VLOOKUP(A336,standard_pitchers_2019!A:Y,{2,3,4,5,6,7,8,9,10,11,12,13,14,15,16,17,18,19,20,21,22,23,24,25},FALSE)</f>
        <v>Mariners</v>
      </c>
      <c r="C336">
        <v>6</v>
      </c>
      <c r="D336">
        <v>11</v>
      </c>
      <c r="E336">
        <v>5.46</v>
      </c>
      <c r="F336">
        <v>32</v>
      </c>
      <c r="G336">
        <v>32</v>
      </c>
      <c r="H336">
        <v>1</v>
      </c>
      <c r="I336">
        <v>1</v>
      </c>
      <c r="J336">
        <v>0</v>
      </c>
      <c r="K336">
        <v>0</v>
      </c>
      <c r="L336">
        <v>0</v>
      </c>
      <c r="M336">
        <v>161.19999999999999</v>
      </c>
      <c r="N336">
        <v>721</v>
      </c>
      <c r="O336">
        <v>195</v>
      </c>
      <c r="P336">
        <v>109</v>
      </c>
      <c r="Q336">
        <v>98</v>
      </c>
      <c r="R336">
        <v>36</v>
      </c>
      <c r="S336">
        <v>50</v>
      </c>
      <c r="T336">
        <v>0</v>
      </c>
      <c r="U336">
        <v>6</v>
      </c>
      <c r="V336">
        <v>5</v>
      </c>
      <c r="W336">
        <v>1</v>
      </c>
      <c r="X336">
        <v>116</v>
      </c>
      <c r="Y336">
        <v>20633</v>
      </c>
      <c r="Z336" cm="1">
        <f t="array" ref="Z336:AR336">VLOOKUP(A336,advanced_pitchers_2019!A:Y,{3,4,5,6,7,8,9,10,11,12,13,14,15,16,17,18,19,20,21},FALSE)</f>
        <v>6.46</v>
      </c>
      <c r="AA336">
        <v>2.78</v>
      </c>
      <c r="AB336">
        <v>2.3199999999999998</v>
      </c>
      <c r="AC336">
        <v>2</v>
      </c>
      <c r="AD336">
        <v>0.161</v>
      </c>
      <c r="AE336">
        <v>6.9000000000000006E-2</v>
      </c>
      <c r="AF336">
        <v>9.1999999999999998E-2</v>
      </c>
      <c r="AG336">
        <v>0.29299999999999998</v>
      </c>
      <c r="AH336">
        <v>1.52</v>
      </c>
      <c r="AI336">
        <v>0.31</v>
      </c>
      <c r="AJ336">
        <v>0.70799999999999996</v>
      </c>
      <c r="AK336">
        <v>123</v>
      </c>
      <c r="AL336">
        <v>127</v>
      </c>
      <c r="AM336">
        <v>113</v>
      </c>
      <c r="AN336">
        <v>5.46</v>
      </c>
      <c r="AO336">
        <v>5.71</v>
      </c>
      <c r="AP336">
        <v>-0.26</v>
      </c>
      <c r="AQ336">
        <v>5.18</v>
      </c>
      <c r="AR336">
        <v>5.17</v>
      </c>
      <c r="AS336" cm="1">
        <f t="array" ref="AS336:BA336">VLOOKUP(A336,plate_discipline_pitchers_2019!A:L,{3,4,5,6,7,8,9,10,11},FALSE)</f>
        <v>0.28199999999999997</v>
      </c>
      <c r="AT336">
        <v>0.70099999999999996</v>
      </c>
      <c r="AU336">
        <v>0.47599999999999998</v>
      </c>
      <c r="AV336">
        <v>0.64600000000000002</v>
      </c>
      <c r="AW336">
        <v>0.89300000000000002</v>
      </c>
      <c r="AX336">
        <v>0.81499999999999995</v>
      </c>
      <c r="AY336">
        <v>0.46300000000000002</v>
      </c>
      <c r="AZ336">
        <v>0.59199999999999997</v>
      </c>
      <c r="BA336">
        <v>8.7999999999999995E-2</v>
      </c>
      <c r="BB336" cm="1">
        <f t="array" ref="BB336:BP336">VLOOKUP(A336,pitchvalue_pitchers_2019!A:Q,{3,4,5,6,7,8,9,10,11,12,13,14,15,16,17},FALSE)</f>
        <v>-18</v>
      </c>
      <c r="BC336">
        <v>-7.2</v>
      </c>
      <c r="BD336">
        <v>0</v>
      </c>
      <c r="BE336">
        <v>-5.9</v>
      </c>
      <c r="BF336">
        <v>0</v>
      </c>
      <c r="BG336">
        <v>0.1</v>
      </c>
      <c r="BH336">
        <v>0</v>
      </c>
      <c r="BI336">
        <v>-1.35</v>
      </c>
      <c r="BJ336">
        <v>-0.95</v>
      </c>
      <c r="BK336">
        <v>0</v>
      </c>
      <c r="BL336">
        <v>-1.38</v>
      </c>
      <c r="BM336">
        <v>0</v>
      </c>
      <c r="BN336">
        <v>0.05</v>
      </c>
      <c r="BO336">
        <v>0</v>
      </c>
      <c r="BP336">
        <v>20633</v>
      </c>
      <c r="BQ336" cm="1">
        <f t="array" ref="BQ336:CH336">VLOOKUP(A336,battedball_pitchers_2019!A:U,{3,4,5,6,7,8,9,10,11,12,13,14,15,16,17,18,19,20},FALSE)</f>
        <v>0.31</v>
      </c>
      <c r="BR336">
        <v>1.24</v>
      </c>
      <c r="BS336">
        <v>0.20599999999999999</v>
      </c>
      <c r="BT336">
        <v>0.44</v>
      </c>
      <c r="BU336">
        <v>0.35399999999999998</v>
      </c>
      <c r="BV336">
        <v>0.12</v>
      </c>
      <c r="BW336">
        <v>0.188</v>
      </c>
      <c r="BX336">
        <v>94</v>
      </c>
      <c r="BY336">
        <v>5.23</v>
      </c>
      <c r="BZ336">
        <v>978</v>
      </c>
      <c r="CA336">
        <v>1743</v>
      </c>
      <c r="CB336">
        <v>2721</v>
      </c>
      <c r="CC336">
        <v>0.40600000000000003</v>
      </c>
      <c r="CD336">
        <v>0.29899999999999999</v>
      </c>
      <c r="CE336">
        <v>0.29499999999999998</v>
      </c>
      <c r="CF336">
        <v>0.18</v>
      </c>
      <c r="CG336">
        <v>0.443</v>
      </c>
      <c r="CH336">
        <v>0.377</v>
      </c>
      <c r="CI336" cm="1">
        <f t="array" ref="CI336:CS336">VLOOKUP(A336,verticalmove_pitchers_2019!A:N,{3,4,5,6,7,8,9,10,11,12,13},FALSE)</f>
        <v>161.19999999999999</v>
      </c>
      <c r="CJ336">
        <v>8.4</v>
      </c>
      <c r="CK336">
        <v>0</v>
      </c>
      <c r="CL336">
        <v>0</v>
      </c>
      <c r="CM336">
        <v>0</v>
      </c>
      <c r="CN336">
        <v>4.3</v>
      </c>
      <c r="CO336">
        <v>1</v>
      </c>
      <c r="CP336">
        <v>-9.4</v>
      </c>
      <c r="CQ336">
        <v>0</v>
      </c>
      <c r="CR336">
        <v>0</v>
      </c>
      <c r="CS336">
        <v>0</v>
      </c>
      <c r="CT336" cm="1">
        <f t="array" ref="CT336:DD336">VLOOKUP(A336,velocity_pitchers_2019!A:N,{3,4,5,6,7,8,9,10,11,12,13},FALSE)</f>
        <v>161.19999999999999</v>
      </c>
      <c r="CU336">
        <v>92.9</v>
      </c>
      <c r="CV336">
        <v>0</v>
      </c>
      <c r="CW336">
        <v>0</v>
      </c>
      <c r="CX336">
        <v>0</v>
      </c>
      <c r="CY336">
        <v>84.8</v>
      </c>
      <c r="CZ336">
        <v>86.3</v>
      </c>
      <c r="DA336">
        <v>75.400000000000006</v>
      </c>
      <c r="DB336">
        <v>0</v>
      </c>
      <c r="DC336">
        <v>0</v>
      </c>
      <c r="DD336">
        <v>0</v>
      </c>
    </row>
    <row r="337" spans="1:108" x14ac:dyDescent="0.3">
      <c r="A337" t="s">
        <v>230</v>
      </c>
      <c r="B337" t="str" cm="1">
        <f t="array" ref="B337:Y337">VLOOKUP(A337,standard_pitchers_2019!A:Y,{2,3,4,5,6,7,8,9,10,11,12,13,14,15,16,17,18,19,20,21,22,23,24,25},FALSE)</f>
        <v>- - -</v>
      </c>
      <c r="C337">
        <v>12</v>
      </c>
      <c r="D337">
        <v>11</v>
      </c>
      <c r="E337">
        <v>4.29</v>
      </c>
      <c r="F337">
        <v>32</v>
      </c>
      <c r="G337">
        <v>32</v>
      </c>
      <c r="H337">
        <v>2</v>
      </c>
      <c r="I337">
        <v>1</v>
      </c>
      <c r="J337">
        <v>0</v>
      </c>
      <c r="K337">
        <v>0</v>
      </c>
      <c r="L337">
        <v>0</v>
      </c>
      <c r="M337">
        <v>197</v>
      </c>
      <c r="N337">
        <v>835</v>
      </c>
      <c r="O337">
        <v>227</v>
      </c>
      <c r="P337">
        <v>114</v>
      </c>
      <c r="Q337">
        <v>94</v>
      </c>
      <c r="R337">
        <v>41</v>
      </c>
      <c r="S337">
        <v>27</v>
      </c>
      <c r="T337">
        <v>2</v>
      </c>
      <c r="U337">
        <v>10</v>
      </c>
      <c r="V337">
        <v>2</v>
      </c>
      <c r="W337">
        <v>0</v>
      </c>
      <c r="X337">
        <v>127</v>
      </c>
      <c r="Y337">
        <v>10130</v>
      </c>
      <c r="Z337" cm="1">
        <f t="array" ref="Z337:AR337">VLOOKUP(A337,advanced_pitchers_2019!A:Y,{3,4,5,6,7,8,9,10,11,12,13,14,15,16,17,18,19,20,21},FALSE)</f>
        <v>5.8</v>
      </c>
      <c r="AA337">
        <v>1.23</v>
      </c>
      <c r="AB337">
        <v>4.7</v>
      </c>
      <c r="AC337">
        <v>1.87</v>
      </c>
      <c r="AD337">
        <v>0.152</v>
      </c>
      <c r="AE337">
        <v>3.2000000000000001E-2</v>
      </c>
      <c r="AF337">
        <v>0.12</v>
      </c>
      <c r="AG337">
        <v>0.28399999999999997</v>
      </c>
      <c r="AH337">
        <v>1.29</v>
      </c>
      <c r="AI337">
        <v>0.29499999999999998</v>
      </c>
      <c r="AJ337">
        <v>0.72599999999999998</v>
      </c>
      <c r="AK337">
        <v>97</v>
      </c>
      <c r="AL337">
        <v>117</v>
      </c>
      <c r="AM337">
        <v>105</v>
      </c>
      <c r="AN337">
        <v>4.29</v>
      </c>
      <c r="AO337">
        <v>5.19</v>
      </c>
      <c r="AP337">
        <v>-0.9</v>
      </c>
      <c r="AQ337">
        <v>4.76</v>
      </c>
      <c r="AR337">
        <v>4.79</v>
      </c>
      <c r="AS337" cm="1">
        <f t="array" ref="AS337:BA337">VLOOKUP(A337,plate_discipline_pitchers_2019!A:L,{3,4,5,6,7,8,9,10,11},FALSE)</f>
        <v>0.34</v>
      </c>
      <c r="AT337">
        <v>0.69299999999999995</v>
      </c>
      <c r="AU337">
        <v>0.502</v>
      </c>
      <c r="AV337">
        <v>0.71799999999999997</v>
      </c>
      <c r="AW337">
        <v>0.90900000000000003</v>
      </c>
      <c r="AX337">
        <v>0.83799999999999997</v>
      </c>
      <c r="AY337">
        <v>0.45700000000000002</v>
      </c>
      <c r="AZ337">
        <v>0.63500000000000001</v>
      </c>
      <c r="BA337">
        <v>8.1000000000000003E-2</v>
      </c>
      <c r="BB337" cm="1">
        <f t="array" ref="BB337:BP337">VLOOKUP(A337,pitchvalue_pitchers_2019!A:Q,{3,4,5,6,7,8,9,10,11,12,13,14,15,16,17},FALSE)</f>
        <v>-19.399999999999999</v>
      </c>
      <c r="BC337">
        <v>1.9</v>
      </c>
      <c r="BD337">
        <v>5.4</v>
      </c>
      <c r="BE337">
        <v>-2.2000000000000002</v>
      </c>
      <c r="BF337">
        <v>-1.6</v>
      </c>
      <c r="BG337">
        <v>0</v>
      </c>
      <c r="BH337">
        <v>0</v>
      </c>
      <c r="BI337">
        <v>-1.9</v>
      </c>
      <c r="BJ337">
        <v>0.57999999999999996</v>
      </c>
      <c r="BK337">
        <v>0.73</v>
      </c>
      <c r="BL337">
        <v>-0.78</v>
      </c>
      <c r="BM337">
        <v>-0.28000000000000003</v>
      </c>
      <c r="BN337">
        <v>0</v>
      </c>
      <c r="BO337">
        <v>0</v>
      </c>
      <c r="BP337">
        <v>10130</v>
      </c>
      <c r="BQ337" cm="1">
        <f t="array" ref="BQ337:CH337">VLOOKUP(A337,battedball_pitchers_2019!A:U,{3,4,5,6,7,8,9,10,11,12,13,14,15,16,17,18,19,20},FALSE)</f>
        <v>0.29499999999999998</v>
      </c>
      <c r="BR337">
        <v>1.39</v>
      </c>
      <c r="BS337">
        <v>0.19400000000000001</v>
      </c>
      <c r="BT337">
        <v>0.46800000000000003</v>
      </c>
      <c r="BU337">
        <v>0.33800000000000002</v>
      </c>
      <c r="BV337">
        <v>8.4000000000000005E-2</v>
      </c>
      <c r="BW337">
        <v>0.182</v>
      </c>
      <c r="BX337">
        <v>122</v>
      </c>
      <c r="BY337">
        <v>5.57</v>
      </c>
      <c r="BZ337">
        <v>949</v>
      </c>
      <c r="CA337">
        <v>2026</v>
      </c>
      <c r="CB337">
        <v>2975</v>
      </c>
      <c r="CC337">
        <v>0.42499999999999999</v>
      </c>
      <c r="CD337">
        <v>0.36099999999999999</v>
      </c>
      <c r="CE337">
        <v>0.215</v>
      </c>
      <c r="CF337">
        <v>0.14299999999999999</v>
      </c>
      <c r="CG337">
        <v>0.44600000000000001</v>
      </c>
      <c r="CH337">
        <v>0.41099999999999998</v>
      </c>
      <c r="CI337" cm="1">
        <f t="array" ref="CI337:CS337">VLOOKUP(A337,verticalmove_pitchers_2019!A:N,{3,4,5,6,7,8,9,10,11,12,13},FALSE)</f>
        <v>197</v>
      </c>
      <c r="CJ337">
        <v>4.2</v>
      </c>
      <c r="CK337">
        <v>2.7</v>
      </c>
      <c r="CL337">
        <v>0</v>
      </c>
      <c r="CM337">
        <v>1.9</v>
      </c>
      <c r="CN337">
        <v>-1.6</v>
      </c>
      <c r="CO337">
        <v>-1.4</v>
      </c>
      <c r="CP337">
        <v>-2.2999999999999998</v>
      </c>
      <c r="CQ337">
        <v>0</v>
      </c>
      <c r="CR337">
        <v>0</v>
      </c>
      <c r="CS337">
        <v>0</v>
      </c>
      <c r="CT337" cm="1">
        <f t="array" ref="CT337:DD337">VLOOKUP(A337,velocity_pitchers_2019!A:N,{3,4,5,6,7,8,9,10,11,12,13},FALSE)</f>
        <v>197</v>
      </c>
      <c r="CU337">
        <v>88.9</v>
      </c>
      <c r="CV337">
        <v>86.9</v>
      </c>
      <c r="CW337">
        <v>0</v>
      </c>
      <c r="CX337">
        <v>88.5</v>
      </c>
      <c r="CY337">
        <v>84.3</v>
      </c>
      <c r="CZ337">
        <v>80.3</v>
      </c>
      <c r="DA337">
        <v>79.400000000000006</v>
      </c>
      <c r="DB337">
        <v>0</v>
      </c>
      <c r="DC337">
        <v>0</v>
      </c>
      <c r="DD337">
        <v>0</v>
      </c>
    </row>
    <row r="338" spans="1:108" x14ac:dyDescent="0.3">
      <c r="A338" t="s">
        <v>292</v>
      </c>
      <c r="B338" t="str" cm="1">
        <f t="array" ref="B338:Y338">VLOOKUP(A338,standard_pitchers_2019!A:Y,{2,3,4,5,6,7,8,9,10,11,12,13,14,15,16,17,18,19,20,21,22,23,24,25},FALSE)</f>
        <v>Orioles</v>
      </c>
      <c r="C338">
        <v>7</v>
      </c>
      <c r="D338">
        <v>14</v>
      </c>
      <c r="E338">
        <v>4.79</v>
      </c>
      <c r="F338">
        <v>30</v>
      </c>
      <c r="G338">
        <v>30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161.19999999999999</v>
      </c>
      <c r="N338">
        <v>700</v>
      </c>
      <c r="O338">
        <v>161</v>
      </c>
      <c r="P338">
        <v>95</v>
      </c>
      <c r="Q338">
        <v>86</v>
      </c>
      <c r="R338">
        <v>29</v>
      </c>
      <c r="S338">
        <v>58</v>
      </c>
      <c r="T338">
        <v>0</v>
      </c>
      <c r="U338">
        <v>6</v>
      </c>
      <c r="V338">
        <v>7</v>
      </c>
      <c r="W338">
        <v>1</v>
      </c>
      <c r="X338">
        <v>162</v>
      </c>
      <c r="Y338">
        <v>12917</v>
      </c>
      <c r="Z338" cm="1">
        <f t="array" ref="Z338:AR338">VLOOKUP(A338,advanced_pitchers_2019!A:Y,{3,4,5,6,7,8,9,10,11,12,13,14,15,16,17,18,19,20,21},FALSE)</f>
        <v>9.02</v>
      </c>
      <c r="AA338">
        <v>3.23</v>
      </c>
      <c r="AB338">
        <v>2.79</v>
      </c>
      <c r="AC338">
        <v>1.61</v>
      </c>
      <c r="AD338">
        <v>0.23100000000000001</v>
      </c>
      <c r="AE338">
        <v>8.3000000000000004E-2</v>
      </c>
      <c r="AF338">
        <v>0.14899999999999999</v>
      </c>
      <c r="AG338">
        <v>0.253</v>
      </c>
      <c r="AH338">
        <v>1.35</v>
      </c>
      <c r="AI338">
        <v>0.29699999999999999</v>
      </c>
      <c r="AJ338">
        <v>0.70499999999999996</v>
      </c>
      <c r="AK338">
        <v>102</v>
      </c>
      <c r="AL338">
        <v>99</v>
      </c>
      <c r="AM338">
        <v>100</v>
      </c>
      <c r="AN338">
        <v>4.79</v>
      </c>
      <c r="AO338">
        <v>4.7300000000000004</v>
      </c>
      <c r="AP338">
        <v>0.06</v>
      </c>
      <c r="AQ338">
        <v>4.58</v>
      </c>
      <c r="AR338">
        <v>4.54</v>
      </c>
      <c r="AS338" cm="1">
        <f t="array" ref="AS338:BA338">VLOOKUP(A338,plate_discipline_pitchers_2019!A:L,{3,4,5,6,7,8,9,10,11},FALSE)</f>
        <v>0.35699999999999998</v>
      </c>
      <c r="AT338">
        <v>0.67400000000000004</v>
      </c>
      <c r="AU338">
        <v>0.48799999999999999</v>
      </c>
      <c r="AV338">
        <v>0.57299999999999995</v>
      </c>
      <c r="AW338">
        <v>0.85899999999999999</v>
      </c>
      <c r="AX338">
        <v>0.73699999999999999</v>
      </c>
      <c r="AY338">
        <v>0.41499999999999998</v>
      </c>
      <c r="AZ338">
        <v>0.61699999999999999</v>
      </c>
      <c r="BA338">
        <v>0.129</v>
      </c>
      <c r="BB338" cm="1">
        <f t="array" ref="BB338:BP338">VLOOKUP(A338,pitchvalue_pitchers_2019!A:Q,{3,4,5,6,7,8,9,10,11,12,13,14,15,16,17},FALSE)</f>
        <v>-20.7</v>
      </c>
      <c r="BC338">
        <v>9</v>
      </c>
      <c r="BD338">
        <v>0</v>
      </c>
      <c r="BE338">
        <v>0.4</v>
      </c>
      <c r="BF338">
        <v>3.1</v>
      </c>
      <c r="BG338">
        <v>0</v>
      </c>
      <c r="BH338">
        <v>0</v>
      </c>
      <c r="BI338">
        <v>-1.49</v>
      </c>
      <c r="BJ338">
        <v>1.43</v>
      </c>
      <c r="BK338">
        <v>0</v>
      </c>
      <c r="BL338">
        <v>0.15</v>
      </c>
      <c r="BM338">
        <v>0.64</v>
      </c>
      <c r="BN338">
        <v>0</v>
      </c>
      <c r="BO338">
        <v>0</v>
      </c>
      <c r="BP338">
        <v>12917</v>
      </c>
      <c r="BQ338" cm="1">
        <f t="array" ref="BQ338:CH338">VLOOKUP(A338,battedball_pitchers_2019!A:U,{3,4,5,6,7,8,9,10,11,12,13,14,15,16,17,18,19,20},FALSE)</f>
        <v>0.29699999999999999</v>
      </c>
      <c r="BR338">
        <v>1.1000000000000001</v>
      </c>
      <c r="BS338">
        <v>0.20899999999999999</v>
      </c>
      <c r="BT338">
        <v>0.41499999999999998</v>
      </c>
      <c r="BU338">
        <v>0.377</v>
      </c>
      <c r="BV338">
        <v>0.113</v>
      </c>
      <c r="BW338">
        <v>0.16400000000000001</v>
      </c>
      <c r="BX338">
        <v>93</v>
      </c>
      <c r="BY338">
        <v>5.18</v>
      </c>
      <c r="BZ338">
        <v>971</v>
      </c>
      <c r="CA338">
        <v>1807</v>
      </c>
      <c r="CB338">
        <v>2778</v>
      </c>
      <c r="CC338">
        <v>0.46600000000000003</v>
      </c>
      <c r="CD338">
        <v>0.31</v>
      </c>
      <c r="CE338">
        <v>0.224</v>
      </c>
      <c r="CF338">
        <v>0.16700000000000001</v>
      </c>
      <c r="CG338">
        <v>0.52100000000000002</v>
      </c>
      <c r="CH338">
        <v>0.312</v>
      </c>
      <c r="CI338" cm="1">
        <f t="array" ref="CI338:CS338">VLOOKUP(A338,verticalmove_pitchers_2019!A:N,{3,4,5,6,7,8,9,10,11,12,13},FALSE)</f>
        <v>161.19999999999999</v>
      </c>
      <c r="CJ338">
        <v>10.1</v>
      </c>
      <c r="CK338">
        <v>0</v>
      </c>
      <c r="CL338">
        <v>0</v>
      </c>
      <c r="CM338">
        <v>7.6</v>
      </c>
      <c r="CN338">
        <v>3.5</v>
      </c>
      <c r="CO338">
        <v>-1.8</v>
      </c>
      <c r="CP338">
        <v>-8.9</v>
      </c>
      <c r="CQ338">
        <v>0</v>
      </c>
      <c r="CR338">
        <v>0</v>
      </c>
      <c r="CS338">
        <v>0</v>
      </c>
      <c r="CT338" cm="1">
        <f t="array" ref="CT338:DD338">VLOOKUP(A338,velocity_pitchers_2019!A:N,{3,4,5,6,7,8,9,10,11,12,13},FALSE)</f>
        <v>161.19999999999999</v>
      </c>
      <c r="CU338">
        <v>91.5</v>
      </c>
      <c r="CV338">
        <v>0</v>
      </c>
      <c r="CW338">
        <v>0</v>
      </c>
      <c r="CX338">
        <v>91.6</v>
      </c>
      <c r="CY338">
        <v>83.8</v>
      </c>
      <c r="CZ338">
        <v>81.400000000000006</v>
      </c>
      <c r="DA338">
        <v>75.2</v>
      </c>
      <c r="DB338">
        <v>0</v>
      </c>
      <c r="DC338">
        <v>0</v>
      </c>
      <c r="DD338">
        <v>0</v>
      </c>
    </row>
    <row r="339" spans="1:108" x14ac:dyDescent="0.3">
      <c r="A339" t="s">
        <v>324</v>
      </c>
      <c r="B339" t="str" cm="1">
        <f t="array" ref="B339:Y339">VLOOKUP(A339,standard_pitchers_2019!A:Y,{2,3,4,5,6,7,8,9,10,11,12,13,14,15,16,17,18,19,20,21,22,23,24,25},FALSE)</f>
        <v>Royals</v>
      </c>
      <c r="C339">
        <v>9</v>
      </c>
      <c r="D339">
        <v>14</v>
      </c>
      <c r="E339">
        <v>5.24</v>
      </c>
      <c r="F339">
        <v>31</v>
      </c>
      <c r="G339">
        <v>31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175.1</v>
      </c>
      <c r="N339">
        <v>771</v>
      </c>
      <c r="O339">
        <v>192</v>
      </c>
      <c r="P339">
        <v>108</v>
      </c>
      <c r="Q339">
        <v>102</v>
      </c>
      <c r="R339">
        <v>31</v>
      </c>
      <c r="S339">
        <v>58</v>
      </c>
      <c r="T339">
        <v>1</v>
      </c>
      <c r="U339">
        <v>11</v>
      </c>
      <c r="V339">
        <v>4</v>
      </c>
      <c r="W339">
        <v>0</v>
      </c>
      <c r="X339">
        <v>164</v>
      </c>
      <c r="Y339">
        <v>13619</v>
      </c>
      <c r="Z339" cm="1">
        <f t="array" ref="Z339:AR339">VLOOKUP(A339,advanced_pitchers_2019!A:Y,{3,4,5,6,7,8,9,10,11,12,13,14,15,16,17,18,19,20,21},FALSE)</f>
        <v>8.42</v>
      </c>
      <c r="AA339">
        <v>2.98</v>
      </c>
      <c r="AB339">
        <v>2.83</v>
      </c>
      <c r="AC339">
        <v>1.59</v>
      </c>
      <c r="AD339">
        <v>0.21299999999999999</v>
      </c>
      <c r="AE339">
        <v>7.4999999999999997E-2</v>
      </c>
      <c r="AF339">
        <v>0.13700000000000001</v>
      </c>
      <c r="AG339">
        <v>0.27400000000000002</v>
      </c>
      <c r="AH339">
        <v>1.43</v>
      </c>
      <c r="AI339">
        <v>0.318</v>
      </c>
      <c r="AJ339">
        <v>0.70299999999999996</v>
      </c>
      <c r="AK339">
        <v>111</v>
      </c>
      <c r="AL339">
        <v>107</v>
      </c>
      <c r="AM339">
        <v>101</v>
      </c>
      <c r="AN339">
        <v>5.24</v>
      </c>
      <c r="AO339">
        <v>4.82</v>
      </c>
      <c r="AP339">
        <v>0.41</v>
      </c>
      <c r="AQ339">
        <v>4.63</v>
      </c>
      <c r="AR339">
        <v>4.63</v>
      </c>
      <c r="AS339" cm="1">
        <f t="array" ref="AS339:BA339">VLOOKUP(A339,plate_discipline_pitchers_2019!A:L,{3,4,5,6,7,8,9,10,11},FALSE)</f>
        <v>0.30399999999999999</v>
      </c>
      <c r="AT339">
        <v>0.66</v>
      </c>
      <c r="AU339">
        <v>0.45200000000000001</v>
      </c>
      <c r="AV339">
        <v>0.61699999999999999</v>
      </c>
      <c r="AW339">
        <v>0.88900000000000001</v>
      </c>
      <c r="AX339">
        <v>0.78200000000000003</v>
      </c>
      <c r="AY339">
        <v>0.41699999999999998</v>
      </c>
      <c r="AZ339">
        <v>0.61599999999999999</v>
      </c>
      <c r="BA339">
        <v>9.8000000000000004E-2</v>
      </c>
      <c r="BB339" cm="1">
        <f t="array" ref="BB339:BP339">VLOOKUP(A339,pitchvalue_pitchers_2019!A:Q,{3,4,5,6,7,8,9,10,11,12,13,14,15,16,17},FALSE)</f>
        <v>-23.1</v>
      </c>
      <c r="BC339">
        <v>15</v>
      </c>
      <c r="BD339">
        <v>0</v>
      </c>
      <c r="BE339">
        <v>0</v>
      </c>
      <c r="BF339">
        <v>-1.8</v>
      </c>
      <c r="BG339">
        <v>0</v>
      </c>
      <c r="BH339">
        <v>0</v>
      </c>
      <c r="BI339">
        <v>-1.55</v>
      </c>
      <c r="BJ339">
        <v>1.17</v>
      </c>
      <c r="BK339">
        <v>0</v>
      </c>
      <c r="BL339">
        <v>0</v>
      </c>
      <c r="BM339">
        <v>-1.18</v>
      </c>
      <c r="BN339">
        <v>0</v>
      </c>
      <c r="BO339">
        <v>0</v>
      </c>
      <c r="BP339">
        <v>13619</v>
      </c>
      <c r="BQ339" cm="1">
        <f t="array" ref="BQ339:CH339">VLOOKUP(A339,battedball_pitchers_2019!A:U,{3,4,5,6,7,8,9,10,11,12,13,14,15,16,17,18,19,20},FALSE)</f>
        <v>0.318</v>
      </c>
      <c r="BR339">
        <v>1.22</v>
      </c>
      <c r="BS339">
        <v>0.22900000000000001</v>
      </c>
      <c r="BT339">
        <v>0.42399999999999999</v>
      </c>
      <c r="BU339">
        <v>0.34699999999999998</v>
      </c>
      <c r="BV339">
        <v>6.5000000000000002E-2</v>
      </c>
      <c r="BW339">
        <v>0.16700000000000001</v>
      </c>
      <c r="BX339">
        <v>90</v>
      </c>
      <c r="BY339">
        <v>4.62</v>
      </c>
      <c r="BZ339">
        <v>1075</v>
      </c>
      <c r="CA339">
        <v>1851</v>
      </c>
      <c r="CB339">
        <v>2926</v>
      </c>
      <c r="CC339">
        <v>0.439</v>
      </c>
      <c r="CD339">
        <v>0.34100000000000003</v>
      </c>
      <c r="CE339">
        <v>0.22</v>
      </c>
      <c r="CF339">
        <v>0.125</v>
      </c>
      <c r="CG339">
        <v>0.44900000000000001</v>
      </c>
      <c r="CH339">
        <v>0.42599999999999999</v>
      </c>
      <c r="CI339" cm="1">
        <f t="array" ref="CI339:CS339">VLOOKUP(A339,verticalmove_pitchers_2019!A:N,{3,4,5,6,7,8,9,10,11,12,13},FALSE)</f>
        <v>175.1</v>
      </c>
      <c r="CJ339">
        <v>7.6</v>
      </c>
      <c r="CK339">
        <v>0</v>
      </c>
      <c r="CL339">
        <v>0</v>
      </c>
      <c r="CM339">
        <v>4.7</v>
      </c>
      <c r="CN339">
        <v>2.2999999999999998</v>
      </c>
      <c r="CO339">
        <v>-1.7</v>
      </c>
      <c r="CP339">
        <v>0</v>
      </c>
      <c r="CQ339">
        <v>0</v>
      </c>
      <c r="CR339">
        <v>0</v>
      </c>
      <c r="CS339">
        <v>0</v>
      </c>
      <c r="CT339" cm="1">
        <f t="array" ref="CT339:DD339">VLOOKUP(A339,velocity_pitchers_2019!A:N,{3,4,5,6,7,8,9,10,11,12,13},FALSE)</f>
        <v>175.1</v>
      </c>
      <c r="CU339">
        <v>92</v>
      </c>
      <c r="CV339">
        <v>0</v>
      </c>
      <c r="CW339">
        <v>0</v>
      </c>
      <c r="CX339">
        <v>91.4</v>
      </c>
      <c r="CY339">
        <v>85</v>
      </c>
      <c r="CZ339">
        <v>81.7</v>
      </c>
      <c r="DA339">
        <v>0</v>
      </c>
      <c r="DB339">
        <v>0</v>
      </c>
      <c r="DC339">
        <v>0</v>
      </c>
      <c r="DD339">
        <v>0</v>
      </c>
    </row>
    <row r="340" spans="1:108" x14ac:dyDescent="0.3">
      <c r="A340" t="s">
        <v>363</v>
      </c>
      <c r="B340" t="str" cm="1">
        <f t="array" ref="B340:Y340">VLOOKUP(A340,standard_pitchers_2019!A:Y,{2,3,4,5,6,7,8,9,10,11,12,13,14,15,16,17,18,19,20,21,22,23,24,25},FALSE)</f>
        <v>Rangers</v>
      </c>
      <c r="C340">
        <v>6</v>
      </c>
      <c r="D340">
        <v>8</v>
      </c>
      <c r="E340">
        <v>5.89</v>
      </c>
      <c r="F340">
        <v>35</v>
      </c>
      <c r="G340">
        <v>15</v>
      </c>
      <c r="H340">
        <v>1</v>
      </c>
      <c r="I340">
        <v>0</v>
      </c>
      <c r="J340">
        <v>0</v>
      </c>
      <c r="K340">
        <v>0</v>
      </c>
      <c r="L340">
        <v>0</v>
      </c>
      <c r="M340">
        <v>125.1</v>
      </c>
      <c r="N340">
        <v>563</v>
      </c>
      <c r="O340">
        <v>156</v>
      </c>
      <c r="P340">
        <v>86</v>
      </c>
      <c r="Q340">
        <v>82</v>
      </c>
      <c r="R340">
        <v>29</v>
      </c>
      <c r="S340">
        <v>36</v>
      </c>
      <c r="T340">
        <v>1</v>
      </c>
      <c r="U340">
        <v>9</v>
      </c>
      <c r="V340">
        <v>4</v>
      </c>
      <c r="W340">
        <v>1</v>
      </c>
      <c r="X340">
        <v>101</v>
      </c>
      <c r="Y340">
        <v>13339</v>
      </c>
      <c r="Z340" cm="1">
        <f t="array" ref="Z340:AR340">VLOOKUP(A340,advanced_pitchers_2019!A:Y,{3,4,5,6,7,8,9,10,11,12,13,14,15,16,17,18,19,20,21},FALSE)</f>
        <v>7.25</v>
      </c>
      <c r="AA340">
        <v>2.59</v>
      </c>
      <c r="AB340">
        <v>2.81</v>
      </c>
      <c r="AC340">
        <v>2.08</v>
      </c>
      <c r="AD340">
        <v>0.17899999999999999</v>
      </c>
      <c r="AE340">
        <v>6.4000000000000001E-2</v>
      </c>
      <c r="AF340">
        <v>0.115</v>
      </c>
      <c r="AG340">
        <v>0.30099999999999999</v>
      </c>
      <c r="AH340">
        <v>1.53</v>
      </c>
      <c r="AI340">
        <v>0.32700000000000001</v>
      </c>
      <c r="AJ340">
        <v>0.71699999999999997</v>
      </c>
      <c r="AK340">
        <v>117</v>
      </c>
      <c r="AL340">
        <v>119</v>
      </c>
      <c r="AM340">
        <v>116</v>
      </c>
      <c r="AN340">
        <v>5.89</v>
      </c>
      <c r="AO340">
        <v>5.69</v>
      </c>
      <c r="AP340">
        <v>0.2</v>
      </c>
      <c r="AQ340">
        <v>5.33</v>
      </c>
      <c r="AR340">
        <v>4.84</v>
      </c>
      <c r="AS340" cm="1">
        <f t="array" ref="AS340:BA340">VLOOKUP(A340,plate_discipline_pitchers_2019!A:L,{3,4,5,6,7,8,9,10,11},FALSE)</f>
        <v>0.314</v>
      </c>
      <c r="AT340">
        <v>0.73099999999999998</v>
      </c>
      <c r="AU340">
        <v>0.49099999999999999</v>
      </c>
      <c r="AV340">
        <v>0.63200000000000001</v>
      </c>
      <c r="AW340">
        <v>0.90800000000000003</v>
      </c>
      <c r="AX340">
        <v>0.80700000000000005</v>
      </c>
      <c r="AY340">
        <v>0.42599999999999999</v>
      </c>
      <c r="AZ340">
        <v>0.60399999999999998</v>
      </c>
      <c r="BA340">
        <v>9.5000000000000001E-2</v>
      </c>
      <c r="BB340" cm="1">
        <f t="array" ref="BB340:BP340">VLOOKUP(A340,pitchvalue_pitchers_2019!A:Q,{3,4,5,6,7,8,9,10,11,12,13,14,15,16,17},FALSE)</f>
        <v>-26.9</v>
      </c>
      <c r="BC340">
        <v>0.4</v>
      </c>
      <c r="BD340">
        <v>0</v>
      </c>
      <c r="BE340">
        <v>0</v>
      </c>
      <c r="BF340">
        <v>-2.5</v>
      </c>
      <c r="BG340">
        <v>0</v>
      </c>
      <c r="BH340">
        <v>0</v>
      </c>
      <c r="BI340">
        <v>-2.42</v>
      </c>
      <c r="BJ340">
        <v>0.06</v>
      </c>
      <c r="BK340">
        <v>0</v>
      </c>
      <c r="BL340">
        <v>0</v>
      </c>
      <c r="BM340">
        <v>-0.96</v>
      </c>
      <c r="BN340">
        <v>0</v>
      </c>
      <c r="BO340">
        <v>0</v>
      </c>
      <c r="BP340">
        <v>13339</v>
      </c>
      <c r="BQ340" cm="1">
        <f t="array" ref="BQ340:CH340">VLOOKUP(A340,battedball_pitchers_2019!A:U,{3,4,5,6,7,8,9,10,11,12,13,14,15,16,17,18,19,20},FALSE)</f>
        <v>0.32700000000000001</v>
      </c>
      <c r="BR340">
        <v>0.99</v>
      </c>
      <c r="BS340">
        <v>0.19400000000000001</v>
      </c>
      <c r="BT340">
        <v>0.40200000000000002</v>
      </c>
      <c r="BU340">
        <v>0.40400000000000003</v>
      </c>
      <c r="BV340">
        <v>0.108</v>
      </c>
      <c r="BW340">
        <v>0.17399999999999999</v>
      </c>
      <c r="BX340">
        <v>63</v>
      </c>
      <c r="BY340">
        <v>4.5199999999999996</v>
      </c>
      <c r="BZ340">
        <v>730</v>
      </c>
      <c r="CA340">
        <v>1326</v>
      </c>
      <c r="CB340">
        <v>2056</v>
      </c>
      <c r="CC340">
        <v>0.42899999999999999</v>
      </c>
      <c r="CD340">
        <v>0.34499999999999997</v>
      </c>
      <c r="CE340">
        <v>0.22500000000000001</v>
      </c>
      <c r="CF340">
        <v>0.156</v>
      </c>
      <c r="CG340">
        <v>0.36499999999999999</v>
      </c>
      <c r="CH340">
        <v>0.48</v>
      </c>
      <c r="CI340" cm="1">
        <f t="array" ref="CI340:CS340">VLOOKUP(A340,verticalmove_pitchers_2019!A:N,{3,4,5,6,7,8,9,10,11,12,13},FALSE)</f>
        <v>125.1</v>
      </c>
      <c r="CJ340">
        <v>6.5</v>
      </c>
      <c r="CK340">
        <v>0</v>
      </c>
      <c r="CL340">
        <v>0</v>
      </c>
      <c r="CM340">
        <v>7.8</v>
      </c>
      <c r="CN340">
        <v>3.6</v>
      </c>
      <c r="CO340">
        <v>-1.6</v>
      </c>
      <c r="CP340">
        <v>0</v>
      </c>
      <c r="CQ340">
        <v>0</v>
      </c>
      <c r="CR340">
        <v>0</v>
      </c>
      <c r="CS340">
        <v>0</v>
      </c>
      <c r="CT340" cm="1">
        <f t="array" ref="CT340:DD340">VLOOKUP(A340,velocity_pitchers_2019!A:N,{3,4,5,6,7,8,9,10,11,12,13},FALSE)</f>
        <v>125.1</v>
      </c>
      <c r="CU340">
        <v>92.7</v>
      </c>
      <c r="CV340">
        <v>0</v>
      </c>
      <c r="CW340">
        <v>0</v>
      </c>
      <c r="CX340">
        <v>92.8</v>
      </c>
      <c r="CY340">
        <v>87.7</v>
      </c>
      <c r="CZ340">
        <v>84.1</v>
      </c>
      <c r="DA340">
        <v>0</v>
      </c>
      <c r="DB340">
        <v>0</v>
      </c>
      <c r="DC340">
        <v>0</v>
      </c>
      <c r="DD340">
        <v>0</v>
      </c>
    </row>
    <row r="341" spans="1:108" x14ac:dyDescent="0.3">
      <c r="A341" t="s">
        <v>370</v>
      </c>
      <c r="B341" t="str" cm="1">
        <f t="array" ref="B341:Y341">VLOOKUP(A341,standard_pitchers_2019!A:Y,{2,3,4,5,6,7,8,9,10,11,12,13,14,15,16,17,18,19,20,21,22,23,24,25},FALSE)</f>
        <v>- - -</v>
      </c>
      <c r="C341">
        <v>3</v>
      </c>
      <c r="D341">
        <v>12</v>
      </c>
      <c r="E341">
        <v>6.01</v>
      </c>
      <c r="F341">
        <v>25</v>
      </c>
      <c r="G341">
        <v>24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103.1</v>
      </c>
      <c r="N341">
        <v>470</v>
      </c>
      <c r="O341">
        <v>115</v>
      </c>
      <c r="P341">
        <v>73</v>
      </c>
      <c r="Q341">
        <v>69</v>
      </c>
      <c r="R341">
        <v>25</v>
      </c>
      <c r="S341">
        <v>46</v>
      </c>
      <c r="T341">
        <v>1</v>
      </c>
      <c r="U341">
        <v>5</v>
      </c>
      <c r="V341">
        <v>3</v>
      </c>
      <c r="W341">
        <v>0</v>
      </c>
      <c r="X341">
        <v>101</v>
      </c>
      <c r="Y341">
        <v>2608</v>
      </c>
      <c r="Z341" cm="1">
        <f t="array" ref="Z341:AR341">VLOOKUP(A341,advanced_pitchers_2019!A:Y,{3,4,5,6,7,8,9,10,11,12,13,14,15,16,17,18,19,20,21},FALSE)</f>
        <v>8.8000000000000007</v>
      </c>
      <c r="AA341">
        <v>4.01</v>
      </c>
      <c r="AB341">
        <v>2.2000000000000002</v>
      </c>
      <c r="AC341">
        <v>2.1800000000000002</v>
      </c>
      <c r="AD341">
        <v>0.215</v>
      </c>
      <c r="AE341">
        <v>9.8000000000000004E-2</v>
      </c>
      <c r="AF341">
        <v>0.11700000000000001</v>
      </c>
      <c r="AG341">
        <v>0.27400000000000002</v>
      </c>
      <c r="AH341">
        <v>1.56</v>
      </c>
      <c r="AI341">
        <v>0.307</v>
      </c>
      <c r="AJ341">
        <v>0.71</v>
      </c>
      <c r="AK341">
        <v>134</v>
      </c>
      <c r="AL341">
        <v>131</v>
      </c>
      <c r="AM341">
        <v>113</v>
      </c>
      <c r="AN341">
        <v>6.01</v>
      </c>
      <c r="AO341">
        <v>5.88</v>
      </c>
      <c r="AP341">
        <v>0.12</v>
      </c>
      <c r="AQ341">
        <v>5.03</v>
      </c>
      <c r="AR341">
        <v>4.9400000000000004</v>
      </c>
      <c r="AS341" cm="1">
        <f t="array" ref="AS341:BA341">VLOOKUP(A341,plate_discipline_pitchers_2019!A:L,{3,4,5,6,7,8,9,10,11},FALSE)</f>
        <v>0.255</v>
      </c>
      <c r="AT341">
        <v>0.65700000000000003</v>
      </c>
      <c r="AU341">
        <v>0.42399999999999999</v>
      </c>
      <c r="AV341">
        <v>0.69799999999999995</v>
      </c>
      <c r="AW341">
        <v>0.86899999999999999</v>
      </c>
      <c r="AX341">
        <v>0.80900000000000005</v>
      </c>
      <c r="AY341">
        <v>0.42</v>
      </c>
      <c r="AZ341">
        <v>0.57399999999999995</v>
      </c>
      <c r="BA341">
        <v>8.1000000000000003E-2</v>
      </c>
      <c r="BB341" cm="1">
        <f t="array" ref="BB341:BP341">VLOOKUP(A341,pitchvalue_pitchers_2019!A:Q,{3,4,5,6,7,8,9,10,11,12,13,14,15,16,17},FALSE)</f>
        <v>-27.3</v>
      </c>
      <c r="BC341">
        <v>8.6999999999999993</v>
      </c>
      <c r="BD341">
        <v>-0.3</v>
      </c>
      <c r="BE341">
        <v>0.1</v>
      </c>
      <c r="BF341">
        <v>1.4</v>
      </c>
      <c r="BG341">
        <v>-1.3</v>
      </c>
      <c r="BH341">
        <v>0</v>
      </c>
      <c r="BI341">
        <v>-3.21</v>
      </c>
      <c r="BJ341">
        <v>0.9</v>
      </c>
      <c r="BK341">
        <v>-2.14</v>
      </c>
      <c r="BL341">
        <v>1.6</v>
      </c>
      <c r="BM341">
        <v>1.83</v>
      </c>
      <c r="BN341">
        <v>-4.08</v>
      </c>
      <c r="BO341">
        <v>0</v>
      </c>
      <c r="BP341">
        <v>2608</v>
      </c>
      <c r="BQ341" cm="1">
        <f t="array" ref="BQ341:CH341">VLOOKUP(A341,battedball_pitchers_2019!A:U,{3,4,5,6,7,8,9,10,11,12,13,14,15,16,17,18,19,20},FALSE)</f>
        <v>0.307</v>
      </c>
      <c r="BR341">
        <v>0.98</v>
      </c>
      <c r="BS341">
        <v>0.24399999999999999</v>
      </c>
      <c r="BT341">
        <v>0.375</v>
      </c>
      <c r="BU341">
        <v>0.38100000000000001</v>
      </c>
      <c r="BV341">
        <v>0.17599999999999999</v>
      </c>
      <c r="BW341">
        <v>0.21</v>
      </c>
      <c r="BX341">
        <v>43</v>
      </c>
      <c r="BY341">
        <v>3.75</v>
      </c>
      <c r="BZ341">
        <v>751</v>
      </c>
      <c r="CA341">
        <v>1194</v>
      </c>
      <c r="CB341">
        <v>1945</v>
      </c>
      <c r="CC341">
        <v>0.47199999999999998</v>
      </c>
      <c r="CD341">
        <v>0.30499999999999999</v>
      </c>
      <c r="CE341">
        <v>0.223</v>
      </c>
      <c r="CF341">
        <v>0.16700000000000001</v>
      </c>
      <c r="CG341">
        <v>0.36499999999999999</v>
      </c>
      <c r="CH341">
        <v>0.46899999999999997</v>
      </c>
      <c r="CI341" cm="1">
        <f t="array" ref="CI341:CS341">VLOOKUP(A341,verticalmove_pitchers_2019!A:N,{3,4,5,6,7,8,9,10,11,12,13},FALSE)</f>
        <v>103.1</v>
      </c>
      <c r="CJ341">
        <v>7.6</v>
      </c>
      <c r="CK341">
        <v>4.3</v>
      </c>
      <c r="CL341">
        <v>2.5</v>
      </c>
      <c r="CM341">
        <v>4.0999999999999996</v>
      </c>
      <c r="CN341">
        <v>5.4</v>
      </c>
      <c r="CO341">
        <v>1.3</v>
      </c>
      <c r="CP341">
        <v>-3.9</v>
      </c>
      <c r="CQ341">
        <v>0</v>
      </c>
      <c r="CR341">
        <v>0</v>
      </c>
      <c r="CS341">
        <v>0</v>
      </c>
      <c r="CT341" cm="1">
        <f t="array" ref="CT341:DD341">VLOOKUP(A341,velocity_pitchers_2019!A:N,{3,4,5,6,7,8,9,10,11,12,13},FALSE)</f>
        <v>103.1</v>
      </c>
      <c r="CU341">
        <v>90.3</v>
      </c>
      <c r="CV341">
        <v>87.4</v>
      </c>
      <c r="CW341">
        <v>83.1</v>
      </c>
      <c r="CX341">
        <v>90.1</v>
      </c>
      <c r="CY341">
        <v>90.5</v>
      </c>
      <c r="CZ341">
        <v>80</v>
      </c>
      <c r="DA341">
        <v>77.099999999999994</v>
      </c>
      <c r="DB341">
        <v>0</v>
      </c>
      <c r="DC341">
        <v>0</v>
      </c>
      <c r="DD341">
        <v>0</v>
      </c>
    </row>
    <row r="342" spans="1:108" x14ac:dyDescent="0.3">
      <c r="A342" t="s">
        <v>27</v>
      </c>
      <c r="B342" t="str" cm="1">
        <f t="array" ref="B342:Y342">VLOOKUP(A342,standard_pitchers_2019!A:Y,{2,3,4,5,6,7,8,9,10,11,12,13,14,15,16,17,18,19,20,21,22,23,24,25},FALSE)</f>
        <v>Astros</v>
      </c>
      <c r="C342">
        <v>4</v>
      </c>
      <c r="D342">
        <v>1</v>
      </c>
      <c r="E342">
        <v>1.5</v>
      </c>
      <c r="F342">
        <v>68</v>
      </c>
      <c r="G342">
        <v>0</v>
      </c>
      <c r="H342">
        <v>0</v>
      </c>
      <c r="I342">
        <v>0</v>
      </c>
      <c r="J342">
        <v>4</v>
      </c>
      <c r="K342">
        <v>26</v>
      </c>
      <c r="L342">
        <v>1</v>
      </c>
      <c r="M342">
        <v>60</v>
      </c>
      <c r="N342">
        <v>229</v>
      </c>
      <c r="O342">
        <v>42</v>
      </c>
      <c r="P342">
        <v>14</v>
      </c>
      <c r="Q342">
        <v>10</v>
      </c>
      <c r="R342">
        <v>6</v>
      </c>
      <c r="S342">
        <v>14</v>
      </c>
      <c r="T342">
        <v>0</v>
      </c>
      <c r="U342">
        <v>0</v>
      </c>
      <c r="V342">
        <v>3</v>
      </c>
      <c r="W342">
        <v>0</v>
      </c>
      <c r="X342">
        <v>62</v>
      </c>
      <c r="Y342">
        <v>3192</v>
      </c>
      <c r="Z342" cm="1">
        <f t="array" ref="Z342:AR342">VLOOKUP(A342,advanced_pitchers_2019!A:Y,{3,4,5,6,7,8,9,10,11,12,13,14,15,16,17,18,19,20,21},FALSE)</f>
        <v>9.3000000000000007</v>
      </c>
      <c r="AA342">
        <v>2.1</v>
      </c>
      <c r="AB342">
        <v>4.43</v>
      </c>
      <c r="AC342">
        <v>0.9</v>
      </c>
      <c r="AD342">
        <v>0.27100000000000002</v>
      </c>
      <c r="AE342">
        <v>6.0999999999999999E-2</v>
      </c>
      <c r="AF342">
        <v>0.21</v>
      </c>
      <c r="AG342">
        <v>0.19500000000000001</v>
      </c>
      <c r="AH342">
        <v>0.93</v>
      </c>
      <c r="AI342">
        <v>0.245</v>
      </c>
      <c r="AJ342">
        <v>0.88200000000000001</v>
      </c>
      <c r="AK342">
        <v>34</v>
      </c>
      <c r="AL342">
        <v>70</v>
      </c>
      <c r="AM342">
        <v>67</v>
      </c>
      <c r="AN342">
        <v>1.5</v>
      </c>
      <c r="AO342">
        <v>3.15</v>
      </c>
      <c r="AP342">
        <v>-1.65</v>
      </c>
      <c r="AQ342">
        <v>3.04</v>
      </c>
      <c r="AR342">
        <v>3.18</v>
      </c>
      <c r="AS342" cm="1">
        <f t="array" ref="AS342:BA342">VLOOKUP(A342,plate_discipline_pitchers_2019!A:L,{3,4,5,6,7,8,9,10,11},FALSE)</f>
        <v>0.29299999999999998</v>
      </c>
      <c r="AT342">
        <v>0.61199999999999999</v>
      </c>
      <c r="AU342">
        <v>0.42099999999999999</v>
      </c>
      <c r="AV342">
        <v>0.52400000000000002</v>
      </c>
      <c r="AW342">
        <v>0.84299999999999997</v>
      </c>
      <c r="AX342">
        <v>0.71099999999999997</v>
      </c>
      <c r="AY342">
        <v>0.40200000000000002</v>
      </c>
      <c r="AZ342">
        <v>0.61599999999999999</v>
      </c>
      <c r="BA342">
        <v>0.122</v>
      </c>
      <c r="BB342" cm="1">
        <f t="array" ref="BB342:BP342">VLOOKUP(A342,pitchvalue_pitchers_2019!A:Q,{3,4,5,6,7,8,9,10,11,12,13,14,15,16,17},FALSE)</f>
        <v>0</v>
      </c>
      <c r="BC342">
        <v>0</v>
      </c>
      <c r="BD342">
        <v>10.9</v>
      </c>
      <c r="BE342">
        <v>7.3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2.0099999999999998</v>
      </c>
      <c r="BL342">
        <v>1.85</v>
      </c>
      <c r="BM342">
        <v>0</v>
      </c>
      <c r="BN342">
        <v>0</v>
      </c>
      <c r="BO342">
        <v>0</v>
      </c>
      <c r="BP342">
        <v>3192</v>
      </c>
      <c r="BQ342" cm="1">
        <f t="array" ref="BQ342:CH342">VLOOKUP(A342,battedball_pitchers_2019!A:U,{3,4,5,6,7,8,9,10,11,12,13,14,15,16,17,18,19,20},FALSE)</f>
        <v>0.245</v>
      </c>
      <c r="BR342">
        <v>2.31</v>
      </c>
      <c r="BS342">
        <v>0.217</v>
      </c>
      <c r="BT342">
        <v>0.54600000000000004</v>
      </c>
      <c r="BU342">
        <v>0.23699999999999999</v>
      </c>
      <c r="BV342">
        <v>5.6000000000000001E-2</v>
      </c>
      <c r="BW342">
        <v>0.16700000000000001</v>
      </c>
      <c r="BX342">
        <v>39</v>
      </c>
      <c r="BY342">
        <v>5.85</v>
      </c>
      <c r="BZ342">
        <v>352</v>
      </c>
      <c r="CA342">
        <v>583</v>
      </c>
      <c r="CB342">
        <v>935</v>
      </c>
      <c r="CC342">
        <v>0.41199999999999998</v>
      </c>
      <c r="CD342">
        <v>0.32</v>
      </c>
      <c r="CE342">
        <v>0.26800000000000002</v>
      </c>
      <c r="CF342">
        <v>0.17599999999999999</v>
      </c>
      <c r="CG342">
        <v>0.41199999999999998</v>
      </c>
      <c r="CH342">
        <v>0.41199999999999998</v>
      </c>
      <c r="CI342" cm="1">
        <f t="array" ref="CI342:CS342">VLOOKUP(A342,verticalmove_pitchers_2019!A:N,{3,4,5,6,7,8,9,10,11,12,13},FALSE)</f>
        <v>60</v>
      </c>
      <c r="CJ342">
        <v>0</v>
      </c>
      <c r="CK342">
        <v>5.6</v>
      </c>
      <c r="CL342">
        <v>0</v>
      </c>
      <c r="CM342">
        <v>0</v>
      </c>
      <c r="CN342">
        <v>0</v>
      </c>
      <c r="CO342">
        <v>0</v>
      </c>
      <c r="CP342">
        <v>-9.4</v>
      </c>
      <c r="CQ342">
        <v>0</v>
      </c>
      <c r="CR342">
        <v>0</v>
      </c>
      <c r="CS342">
        <v>0</v>
      </c>
      <c r="CT342" cm="1">
        <f t="array" ref="CT342:DD342">VLOOKUP(A342,velocity_pitchers_2019!A:N,{3,4,5,6,7,8,9,10,11,12,13},FALSE)</f>
        <v>60</v>
      </c>
      <c r="CU342">
        <v>0</v>
      </c>
      <c r="CV342">
        <v>91.5</v>
      </c>
      <c r="CW342">
        <v>0</v>
      </c>
      <c r="CX342">
        <v>0</v>
      </c>
      <c r="CY342">
        <v>0</v>
      </c>
      <c r="CZ342">
        <v>0</v>
      </c>
      <c r="DA342">
        <v>81.5</v>
      </c>
      <c r="DB342">
        <v>0</v>
      </c>
      <c r="DC342">
        <v>0</v>
      </c>
      <c r="DD342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342"/>
  <sheetViews>
    <sheetView workbookViewId="0">
      <selection sqref="A1:A1048576"/>
    </sheetView>
  </sheetViews>
  <sheetFormatPr defaultRowHeight="14.4" x14ac:dyDescent="0.3"/>
  <sheetData>
    <row r="1" spans="1:14" x14ac:dyDescent="0.3">
      <c r="A1" t="s">
        <v>0</v>
      </c>
      <c r="B1" t="s">
        <v>1</v>
      </c>
      <c r="C1" t="s">
        <v>12</v>
      </c>
      <c r="D1" t="s">
        <v>464</v>
      </c>
      <c r="E1" t="s">
        <v>463</v>
      </c>
      <c r="F1" t="s">
        <v>462</v>
      </c>
      <c r="G1" t="s">
        <v>461</v>
      </c>
      <c r="H1" t="s">
        <v>460</v>
      </c>
      <c r="I1" t="s">
        <v>459</v>
      </c>
      <c r="J1" t="s">
        <v>458</v>
      </c>
      <c r="K1" t="s">
        <v>457</v>
      </c>
      <c r="L1" t="s">
        <v>456</v>
      </c>
      <c r="M1" t="s">
        <v>455</v>
      </c>
      <c r="N1" t="s">
        <v>24</v>
      </c>
    </row>
    <row r="2" spans="1:14" x14ac:dyDescent="0.3">
      <c r="A2" t="s">
        <v>282</v>
      </c>
      <c r="B2" t="s">
        <v>32</v>
      </c>
      <c r="C2">
        <v>51.2</v>
      </c>
      <c r="D2">
        <v>11.4</v>
      </c>
      <c r="F2">
        <v>5.7</v>
      </c>
      <c r="I2">
        <v>1.1000000000000001</v>
      </c>
      <c r="J2">
        <v>12.4</v>
      </c>
      <c r="N2">
        <v>19403</v>
      </c>
    </row>
    <row r="3" spans="1:14" x14ac:dyDescent="0.3">
      <c r="A3" t="s">
        <v>68</v>
      </c>
      <c r="B3" t="s">
        <v>28</v>
      </c>
      <c r="C3">
        <v>223</v>
      </c>
      <c r="D3">
        <v>10.9</v>
      </c>
      <c r="G3">
        <v>8.3000000000000007</v>
      </c>
      <c r="H3">
        <v>4.9000000000000004</v>
      </c>
      <c r="I3">
        <v>2.6</v>
      </c>
      <c r="J3">
        <v>-8</v>
      </c>
      <c r="N3">
        <v>8700</v>
      </c>
    </row>
    <row r="4" spans="1:14" x14ac:dyDescent="0.3">
      <c r="A4" t="s">
        <v>119</v>
      </c>
      <c r="B4" t="s">
        <v>48</v>
      </c>
      <c r="C4">
        <v>65</v>
      </c>
      <c r="D4">
        <v>10.7</v>
      </c>
      <c r="I4">
        <v>-2.1</v>
      </c>
      <c r="N4">
        <v>18337</v>
      </c>
    </row>
    <row r="5" spans="1:14" x14ac:dyDescent="0.3">
      <c r="A5" t="s">
        <v>202</v>
      </c>
      <c r="B5" t="s">
        <v>93</v>
      </c>
      <c r="C5">
        <v>60</v>
      </c>
      <c r="D5">
        <v>10.7</v>
      </c>
      <c r="H5">
        <v>8.4</v>
      </c>
      <c r="I5">
        <v>0.9</v>
      </c>
      <c r="N5">
        <v>1581</v>
      </c>
    </row>
    <row r="6" spans="1:14" x14ac:dyDescent="0.3">
      <c r="A6" t="s">
        <v>90</v>
      </c>
      <c r="B6" t="s">
        <v>56</v>
      </c>
      <c r="C6">
        <v>62</v>
      </c>
      <c r="D6">
        <v>10.7</v>
      </c>
      <c r="F6">
        <v>-1.6</v>
      </c>
      <c r="G6">
        <v>8</v>
      </c>
      <c r="H6">
        <v>8.1999999999999993</v>
      </c>
      <c r="I6">
        <v>1.8</v>
      </c>
      <c r="J6">
        <v>-8.4</v>
      </c>
      <c r="N6">
        <v>5640</v>
      </c>
    </row>
    <row r="7" spans="1:14" x14ac:dyDescent="0.3">
      <c r="A7" t="s">
        <v>145</v>
      </c>
      <c r="B7" t="s">
        <v>146</v>
      </c>
      <c r="C7">
        <v>155</v>
      </c>
      <c r="D7">
        <v>10.6</v>
      </c>
      <c r="G7">
        <v>9.6999999999999993</v>
      </c>
      <c r="H7">
        <v>9.4</v>
      </c>
      <c r="I7">
        <v>2.7</v>
      </c>
      <c r="J7">
        <v>-3.5</v>
      </c>
      <c r="L7">
        <v>2.2000000000000002</v>
      </c>
      <c r="N7">
        <v>16269</v>
      </c>
    </row>
    <row r="8" spans="1:14" x14ac:dyDescent="0.3">
      <c r="A8" t="s">
        <v>228</v>
      </c>
      <c r="B8" t="s">
        <v>32</v>
      </c>
      <c r="C8">
        <v>107</v>
      </c>
      <c r="D8">
        <v>10.3</v>
      </c>
      <c r="H8">
        <v>5.4</v>
      </c>
      <c r="I8">
        <v>1.7</v>
      </c>
      <c r="J8">
        <v>-5.6</v>
      </c>
      <c r="N8">
        <v>13543</v>
      </c>
    </row>
    <row r="9" spans="1:14" x14ac:dyDescent="0.3">
      <c r="A9" t="s">
        <v>103</v>
      </c>
      <c r="B9" t="s">
        <v>53</v>
      </c>
      <c r="C9">
        <v>178.1</v>
      </c>
      <c r="D9">
        <v>10.3</v>
      </c>
      <c r="G9">
        <v>9.4</v>
      </c>
      <c r="H9">
        <v>9.1999999999999993</v>
      </c>
      <c r="I9">
        <v>3.9</v>
      </c>
      <c r="J9">
        <v>-10.4</v>
      </c>
      <c r="N9">
        <v>2036</v>
      </c>
    </row>
    <row r="10" spans="1:14" x14ac:dyDescent="0.3">
      <c r="A10" t="s">
        <v>299</v>
      </c>
      <c r="B10" t="s">
        <v>48</v>
      </c>
      <c r="C10">
        <v>104</v>
      </c>
      <c r="D10">
        <v>10.3</v>
      </c>
      <c r="E10">
        <v>6.5</v>
      </c>
      <c r="G10">
        <v>8</v>
      </c>
      <c r="H10">
        <v>7</v>
      </c>
      <c r="J10">
        <v>-9</v>
      </c>
      <c r="N10">
        <v>11426</v>
      </c>
    </row>
    <row r="11" spans="1:14" x14ac:dyDescent="0.3">
      <c r="A11" t="s">
        <v>33</v>
      </c>
      <c r="B11" t="s">
        <v>34</v>
      </c>
      <c r="C11">
        <v>85</v>
      </c>
      <c r="D11">
        <v>10.199999999999999</v>
      </c>
      <c r="G11">
        <v>8.8000000000000007</v>
      </c>
      <c r="H11">
        <v>7.9</v>
      </c>
      <c r="I11">
        <v>2.2000000000000002</v>
      </c>
      <c r="J11">
        <v>-6.6</v>
      </c>
      <c r="N11">
        <v>3548</v>
      </c>
    </row>
    <row r="12" spans="1:14" x14ac:dyDescent="0.3">
      <c r="A12" t="s">
        <v>139</v>
      </c>
      <c r="B12" t="s">
        <v>71</v>
      </c>
      <c r="C12">
        <v>83.2</v>
      </c>
      <c r="D12">
        <v>10.199999999999999</v>
      </c>
      <c r="F12">
        <v>5.3</v>
      </c>
      <c r="G12">
        <v>7.4</v>
      </c>
      <c r="I12">
        <v>-2</v>
      </c>
      <c r="J12">
        <v>-5.3</v>
      </c>
      <c r="N12">
        <v>5702</v>
      </c>
    </row>
    <row r="13" spans="1:14" x14ac:dyDescent="0.3">
      <c r="A13" t="s">
        <v>129</v>
      </c>
      <c r="B13" t="s">
        <v>43</v>
      </c>
      <c r="C13">
        <v>176.2</v>
      </c>
      <c r="D13">
        <v>10.199999999999999</v>
      </c>
      <c r="G13">
        <v>9.4</v>
      </c>
      <c r="H13">
        <v>6.5</v>
      </c>
      <c r="I13">
        <v>2.8</v>
      </c>
      <c r="J13">
        <v>-9.4</v>
      </c>
      <c r="N13">
        <v>15474</v>
      </c>
    </row>
    <row r="14" spans="1:14" x14ac:dyDescent="0.3">
      <c r="A14" t="s">
        <v>376</v>
      </c>
      <c r="B14" t="s">
        <v>48</v>
      </c>
      <c r="C14">
        <v>114</v>
      </c>
      <c r="D14">
        <v>10.199999999999999</v>
      </c>
      <c r="E14">
        <v>5.3</v>
      </c>
      <c r="H14">
        <v>7.2</v>
      </c>
      <c r="J14">
        <v>-1.9</v>
      </c>
      <c r="N14">
        <v>11760</v>
      </c>
    </row>
    <row r="15" spans="1:14" x14ac:dyDescent="0.3">
      <c r="A15" t="s">
        <v>357</v>
      </c>
      <c r="B15" t="s">
        <v>193</v>
      </c>
      <c r="C15">
        <v>58</v>
      </c>
      <c r="D15">
        <v>10.199999999999999</v>
      </c>
      <c r="H15">
        <v>6.1</v>
      </c>
      <c r="I15">
        <v>1.8</v>
      </c>
      <c r="N15">
        <v>16587</v>
      </c>
    </row>
    <row r="16" spans="1:14" x14ac:dyDescent="0.3">
      <c r="A16" t="s">
        <v>44</v>
      </c>
      <c r="B16" t="s">
        <v>40</v>
      </c>
      <c r="C16">
        <v>57</v>
      </c>
      <c r="D16">
        <v>10.1</v>
      </c>
      <c r="G16">
        <v>8.6</v>
      </c>
      <c r="H16">
        <v>5.4</v>
      </c>
      <c r="I16">
        <v>-0.1</v>
      </c>
      <c r="N16">
        <v>10233</v>
      </c>
    </row>
    <row r="17" spans="1:14" x14ac:dyDescent="0.3">
      <c r="A17" t="s">
        <v>120</v>
      </c>
      <c r="B17" t="s">
        <v>26</v>
      </c>
      <c r="C17">
        <v>140.19999999999999</v>
      </c>
      <c r="D17">
        <v>10.1</v>
      </c>
      <c r="G17">
        <v>4.7</v>
      </c>
      <c r="H17">
        <v>4.5</v>
      </c>
      <c r="I17">
        <v>9.3000000000000007</v>
      </c>
      <c r="J17">
        <v>-8.3000000000000007</v>
      </c>
      <c r="N17">
        <v>20099</v>
      </c>
    </row>
    <row r="18" spans="1:14" x14ac:dyDescent="0.3">
      <c r="A18" t="s">
        <v>292</v>
      </c>
      <c r="B18" t="s">
        <v>146</v>
      </c>
      <c r="C18">
        <v>161.19999999999999</v>
      </c>
      <c r="D18">
        <v>10.1</v>
      </c>
      <c r="G18">
        <v>7.6</v>
      </c>
      <c r="H18">
        <v>3.5</v>
      </c>
      <c r="I18">
        <v>-1.8</v>
      </c>
      <c r="J18">
        <v>-8.9</v>
      </c>
      <c r="N18">
        <v>12917</v>
      </c>
    </row>
    <row r="19" spans="1:14" x14ac:dyDescent="0.3">
      <c r="A19" t="s">
        <v>184</v>
      </c>
      <c r="B19" t="s">
        <v>34</v>
      </c>
      <c r="C19">
        <v>184.2</v>
      </c>
      <c r="D19">
        <v>10.1</v>
      </c>
      <c r="E19">
        <v>5.3</v>
      </c>
      <c r="G19">
        <v>7.1</v>
      </c>
      <c r="H19">
        <v>3</v>
      </c>
      <c r="I19">
        <v>2.2999999999999998</v>
      </c>
      <c r="J19">
        <v>-11.7</v>
      </c>
      <c r="N19">
        <v>7754</v>
      </c>
    </row>
    <row r="20" spans="1:14" x14ac:dyDescent="0.3">
      <c r="A20" t="s">
        <v>274</v>
      </c>
      <c r="B20" t="s">
        <v>48</v>
      </c>
      <c r="C20">
        <v>67.2</v>
      </c>
      <c r="D20">
        <v>10</v>
      </c>
      <c r="E20">
        <v>4.7</v>
      </c>
      <c r="G20">
        <v>10.6</v>
      </c>
      <c r="H20">
        <v>6.3</v>
      </c>
      <c r="I20">
        <v>1.3</v>
      </c>
      <c r="J20">
        <v>-5.3</v>
      </c>
      <c r="N20">
        <v>7407</v>
      </c>
    </row>
    <row r="21" spans="1:14" x14ac:dyDescent="0.3">
      <c r="A21" t="s">
        <v>51</v>
      </c>
      <c r="B21" t="s">
        <v>32</v>
      </c>
      <c r="C21">
        <v>70</v>
      </c>
      <c r="D21">
        <v>10</v>
      </c>
      <c r="I21">
        <v>1.4</v>
      </c>
      <c r="J21">
        <v>-8</v>
      </c>
      <c r="N21">
        <v>14771</v>
      </c>
    </row>
    <row r="22" spans="1:14" x14ac:dyDescent="0.3">
      <c r="A22" t="s">
        <v>295</v>
      </c>
      <c r="B22" t="s">
        <v>34</v>
      </c>
      <c r="C22">
        <v>59.2</v>
      </c>
      <c r="D22">
        <v>10</v>
      </c>
      <c r="E22">
        <v>2.1</v>
      </c>
      <c r="G22">
        <v>7.6</v>
      </c>
      <c r="H22">
        <v>4.5</v>
      </c>
      <c r="I22">
        <v>-1</v>
      </c>
      <c r="J22">
        <v>-11.9</v>
      </c>
      <c r="N22">
        <v>16980</v>
      </c>
    </row>
    <row r="23" spans="1:14" x14ac:dyDescent="0.3">
      <c r="A23" t="s">
        <v>301</v>
      </c>
      <c r="B23" t="s">
        <v>56</v>
      </c>
      <c r="C23">
        <v>109.1</v>
      </c>
      <c r="D23">
        <v>10</v>
      </c>
      <c r="H23">
        <v>6.3</v>
      </c>
      <c r="I23">
        <v>3.9</v>
      </c>
      <c r="J23">
        <v>-4.7</v>
      </c>
      <c r="N23">
        <v>15846</v>
      </c>
    </row>
    <row r="24" spans="1:14" x14ac:dyDescent="0.3">
      <c r="A24" t="s">
        <v>73</v>
      </c>
      <c r="B24" t="s">
        <v>28</v>
      </c>
      <c r="C24">
        <v>65</v>
      </c>
      <c r="D24">
        <v>10</v>
      </c>
      <c r="E24">
        <v>5.0999999999999996</v>
      </c>
      <c r="G24">
        <v>8.6999999999999993</v>
      </c>
      <c r="H24">
        <v>6.1</v>
      </c>
      <c r="I24">
        <v>1.1000000000000001</v>
      </c>
      <c r="N24">
        <v>13764</v>
      </c>
    </row>
    <row r="25" spans="1:14" x14ac:dyDescent="0.3">
      <c r="A25" t="s">
        <v>252</v>
      </c>
      <c r="B25" t="s">
        <v>48</v>
      </c>
      <c r="C25">
        <v>84.1</v>
      </c>
      <c r="D25">
        <v>9.9</v>
      </c>
      <c r="G25">
        <v>8.1999999999999993</v>
      </c>
      <c r="H25">
        <v>4.3</v>
      </c>
      <c r="I25">
        <v>0.5</v>
      </c>
      <c r="J25">
        <v>-8.1999999999999993</v>
      </c>
      <c r="N25">
        <v>5257</v>
      </c>
    </row>
    <row r="26" spans="1:14" x14ac:dyDescent="0.3">
      <c r="A26" t="s">
        <v>234</v>
      </c>
      <c r="B26" t="s">
        <v>98</v>
      </c>
      <c r="C26">
        <v>174.1</v>
      </c>
      <c r="D26">
        <v>9.9</v>
      </c>
      <c r="F26">
        <v>8.6</v>
      </c>
      <c r="G26">
        <v>7.3</v>
      </c>
      <c r="I26">
        <v>1.7</v>
      </c>
      <c r="J26">
        <v>-3.3</v>
      </c>
      <c r="N26">
        <v>11486</v>
      </c>
    </row>
    <row r="27" spans="1:14" x14ac:dyDescent="0.3">
      <c r="A27" t="s">
        <v>144</v>
      </c>
      <c r="B27" t="s">
        <v>50</v>
      </c>
      <c r="C27">
        <v>72.2</v>
      </c>
      <c r="D27">
        <v>9.9</v>
      </c>
      <c r="H27">
        <v>4.5999999999999996</v>
      </c>
      <c r="I27">
        <v>1.4</v>
      </c>
      <c r="N27">
        <v>12777</v>
      </c>
    </row>
    <row r="28" spans="1:14" x14ac:dyDescent="0.3">
      <c r="A28" t="s">
        <v>195</v>
      </c>
      <c r="B28" t="s">
        <v>30</v>
      </c>
      <c r="C28">
        <v>56.1</v>
      </c>
      <c r="D28">
        <v>9.9</v>
      </c>
      <c r="G28">
        <v>1.3</v>
      </c>
      <c r="H28">
        <v>7.6</v>
      </c>
      <c r="I28">
        <v>1.4</v>
      </c>
      <c r="N28">
        <v>11903</v>
      </c>
    </row>
    <row r="29" spans="1:14" x14ac:dyDescent="0.3">
      <c r="A29" t="s">
        <v>105</v>
      </c>
      <c r="B29" t="s">
        <v>53</v>
      </c>
      <c r="C29">
        <v>69.2</v>
      </c>
      <c r="D29">
        <v>9.9</v>
      </c>
      <c r="H29">
        <v>8</v>
      </c>
      <c r="I29">
        <v>1.9</v>
      </c>
      <c r="J29">
        <v>0.6</v>
      </c>
      <c r="N29">
        <v>5420</v>
      </c>
    </row>
    <row r="30" spans="1:14" x14ac:dyDescent="0.3">
      <c r="A30" t="s">
        <v>67</v>
      </c>
      <c r="B30" t="s">
        <v>28</v>
      </c>
      <c r="C30">
        <v>212.1</v>
      </c>
      <c r="D30">
        <v>9.9</v>
      </c>
      <c r="G30">
        <v>7.4</v>
      </c>
      <c r="H30">
        <v>6</v>
      </c>
      <c r="I30">
        <v>1</v>
      </c>
      <c r="J30">
        <v>-9.1</v>
      </c>
      <c r="N30">
        <v>13125</v>
      </c>
    </row>
    <row r="31" spans="1:14" x14ac:dyDescent="0.3">
      <c r="A31" t="s">
        <v>107</v>
      </c>
      <c r="B31" t="s">
        <v>32</v>
      </c>
      <c r="C31">
        <v>56</v>
      </c>
      <c r="D31">
        <v>9.8000000000000007</v>
      </c>
      <c r="F31">
        <v>1.2</v>
      </c>
      <c r="I31">
        <v>1.6</v>
      </c>
      <c r="J31">
        <v>-0.4</v>
      </c>
      <c r="N31">
        <v>8823</v>
      </c>
    </row>
    <row r="32" spans="1:14" x14ac:dyDescent="0.3">
      <c r="A32" t="s">
        <v>354</v>
      </c>
      <c r="B32" t="s">
        <v>95</v>
      </c>
      <c r="C32">
        <v>58.1</v>
      </c>
      <c r="D32">
        <v>9.8000000000000007</v>
      </c>
      <c r="G32">
        <v>7.3</v>
      </c>
      <c r="I32">
        <v>3</v>
      </c>
      <c r="J32">
        <v>-7</v>
      </c>
      <c r="N32">
        <v>12664</v>
      </c>
    </row>
    <row r="33" spans="1:14" x14ac:dyDescent="0.3">
      <c r="A33" t="s">
        <v>59</v>
      </c>
      <c r="B33" t="s">
        <v>53</v>
      </c>
      <c r="C33">
        <v>58.2</v>
      </c>
      <c r="D33">
        <v>9.8000000000000007</v>
      </c>
      <c r="E33">
        <v>3.5</v>
      </c>
      <c r="G33">
        <v>4.8</v>
      </c>
      <c r="H33">
        <v>4</v>
      </c>
      <c r="J33">
        <v>-9.3000000000000007</v>
      </c>
      <c r="K33">
        <v>-9.5</v>
      </c>
      <c r="N33">
        <v>4806</v>
      </c>
    </row>
    <row r="34" spans="1:14" x14ac:dyDescent="0.3">
      <c r="A34" t="s">
        <v>322</v>
      </c>
      <c r="B34" t="s">
        <v>30</v>
      </c>
      <c r="C34">
        <v>119.2</v>
      </c>
      <c r="D34">
        <v>9.8000000000000007</v>
      </c>
      <c r="G34">
        <v>8.6</v>
      </c>
      <c r="H34">
        <v>4.0999999999999996</v>
      </c>
      <c r="I34">
        <v>0.7</v>
      </c>
      <c r="J34">
        <v>-4.4000000000000004</v>
      </c>
      <c r="N34">
        <v>6345</v>
      </c>
    </row>
    <row r="35" spans="1:14" x14ac:dyDescent="0.3">
      <c r="A35" t="s">
        <v>84</v>
      </c>
      <c r="B35" t="s">
        <v>43</v>
      </c>
      <c r="C35">
        <v>61</v>
      </c>
      <c r="D35">
        <v>9.8000000000000007</v>
      </c>
      <c r="E35">
        <v>3.9</v>
      </c>
      <c r="N35">
        <v>6661</v>
      </c>
    </row>
    <row r="36" spans="1:14" x14ac:dyDescent="0.3">
      <c r="A36" t="s">
        <v>114</v>
      </c>
      <c r="B36" t="s">
        <v>56</v>
      </c>
      <c r="C36">
        <v>214.1</v>
      </c>
      <c r="D36">
        <v>9.8000000000000007</v>
      </c>
      <c r="G36">
        <v>8.1999999999999993</v>
      </c>
      <c r="H36">
        <v>3.5</v>
      </c>
      <c r="I36">
        <v>1.1000000000000001</v>
      </c>
      <c r="J36">
        <v>-6.6</v>
      </c>
      <c r="N36">
        <v>19427</v>
      </c>
    </row>
    <row r="37" spans="1:14" x14ac:dyDescent="0.3">
      <c r="A37" t="s">
        <v>80</v>
      </c>
      <c r="B37" t="s">
        <v>56</v>
      </c>
      <c r="C37">
        <v>126</v>
      </c>
      <c r="D37">
        <v>9.6999999999999993</v>
      </c>
      <c r="H37">
        <v>5.9</v>
      </c>
      <c r="I37">
        <v>-1.7</v>
      </c>
      <c r="J37">
        <v>-8.3000000000000007</v>
      </c>
      <c r="N37">
        <v>12808</v>
      </c>
    </row>
    <row r="38" spans="1:14" x14ac:dyDescent="0.3">
      <c r="A38" t="s">
        <v>288</v>
      </c>
      <c r="B38" t="s">
        <v>193</v>
      </c>
      <c r="C38">
        <v>111.2</v>
      </c>
      <c r="D38">
        <v>9.6999999999999993</v>
      </c>
      <c r="F38">
        <v>10.1</v>
      </c>
      <c r="H38">
        <v>3.6</v>
      </c>
      <c r="I38">
        <v>-0.4</v>
      </c>
      <c r="J38">
        <v>-3</v>
      </c>
      <c r="N38">
        <v>7608</v>
      </c>
    </row>
    <row r="39" spans="1:14" x14ac:dyDescent="0.3">
      <c r="A39" t="s">
        <v>337</v>
      </c>
      <c r="B39" t="s">
        <v>95</v>
      </c>
      <c r="C39">
        <v>93.2</v>
      </c>
      <c r="D39">
        <v>9.6999999999999993</v>
      </c>
      <c r="E39">
        <v>3.6</v>
      </c>
      <c r="G39">
        <v>8.1</v>
      </c>
      <c r="H39">
        <v>4.9000000000000004</v>
      </c>
      <c r="I39">
        <v>-0.2</v>
      </c>
      <c r="J39">
        <v>-10.1</v>
      </c>
      <c r="N39">
        <v>15454</v>
      </c>
    </row>
    <row r="40" spans="1:14" x14ac:dyDescent="0.3">
      <c r="A40" t="s">
        <v>235</v>
      </c>
      <c r="B40" t="s">
        <v>127</v>
      </c>
      <c r="C40">
        <v>130.19999999999999</v>
      </c>
      <c r="D40">
        <v>9.6999999999999993</v>
      </c>
      <c r="G40">
        <v>7.9</v>
      </c>
      <c r="H40">
        <v>6</v>
      </c>
      <c r="I40">
        <v>0.2</v>
      </c>
      <c r="J40">
        <v>-9.9</v>
      </c>
      <c r="N40">
        <v>3542</v>
      </c>
    </row>
    <row r="41" spans="1:14" x14ac:dyDescent="0.3">
      <c r="A41" t="s">
        <v>112</v>
      </c>
      <c r="B41" t="s">
        <v>53</v>
      </c>
      <c r="C41">
        <v>182.1</v>
      </c>
      <c r="D41">
        <v>9.6999999999999993</v>
      </c>
      <c r="E41">
        <v>4.7</v>
      </c>
      <c r="G41">
        <v>7.1</v>
      </c>
      <c r="H41">
        <v>3.1</v>
      </c>
      <c r="I41">
        <v>-1.2</v>
      </c>
      <c r="J41">
        <v>-10</v>
      </c>
      <c r="N41">
        <v>19374</v>
      </c>
    </row>
    <row r="42" spans="1:14" x14ac:dyDescent="0.3">
      <c r="A42" t="s">
        <v>203</v>
      </c>
      <c r="B42" t="s">
        <v>48</v>
      </c>
      <c r="C42">
        <v>135.1</v>
      </c>
      <c r="D42">
        <v>9.6999999999999993</v>
      </c>
      <c r="F42">
        <v>4.8</v>
      </c>
      <c r="G42">
        <v>8.4</v>
      </c>
      <c r="H42">
        <v>3.9</v>
      </c>
      <c r="I42">
        <v>2.2999999999999998</v>
      </c>
      <c r="J42">
        <v>-4.9000000000000004</v>
      </c>
      <c r="N42">
        <v>19309</v>
      </c>
    </row>
    <row r="43" spans="1:14" x14ac:dyDescent="0.3">
      <c r="A43" t="s">
        <v>331</v>
      </c>
      <c r="B43" t="s">
        <v>26</v>
      </c>
      <c r="C43">
        <v>55.1</v>
      </c>
      <c r="D43">
        <v>9.6999999999999993</v>
      </c>
      <c r="E43">
        <v>4.9000000000000004</v>
      </c>
      <c r="G43">
        <v>6.8</v>
      </c>
      <c r="H43">
        <v>4.5999999999999996</v>
      </c>
      <c r="I43">
        <v>-1</v>
      </c>
      <c r="J43">
        <v>-10.8</v>
      </c>
      <c r="N43">
        <v>10354</v>
      </c>
    </row>
    <row r="44" spans="1:14" x14ac:dyDescent="0.3">
      <c r="A44" t="s">
        <v>49</v>
      </c>
      <c r="B44" t="s">
        <v>50</v>
      </c>
      <c r="C44">
        <v>74</v>
      </c>
      <c r="D44">
        <v>9.6999999999999993</v>
      </c>
      <c r="H44">
        <v>7</v>
      </c>
      <c r="I44">
        <v>-0.8</v>
      </c>
      <c r="N44">
        <v>14986</v>
      </c>
    </row>
    <row r="45" spans="1:14" x14ac:dyDescent="0.3">
      <c r="A45" t="s">
        <v>238</v>
      </c>
      <c r="B45" t="s">
        <v>159</v>
      </c>
      <c r="C45">
        <v>59.2</v>
      </c>
      <c r="D45">
        <v>9.6</v>
      </c>
      <c r="H45">
        <v>3.3</v>
      </c>
      <c r="I45">
        <v>1.6</v>
      </c>
      <c r="N45">
        <v>15761</v>
      </c>
    </row>
    <row r="46" spans="1:14" x14ac:dyDescent="0.3">
      <c r="A46" t="s">
        <v>176</v>
      </c>
      <c r="B46" t="s">
        <v>75</v>
      </c>
      <c r="C46">
        <v>72.2</v>
      </c>
      <c r="D46">
        <v>9.6</v>
      </c>
      <c r="H46">
        <v>8.5</v>
      </c>
      <c r="I46">
        <v>-4.5</v>
      </c>
      <c r="J46">
        <v>-8.4</v>
      </c>
      <c r="N46">
        <v>11752</v>
      </c>
    </row>
    <row r="47" spans="1:14" x14ac:dyDescent="0.3">
      <c r="A47" t="s">
        <v>70</v>
      </c>
      <c r="B47" t="s">
        <v>71</v>
      </c>
      <c r="C47">
        <v>75.2</v>
      </c>
      <c r="D47">
        <v>9.6</v>
      </c>
      <c r="H47">
        <v>3.4</v>
      </c>
      <c r="I47">
        <v>0.5</v>
      </c>
      <c r="N47">
        <v>14212</v>
      </c>
    </row>
    <row r="48" spans="1:14" x14ac:dyDescent="0.3">
      <c r="A48" t="s">
        <v>219</v>
      </c>
      <c r="B48" t="s">
        <v>40</v>
      </c>
      <c r="C48">
        <v>69</v>
      </c>
      <c r="D48">
        <v>9.6</v>
      </c>
      <c r="F48">
        <v>6.9</v>
      </c>
      <c r="I48">
        <v>0.8</v>
      </c>
      <c r="N48">
        <v>15552</v>
      </c>
    </row>
    <row r="49" spans="1:14" x14ac:dyDescent="0.3">
      <c r="A49" t="s">
        <v>186</v>
      </c>
      <c r="B49" t="s">
        <v>48</v>
      </c>
      <c r="C49">
        <v>50</v>
      </c>
      <c r="D49">
        <v>9.6</v>
      </c>
      <c r="G49">
        <v>7.4</v>
      </c>
      <c r="H49">
        <v>3.9</v>
      </c>
      <c r="I49">
        <v>5.8</v>
      </c>
      <c r="J49">
        <v>-8.1</v>
      </c>
      <c r="N49">
        <v>12673</v>
      </c>
    </row>
    <row r="50" spans="1:14" x14ac:dyDescent="0.3">
      <c r="A50" t="s">
        <v>37</v>
      </c>
      <c r="B50" t="s">
        <v>38</v>
      </c>
      <c r="C50">
        <v>71.2</v>
      </c>
      <c r="D50">
        <v>9.6</v>
      </c>
      <c r="E50">
        <v>1.2</v>
      </c>
      <c r="I50">
        <v>2.1</v>
      </c>
      <c r="J50">
        <v>-10.5</v>
      </c>
      <c r="N50">
        <v>11428</v>
      </c>
    </row>
    <row r="51" spans="1:14" x14ac:dyDescent="0.3">
      <c r="A51" t="s">
        <v>287</v>
      </c>
      <c r="B51" t="s">
        <v>98</v>
      </c>
      <c r="C51">
        <v>53</v>
      </c>
      <c r="D51">
        <v>9.5</v>
      </c>
      <c r="F51">
        <v>1</v>
      </c>
      <c r="G51">
        <v>9.4</v>
      </c>
      <c r="H51">
        <v>9.5</v>
      </c>
      <c r="J51">
        <v>-5.0999999999999996</v>
      </c>
      <c r="N51">
        <v>19756</v>
      </c>
    </row>
    <row r="52" spans="1:14" x14ac:dyDescent="0.3">
      <c r="A52" t="s">
        <v>79</v>
      </c>
      <c r="B52" t="s">
        <v>34</v>
      </c>
      <c r="C52">
        <v>83</v>
      </c>
      <c r="D52">
        <v>9.5</v>
      </c>
      <c r="E52">
        <v>8.6</v>
      </c>
      <c r="H52">
        <v>8.4</v>
      </c>
      <c r="J52">
        <v>0.8</v>
      </c>
      <c r="N52">
        <v>4020</v>
      </c>
    </row>
    <row r="53" spans="1:14" x14ac:dyDescent="0.3">
      <c r="A53" t="s">
        <v>179</v>
      </c>
      <c r="B53" t="s">
        <v>93</v>
      </c>
      <c r="C53">
        <v>166</v>
      </c>
      <c r="D53">
        <v>9.5</v>
      </c>
      <c r="E53">
        <v>6.6</v>
      </c>
      <c r="F53">
        <v>4.5999999999999996</v>
      </c>
      <c r="G53">
        <v>7.9</v>
      </c>
      <c r="H53">
        <v>3.8</v>
      </c>
      <c r="I53">
        <v>2</v>
      </c>
      <c r="J53">
        <v>-2.2000000000000002</v>
      </c>
      <c r="N53">
        <v>3284</v>
      </c>
    </row>
    <row r="54" spans="1:14" x14ac:dyDescent="0.3">
      <c r="A54" t="s">
        <v>192</v>
      </c>
      <c r="B54" t="s">
        <v>193</v>
      </c>
      <c r="C54">
        <v>203</v>
      </c>
      <c r="D54">
        <v>9.5</v>
      </c>
      <c r="E54">
        <v>4.9000000000000004</v>
      </c>
      <c r="G54">
        <v>7.7</v>
      </c>
      <c r="H54">
        <v>4.5999999999999996</v>
      </c>
      <c r="J54">
        <v>-7.9</v>
      </c>
      <c r="N54">
        <v>15467</v>
      </c>
    </row>
    <row r="55" spans="1:14" x14ac:dyDescent="0.3">
      <c r="A55" t="s">
        <v>133</v>
      </c>
      <c r="B55" t="s">
        <v>53</v>
      </c>
      <c r="C55">
        <v>90.2</v>
      </c>
      <c r="D55">
        <v>9.5</v>
      </c>
      <c r="G55">
        <v>6.5</v>
      </c>
      <c r="H55">
        <v>2.2999999999999998</v>
      </c>
      <c r="I55">
        <v>3.1</v>
      </c>
      <c r="J55">
        <v>-8.6</v>
      </c>
      <c r="N55">
        <v>13273</v>
      </c>
    </row>
    <row r="56" spans="1:14" x14ac:dyDescent="0.3">
      <c r="A56" t="s">
        <v>249</v>
      </c>
      <c r="B56" t="s">
        <v>102</v>
      </c>
      <c r="C56">
        <v>78.2</v>
      </c>
      <c r="D56">
        <v>9.5</v>
      </c>
      <c r="E56">
        <v>1.9</v>
      </c>
      <c r="G56">
        <v>6.3</v>
      </c>
      <c r="H56">
        <v>2.9</v>
      </c>
      <c r="I56">
        <v>-4</v>
      </c>
      <c r="J56">
        <v>-9.3000000000000007</v>
      </c>
      <c r="N56">
        <v>17585</v>
      </c>
    </row>
    <row r="57" spans="1:14" x14ac:dyDescent="0.3">
      <c r="A57" t="s">
        <v>387</v>
      </c>
      <c r="B57" t="s">
        <v>26</v>
      </c>
      <c r="C57">
        <v>57</v>
      </c>
      <c r="D57">
        <v>9.4</v>
      </c>
      <c r="G57">
        <v>10.5</v>
      </c>
      <c r="H57">
        <v>5.8</v>
      </c>
      <c r="I57">
        <v>-0.1</v>
      </c>
      <c r="J57">
        <v>-7.3</v>
      </c>
      <c r="N57">
        <v>20395</v>
      </c>
    </row>
    <row r="58" spans="1:14" x14ac:dyDescent="0.3">
      <c r="A58" t="s">
        <v>110</v>
      </c>
      <c r="B58" t="s">
        <v>62</v>
      </c>
      <c r="C58">
        <v>61.1</v>
      </c>
      <c r="D58">
        <v>9.4</v>
      </c>
      <c r="H58">
        <v>8.1</v>
      </c>
      <c r="I58">
        <v>-3.4</v>
      </c>
      <c r="N58">
        <v>13360</v>
      </c>
    </row>
    <row r="59" spans="1:14" x14ac:dyDescent="0.3">
      <c r="A59" t="s">
        <v>236</v>
      </c>
      <c r="B59" t="s">
        <v>48</v>
      </c>
      <c r="C59">
        <v>165.1</v>
      </c>
      <c r="D59">
        <v>9.4</v>
      </c>
      <c r="E59">
        <v>4.5999999999999996</v>
      </c>
      <c r="G59">
        <v>7.6</v>
      </c>
      <c r="H59">
        <v>5.2</v>
      </c>
      <c r="I59">
        <v>2.6</v>
      </c>
      <c r="J59">
        <v>-9.4</v>
      </c>
      <c r="N59">
        <v>8753</v>
      </c>
    </row>
    <row r="60" spans="1:14" x14ac:dyDescent="0.3">
      <c r="A60" t="s">
        <v>314</v>
      </c>
      <c r="B60" t="s">
        <v>102</v>
      </c>
      <c r="C60">
        <v>82.1</v>
      </c>
      <c r="D60">
        <v>9.4</v>
      </c>
      <c r="G60">
        <v>6.5</v>
      </c>
      <c r="H60">
        <v>4.2</v>
      </c>
      <c r="I60">
        <v>5.9</v>
      </c>
      <c r="N60">
        <v>16933</v>
      </c>
    </row>
    <row r="61" spans="1:14" x14ac:dyDescent="0.3">
      <c r="A61" t="s">
        <v>86</v>
      </c>
      <c r="B61" t="s">
        <v>48</v>
      </c>
      <c r="C61">
        <v>80</v>
      </c>
      <c r="D61">
        <v>9.4</v>
      </c>
      <c r="G61">
        <v>6.5</v>
      </c>
      <c r="H61">
        <v>2.2000000000000002</v>
      </c>
      <c r="I61">
        <v>1.3</v>
      </c>
      <c r="J61">
        <v>-6.8</v>
      </c>
      <c r="N61">
        <v>19291</v>
      </c>
    </row>
    <row r="62" spans="1:14" x14ac:dyDescent="0.3">
      <c r="A62" t="s">
        <v>188</v>
      </c>
      <c r="B62" t="s">
        <v>48</v>
      </c>
      <c r="C62">
        <v>77</v>
      </c>
      <c r="D62">
        <v>9.4</v>
      </c>
      <c r="F62">
        <v>1.9</v>
      </c>
      <c r="G62">
        <v>9.1</v>
      </c>
      <c r="I62">
        <v>1.4</v>
      </c>
      <c r="N62">
        <v>15947</v>
      </c>
    </row>
    <row r="63" spans="1:14" x14ac:dyDescent="0.3">
      <c r="A63" t="s">
        <v>63</v>
      </c>
      <c r="B63" t="s">
        <v>53</v>
      </c>
      <c r="C63">
        <v>79.2</v>
      </c>
      <c r="D63">
        <v>9.4</v>
      </c>
      <c r="G63">
        <v>6.8</v>
      </c>
      <c r="H63">
        <v>5.7</v>
      </c>
      <c r="I63">
        <v>0.4</v>
      </c>
      <c r="J63">
        <v>-5.9</v>
      </c>
      <c r="N63">
        <v>14765</v>
      </c>
    </row>
    <row r="64" spans="1:14" x14ac:dyDescent="0.3">
      <c r="A64" t="s">
        <v>72</v>
      </c>
      <c r="B64" t="s">
        <v>34</v>
      </c>
      <c r="C64">
        <v>96</v>
      </c>
      <c r="D64">
        <v>9.4</v>
      </c>
      <c r="F64">
        <v>2.1</v>
      </c>
      <c r="G64">
        <v>6.7</v>
      </c>
      <c r="H64">
        <v>3.3</v>
      </c>
      <c r="I64">
        <v>1.7</v>
      </c>
      <c r="J64">
        <v>8.5</v>
      </c>
      <c r="N64">
        <v>14309</v>
      </c>
    </row>
    <row r="65" spans="1:14" x14ac:dyDescent="0.3">
      <c r="A65" t="s">
        <v>304</v>
      </c>
      <c r="B65" t="s">
        <v>40</v>
      </c>
      <c r="C65">
        <v>161.1</v>
      </c>
      <c r="D65">
        <v>9.4</v>
      </c>
      <c r="G65">
        <v>4.4000000000000004</v>
      </c>
      <c r="H65">
        <v>3.9</v>
      </c>
      <c r="I65">
        <v>2.9</v>
      </c>
      <c r="J65">
        <v>-2.2000000000000002</v>
      </c>
      <c r="N65">
        <v>7410</v>
      </c>
    </row>
    <row r="66" spans="1:14" x14ac:dyDescent="0.3">
      <c r="A66" t="s">
        <v>307</v>
      </c>
      <c r="B66" t="s">
        <v>95</v>
      </c>
      <c r="C66">
        <v>117.1</v>
      </c>
      <c r="D66">
        <v>9.4</v>
      </c>
      <c r="E66">
        <v>9.1</v>
      </c>
      <c r="G66">
        <v>4.5</v>
      </c>
      <c r="H66">
        <v>3.2</v>
      </c>
      <c r="I66">
        <v>0.5</v>
      </c>
      <c r="J66">
        <v>-6.4</v>
      </c>
      <c r="N66">
        <v>11189</v>
      </c>
    </row>
    <row r="67" spans="1:14" x14ac:dyDescent="0.3">
      <c r="A67" t="s">
        <v>167</v>
      </c>
      <c r="B67" t="s">
        <v>38</v>
      </c>
      <c r="C67">
        <v>64.099999999999994</v>
      </c>
      <c r="D67">
        <v>9.4</v>
      </c>
      <c r="H67">
        <v>5.3</v>
      </c>
      <c r="I67">
        <v>-7.2</v>
      </c>
      <c r="J67">
        <v>-7.8</v>
      </c>
      <c r="N67">
        <v>12863</v>
      </c>
    </row>
    <row r="68" spans="1:14" x14ac:dyDescent="0.3">
      <c r="A68" t="s">
        <v>390</v>
      </c>
      <c r="B68" t="s">
        <v>146</v>
      </c>
      <c r="C68">
        <v>80</v>
      </c>
      <c r="D68">
        <v>9.3000000000000007</v>
      </c>
      <c r="G68">
        <v>7.8</v>
      </c>
      <c r="H68">
        <v>4.4000000000000004</v>
      </c>
      <c r="I68">
        <v>1.5</v>
      </c>
      <c r="J68">
        <v>-3.2</v>
      </c>
      <c r="N68">
        <v>16130</v>
      </c>
    </row>
    <row r="69" spans="1:14" x14ac:dyDescent="0.3">
      <c r="A69" t="s">
        <v>290</v>
      </c>
      <c r="B69" t="s">
        <v>50</v>
      </c>
      <c r="C69">
        <v>126.2</v>
      </c>
      <c r="D69">
        <v>9.3000000000000007</v>
      </c>
      <c r="E69">
        <v>5.7</v>
      </c>
      <c r="G69">
        <v>7.9</v>
      </c>
      <c r="H69">
        <v>4.8</v>
      </c>
      <c r="I69">
        <v>5</v>
      </c>
      <c r="J69">
        <v>-7.4</v>
      </c>
      <c r="N69">
        <v>14078</v>
      </c>
    </row>
    <row r="70" spans="1:14" x14ac:dyDescent="0.3">
      <c r="A70" t="s">
        <v>267</v>
      </c>
      <c r="B70" t="s">
        <v>62</v>
      </c>
      <c r="C70">
        <v>90.1</v>
      </c>
      <c r="D70">
        <v>9.3000000000000007</v>
      </c>
      <c r="F70">
        <v>5.3</v>
      </c>
      <c r="H70">
        <v>4.4000000000000004</v>
      </c>
      <c r="I70">
        <v>3.1</v>
      </c>
      <c r="J70">
        <v>-4</v>
      </c>
      <c r="N70">
        <v>19867</v>
      </c>
    </row>
    <row r="71" spans="1:14" x14ac:dyDescent="0.3">
      <c r="A71" t="s">
        <v>379</v>
      </c>
      <c r="B71" t="s">
        <v>62</v>
      </c>
      <c r="C71">
        <v>82.2</v>
      </c>
      <c r="D71">
        <v>9.3000000000000007</v>
      </c>
      <c r="G71">
        <v>7.8</v>
      </c>
      <c r="H71">
        <v>4.3</v>
      </c>
      <c r="I71">
        <v>2.4</v>
      </c>
      <c r="J71">
        <v>-2.2999999999999998</v>
      </c>
      <c r="N71">
        <v>18356</v>
      </c>
    </row>
    <row r="72" spans="1:14" x14ac:dyDescent="0.3">
      <c r="A72" t="s">
        <v>251</v>
      </c>
      <c r="B72" t="s">
        <v>48</v>
      </c>
      <c r="C72">
        <v>213</v>
      </c>
      <c r="D72">
        <v>9.3000000000000007</v>
      </c>
      <c r="E72">
        <v>-1.6</v>
      </c>
      <c r="G72">
        <v>6</v>
      </c>
      <c r="H72">
        <v>4.4000000000000004</v>
      </c>
      <c r="I72">
        <v>-2.2000000000000002</v>
      </c>
      <c r="J72">
        <v>-11.7</v>
      </c>
      <c r="N72">
        <v>12703</v>
      </c>
    </row>
    <row r="73" spans="1:14" x14ac:dyDescent="0.3">
      <c r="A73" t="s">
        <v>178</v>
      </c>
      <c r="B73" t="s">
        <v>32</v>
      </c>
      <c r="C73">
        <v>133.1</v>
      </c>
      <c r="D73">
        <v>9.3000000000000007</v>
      </c>
      <c r="F73">
        <v>1.4</v>
      </c>
      <c r="G73">
        <v>5.7</v>
      </c>
      <c r="I73">
        <v>2.7</v>
      </c>
      <c r="N73">
        <v>16401</v>
      </c>
    </row>
    <row r="74" spans="1:14" x14ac:dyDescent="0.3">
      <c r="A74" t="s">
        <v>135</v>
      </c>
      <c r="B74" t="s">
        <v>66</v>
      </c>
      <c r="C74">
        <v>159</v>
      </c>
      <c r="D74">
        <v>9.3000000000000007</v>
      </c>
      <c r="E74">
        <v>4.4000000000000004</v>
      </c>
      <c r="F74">
        <v>2.8</v>
      </c>
      <c r="G74">
        <v>8.3000000000000007</v>
      </c>
      <c r="I74">
        <v>2.4</v>
      </c>
      <c r="J74">
        <v>-7.6</v>
      </c>
      <c r="N74">
        <v>6397</v>
      </c>
    </row>
    <row r="75" spans="1:14" x14ac:dyDescent="0.3">
      <c r="A75" t="s">
        <v>215</v>
      </c>
      <c r="B75" t="s">
        <v>48</v>
      </c>
      <c r="C75">
        <v>141</v>
      </c>
      <c r="D75">
        <v>9.3000000000000007</v>
      </c>
      <c r="G75">
        <v>7.2</v>
      </c>
      <c r="H75">
        <v>3.5</v>
      </c>
      <c r="I75">
        <v>2.8</v>
      </c>
      <c r="J75">
        <v>-9</v>
      </c>
      <c r="N75">
        <v>7593</v>
      </c>
    </row>
    <row r="76" spans="1:14" x14ac:dyDescent="0.3">
      <c r="A76" t="s">
        <v>209</v>
      </c>
      <c r="B76" t="s">
        <v>48</v>
      </c>
      <c r="C76">
        <v>50.2</v>
      </c>
      <c r="D76">
        <v>9.1999999999999993</v>
      </c>
      <c r="I76">
        <v>1.1000000000000001</v>
      </c>
      <c r="J76">
        <v>-4.2</v>
      </c>
      <c r="N76">
        <v>3950</v>
      </c>
    </row>
    <row r="77" spans="1:14" x14ac:dyDescent="0.3">
      <c r="A77" t="s">
        <v>310</v>
      </c>
      <c r="B77" t="s">
        <v>146</v>
      </c>
      <c r="C77">
        <v>82.1</v>
      </c>
      <c r="D77">
        <v>9.1999999999999993</v>
      </c>
      <c r="E77">
        <v>2.2000000000000002</v>
      </c>
      <c r="H77">
        <v>7.6</v>
      </c>
      <c r="I77">
        <v>-1.9</v>
      </c>
      <c r="N77">
        <v>10836</v>
      </c>
    </row>
    <row r="78" spans="1:14" x14ac:dyDescent="0.3">
      <c r="A78" t="s">
        <v>229</v>
      </c>
      <c r="B78" t="s">
        <v>62</v>
      </c>
      <c r="C78">
        <v>79.2</v>
      </c>
      <c r="D78">
        <v>9.1999999999999993</v>
      </c>
      <c r="G78">
        <v>-0.6</v>
      </c>
      <c r="H78">
        <v>5.0999999999999996</v>
      </c>
      <c r="J78">
        <v>-11.3</v>
      </c>
      <c r="N78">
        <v>10190</v>
      </c>
    </row>
    <row r="79" spans="1:14" x14ac:dyDescent="0.3">
      <c r="A79" t="s">
        <v>190</v>
      </c>
      <c r="B79" t="s">
        <v>28</v>
      </c>
      <c r="C79">
        <v>167.1</v>
      </c>
      <c r="D79">
        <v>9.1999999999999993</v>
      </c>
      <c r="E79">
        <v>3.9</v>
      </c>
      <c r="G79">
        <v>7.7</v>
      </c>
      <c r="H79">
        <v>5.0999999999999996</v>
      </c>
      <c r="I79">
        <v>-2.7</v>
      </c>
      <c r="J79">
        <v>-8</v>
      </c>
      <c r="N79">
        <v>8779</v>
      </c>
    </row>
    <row r="80" spans="1:14" x14ac:dyDescent="0.3">
      <c r="A80" t="s">
        <v>358</v>
      </c>
      <c r="B80" t="s">
        <v>48</v>
      </c>
      <c r="C80">
        <v>58</v>
      </c>
      <c r="D80">
        <v>9.1999999999999993</v>
      </c>
      <c r="I80">
        <v>4.7</v>
      </c>
      <c r="J80">
        <v>-2.1</v>
      </c>
      <c r="N80">
        <v>12857</v>
      </c>
    </row>
    <row r="81" spans="1:14" x14ac:dyDescent="0.3">
      <c r="A81" t="s">
        <v>261</v>
      </c>
      <c r="B81" t="s">
        <v>48</v>
      </c>
      <c r="C81">
        <v>53.1</v>
      </c>
      <c r="D81">
        <v>9.1999999999999993</v>
      </c>
      <c r="G81">
        <v>7</v>
      </c>
      <c r="I81">
        <v>1.3</v>
      </c>
      <c r="N81">
        <v>7466</v>
      </c>
    </row>
    <row r="82" spans="1:14" x14ac:dyDescent="0.3">
      <c r="A82" t="s">
        <v>329</v>
      </c>
      <c r="B82" t="s">
        <v>98</v>
      </c>
      <c r="C82">
        <v>84.2</v>
      </c>
      <c r="D82">
        <v>9.1999999999999993</v>
      </c>
      <c r="G82">
        <v>7</v>
      </c>
      <c r="H82">
        <v>5.6</v>
      </c>
      <c r="I82">
        <v>0.1</v>
      </c>
      <c r="J82">
        <v>-7.4</v>
      </c>
      <c r="L82">
        <v>9.3000000000000007</v>
      </c>
      <c r="N82">
        <v>17611</v>
      </c>
    </row>
    <row r="83" spans="1:14" x14ac:dyDescent="0.3">
      <c r="A83" t="s">
        <v>82</v>
      </c>
      <c r="B83" t="s">
        <v>83</v>
      </c>
      <c r="C83">
        <v>65.099999999999994</v>
      </c>
      <c r="D83">
        <v>9.1999999999999993</v>
      </c>
      <c r="H83">
        <v>6.9</v>
      </c>
      <c r="I83">
        <v>-0.3</v>
      </c>
      <c r="J83">
        <v>-5.5</v>
      </c>
      <c r="N83">
        <v>8048</v>
      </c>
    </row>
    <row r="84" spans="1:14" x14ac:dyDescent="0.3">
      <c r="A84" t="s">
        <v>233</v>
      </c>
      <c r="B84" t="s">
        <v>143</v>
      </c>
      <c r="C84">
        <v>68.2</v>
      </c>
      <c r="D84">
        <v>9.1999999999999993</v>
      </c>
      <c r="E84">
        <v>8.9</v>
      </c>
      <c r="F84">
        <v>-0.5</v>
      </c>
      <c r="G84">
        <v>5.5</v>
      </c>
      <c r="H84">
        <v>5.6</v>
      </c>
      <c r="J84">
        <v>-3.5</v>
      </c>
      <c r="N84">
        <v>14524</v>
      </c>
    </row>
    <row r="85" spans="1:14" x14ac:dyDescent="0.3">
      <c r="A85" t="s">
        <v>352</v>
      </c>
      <c r="B85" t="s">
        <v>40</v>
      </c>
      <c r="C85">
        <v>66.2</v>
      </c>
      <c r="D85">
        <v>9.1999999999999993</v>
      </c>
      <c r="H85">
        <v>2</v>
      </c>
      <c r="I85">
        <v>1.4</v>
      </c>
      <c r="J85">
        <v>-1.4</v>
      </c>
      <c r="N85">
        <v>17874</v>
      </c>
    </row>
    <row r="86" spans="1:14" x14ac:dyDescent="0.3">
      <c r="A86" t="s">
        <v>223</v>
      </c>
      <c r="B86" t="s">
        <v>71</v>
      </c>
      <c r="C86">
        <v>139</v>
      </c>
      <c r="D86">
        <v>9.1999999999999993</v>
      </c>
      <c r="E86">
        <v>6.8</v>
      </c>
      <c r="G86">
        <v>7.6</v>
      </c>
      <c r="H86">
        <v>5.9</v>
      </c>
      <c r="J86">
        <v>-8.5</v>
      </c>
      <c r="N86">
        <v>6895</v>
      </c>
    </row>
    <row r="87" spans="1:14" x14ac:dyDescent="0.3">
      <c r="A87" t="s">
        <v>239</v>
      </c>
      <c r="B87" t="s">
        <v>36</v>
      </c>
      <c r="C87">
        <v>78</v>
      </c>
      <c r="D87">
        <v>9.1999999999999993</v>
      </c>
      <c r="E87">
        <v>4.7</v>
      </c>
      <c r="G87">
        <v>8.5</v>
      </c>
      <c r="H87">
        <v>7</v>
      </c>
      <c r="I87">
        <v>0.9</v>
      </c>
      <c r="J87">
        <v>-3.9</v>
      </c>
      <c r="N87">
        <v>18318</v>
      </c>
    </row>
    <row r="88" spans="1:14" x14ac:dyDescent="0.3">
      <c r="A88" t="s">
        <v>246</v>
      </c>
      <c r="B88" t="s">
        <v>26</v>
      </c>
      <c r="C88">
        <v>149.19999999999999</v>
      </c>
      <c r="D88">
        <v>9.1999999999999993</v>
      </c>
      <c r="E88">
        <v>4.7</v>
      </c>
      <c r="H88">
        <v>6.6</v>
      </c>
      <c r="I88">
        <v>-1.1000000000000001</v>
      </c>
      <c r="J88">
        <v>-4.5</v>
      </c>
      <c r="N88">
        <v>19316</v>
      </c>
    </row>
    <row r="89" spans="1:14" x14ac:dyDescent="0.3">
      <c r="A89" t="s">
        <v>57</v>
      </c>
      <c r="B89" t="s">
        <v>58</v>
      </c>
      <c r="C89">
        <v>204</v>
      </c>
      <c r="D89">
        <v>9.1</v>
      </c>
      <c r="G89">
        <v>6.9</v>
      </c>
      <c r="H89">
        <v>1.9</v>
      </c>
      <c r="I89">
        <v>3.5</v>
      </c>
      <c r="J89">
        <v>-2.1</v>
      </c>
      <c r="N89">
        <v>10954</v>
      </c>
    </row>
    <row r="90" spans="1:14" x14ac:dyDescent="0.3">
      <c r="A90" t="s">
        <v>54</v>
      </c>
      <c r="B90" t="s">
        <v>28</v>
      </c>
      <c r="C90">
        <v>54.1</v>
      </c>
      <c r="D90">
        <v>9.1</v>
      </c>
      <c r="G90">
        <v>0</v>
      </c>
      <c r="I90">
        <v>0.6</v>
      </c>
      <c r="J90">
        <v>-7.9</v>
      </c>
      <c r="N90">
        <v>7005</v>
      </c>
    </row>
    <row r="91" spans="1:14" x14ac:dyDescent="0.3">
      <c r="A91" t="s">
        <v>106</v>
      </c>
      <c r="B91" t="s">
        <v>75</v>
      </c>
      <c r="C91">
        <v>68.099999999999994</v>
      </c>
      <c r="D91">
        <v>9.1</v>
      </c>
      <c r="G91">
        <v>9.1</v>
      </c>
      <c r="H91">
        <v>4.3</v>
      </c>
      <c r="I91">
        <v>-4.9000000000000004</v>
      </c>
      <c r="J91">
        <v>-11.2</v>
      </c>
      <c r="N91">
        <v>16943</v>
      </c>
    </row>
    <row r="92" spans="1:14" x14ac:dyDescent="0.3">
      <c r="A92" t="s">
        <v>166</v>
      </c>
      <c r="B92" t="s">
        <v>50</v>
      </c>
      <c r="C92">
        <v>55</v>
      </c>
      <c r="D92">
        <v>9.1</v>
      </c>
      <c r="G92">
        <v>8.1999999999999993</v>
      </c>
      <c r="H92">
        <v>8.6999999999999993</v>
      </c>
      <c r="I92">
        <v>-3.4</v>
      </c>
      <c r="J92">
        <v>-3.5</v>
      </c>
      <c r="N92">
        <v>14974</v>
      </c>
    </row>
    <row r="93" spans="1:14" x14ac:dyDescent="0.3">
      <c r="A93" t="s">
        <v>231</v>
      </c>
      <c r="B93" t="s">
        <v>34</v>
      </c>
      <c r="C93">
        <v>69</v>
      </c>
      <c r="D93">
        <v>9.1</v>
      </c>
      <c r="G93">
        <v>5.7</v>
      </c>
      <c r="H93">
        <v>3.5</v>
      </c>
      <c r="I93">
        <v>-2.2000000000000002</v>
      </c>
      <c r="J93">
        <v>-10</v>
      </c>
      <c r="N93">
        <v>6941</v>
      </c>
    </row>
    <row r="94" spans="1:14" x14ac:dyDescent="0.3">
      <c r="A94" t="s">
        <v>91</v>
      </c>
      <c r="B94" t="s">
        <v>89</v>
      </c>
      <c r="C94">
        <v>83.1</v>
      </c>
      <c r="D94">
        <v>9</v>
      </c>
      <c r="E94">
        <v>5.4</v>
      </c>
      <c r="G94">
        <v>6.3</v>
      </c>
      <c r="H94">
        <v>4.8</v>
      </c>
      <c r="I94">
        <v>-0.1</v>
      </c>
      <c r="J94">
        <v>-6.8</v>
      </c>
      <c r="N94">
        <v>14843</v>
      </c>
    </row>
    <row r="95" spans="1:14" x14ac:dyDescent="0.3">
      <c r="A95" t="s">
        <v>300</v>
      </c>
      <c r="B95" t="s">
        <v>38</v>
      </c>
      <c r="C95">
        <v>55.2</v>
      </c>
      <c r="D95">
        <v>9</v>
      </c>
      <c r="G95">
        <v>6.8</v>
      </c>
      <c r="H95">
        <v>3.1</v>
      </c>
      <c r="I95">
        <v>-0.7</v>
      </c>
      <c r="N95">
        <v>5615</v>
      </c>
    </row>
    <row r="96" spans="1:14" x14ac:dyDescent="0.3">
      <c r="A96" t="s">
        <v>189</v>
      </c>
      <c r="B96" t="s">
        <v>77</v>
      </c>
      <c r="C96">
        <v>178.2</v>
      </c>
      <c r="D96">
        <v>9</v>
      </c>
      <c r="E96">
        <v>4.2</v>
      </c>
      <c r="F96">
        <v>3.2</v>
      </c>
      <c r="G96">
        <v>5.3</v>
      </c>
      <c r="H96">
        <v>2.7</v>
      </c>
      <c r="I96">
        <v>-0.8</v>
      </c>
      <c r="J96">
        <v>-8.1</v>
      </c>
      <c r="K96">
        <v>-10.8</v>
      </c>
      <c r="N96">
        <v>13074</v>
      </c>
    </row>
    <row r="97" spans="1:14" x14ac:dyDescent="0.3">
      <c r="A97" t="s">
        <v>347</v>
      </c>
      <c r="B97" t="s">
        <v>48</v>
      </c>
      <c r="C97">
        <v>51.1</v>
      </c>
      <c r="D97">
        <v>9</v>
      </c>
      <c r="G97">
        <v>8.6</v>
      </c>
      <c r="I97">
        <v>1</v>
      </c>
      <c r="J97">
        <v>-5.3</v>
      </c>
      <c r="N97">
        <v>12804</v>
      </c>
    </row>
    <row r="98" spans="1:14" x14ac:dyDescent="0.3">
      <c r="A98" t="s">
        <v>328</v>
      </c>
      <c r="B98" t="s">
        <v>71</v>
      </c>
      <c r="C98">
        <v>85</v>
      </c>
      <c r="D98">
        <v>9</v>
      </c>
      <c r="H98">
        <v>4.7</v>
      </c>
      <c r="I98">
        <v>9</v>
      </c>
      <c r="J98">
        <v>-6.8</v>
      </c>
      <c r="N98">
        <v>18679</v>
      </c>
    </row>
    <row r="99" spans="1:14" x14ac:dyDescent="0.3">
      <c r="A99" t="s">
        <v>232</v>
      </c>
      <c r="B99" t="s">
        <v>32</v>
      </c>
      <c r="C99">
        <v>104.1</v>
      </c>
      <c r="D99">
        <v>9</v>
      </c>
      <c r="E99">
        <v>3.5</v>
      </c>
      <c r="G99">
        <v>8.9</v>
      </c>
      <c r="H99">
        <v>3.5</v>
      </c>
      <c r="J99">
        <v>-9.1999999999999993</v>
      </c>
      <c r="N99">
        <v>17192</v>
      </c>
    </row>
    <row r="100" spans="1:14" x14ac:dyDescent="0.3">
      <c r="A100" t="s">
        <v>136</v>
      </c>
      <c r="B100" t="s">
        <v>98</v>
      </c>
      <c r="C100">
        <v>71.2</v>
      </c>
      <c r="D100">
        <v>9</v>
      </c>
      <c r="G100">
        <v>6.8</v>
      </c>
      <c r="H100">
        <v>4.4000000000000004</v>
      </c>
      <c r="I100">
        <v>0</v>
      </c>
      <c r="J100">
        <v>-5.6</v>
      </c>
      <c r="N100">
        <v>12918</v>
      </c>
    </row>
    <row r="101" spans="1:14" x14ac:dyDescent="0.3">
      <c r="A101" t="s">
        <v>78</v>
      </c>
      <c r="B101" t="s">
        <v>58</v>
      </c>
      <c r="C101">
        <v>80</v>
      </c>
      <c r="D101">
        <v>9</v>
      </c>
      <c r="G101">
        <v>6.3</v>
      </c>
      <c r="H101">
        <v>4.5999999999999996</v>
      </c>
      <c r="I101">
        <v>3.1</v>
      </c>
      <c r="J101">
        <v>-10.7</v>
      </c>
      <c r="K101">
        <v>-11.4</v>
      </c>
      <c r="N101">
        <v>12447</v>
      </c>
    </row>
    <row r="102" spans="1:14" x14ac:dyDescent="0.3">
      <c r="A102" t="s">
        <v>173</v>
      </c>
      <c r="B102" t="s">
        <v>56</v>
      </c>
      <c r="C102">
        <v>115.2</v>
      </c>
      <c r="D102">
        <v>8.9</v>
      </c>
      <c r="G102">
        <v>1.3</v>
      </c>
      <c r="H102">
        <v>4.8</v>
      </c>
      <c r="I102">
        <v>1.4</v>
      </c>
      <c r="J102">
        <v>-6.5</v>
      </c>
      <c r="N102">
        <v>19979</v>
      </c>
    </row>
    <row r="103" spans="1:14" x14ac:dyDescent="0.3">
      <c r="A103" t="s">
        <v>134</v>
      </c>
      <c r="B103" t="s">
        <v>71</v>
      </c>
      <c r="C103">
        <v>87.1</v>
      </c>
      <c r="D103">
        <v>8.9</v>
      </c>
      <c r="G103">
        <v>5.9</v>
      </c>
      <c r="H103">
        <v>3.3</v>
      </c>
      <c r="J103">
        <v>-10.5</v>
      </c>
      <c r="N103">
        <v>7448</v>
      </c>
    </row>
    <row r="104" spans="1:14" x14ac:dyDescent="0.3">
      <c r="A104" t="s">
        <v>278</v>
      </c>
      <c r="B104" t="s">
        <v>48</v>
      </c>
      <c r="C104">
        <v>150</v>
      </c>
      <c r="D104">
        <v>8.9</v>
      </c>
      <c r="E104">
        <v>2.4</v>
      </c>
      <c r="G104">
        <v>7.8</v>
      </c>
      <c r="H104">
        <v>4.5</v>
      </c>
      <c r="I104">
        <v>0.7</v>
      </c>
      <c r="J104">
        <v>-6.7</v>
      </c>
      <c r="N104">
        <v>8782</v>
      </c>
    </row>
    <row r="105" spans="1:14" x14ac:dyDescent="0.3">
      <c r="A105" t="s">
        <v>85</v>
      </c>
      <c r="B105" t="s">
        <v>56</v>
      </c>
      <c r="C105">
        <v>57.2</v>
      </c>
      <c r="D105">
        <v>8.9</v>
      </c>
      <c r="H105">
        <v>1.2</v>
      </c>
      <c r="J105">
        <v>-1.4</v>
      </c>
      <c r="N105">
        <v>15594</v>
      </c>
    </row>
    <row r="106" spans="1:14" x14ac:dyDescent="0.3">
      <c r="A106" t="s">
        <v>333</v>
      </c>
      <c r="B106" t="s">
        <v>62</v>
      </c>
      <c r="C106">
        <v>72</v>
      </c>
      <c r="D106">
        <v>8.9</v>
      </c>
      <c r="G106">
        <v>6.7</v>
      </c>
      <c r="H106">
        <v>4.8</v>
      </c>
      <c r="I106">
        <v>-2.6</v>
      </c>
      <c r="J106">
        <v>-7.9</v>
      </c>
      <c r="N106">
        <v>18790</v>
      </c>
    </row>
    <row r="107" spans="1:14" x14ac:dyDescent="0.3">
      <c r="A107" t="s">
        <v>268</v>
      </c>
      <c r="B107" t="s">
        <v>48</v>
      </c>
      <c r="C107">
        <v>64.2</v>
      </c>
      <c r="D107">
        <v>8.9</v>
      </c>
      <c r="E107">
        <v>1.8</v>
      </c>
      <c r="G107">
        <v>8.1999999999999993</v>
      </c>
      <c r="H107">
        <v>4.7</v>
      </c>
      <c r="J107">
        <v>-11.5</v>
      </c>
      <c r="N107">
        <v>13194</v>
      </c>
    </row>
    <row r="108" spans="1:14" x14ac:dyDescent="0.3">
      <c r="A108" t="s">
        <v>35</v>
      </c>
      <c r="B108" t="s">
        <v>36</v>
      </c>
      <c r="C108">
        <v>53</v>
      </c>
      <c r="D108">
        <v>8.9</v>
      </c>
      <c r="I108">
        <v>1.1000000000000001</v>
      </c>
      <c r="N108">
        <v>12910</v>
      </c>
    </row>
    <row r="109" spans="1:14" x14ac:dyDescent="0.3">
      <c r="A109" t="s">
        <v>284</v>
      </c>
      <c r="B109" t="s">
        <v>98</v>
      </c>
      <c r="C109">
        <v>70.2</v>
      </c>
      <c r="D109">
        <v>8.9</v>
      </c>
      <c r="G109">
        <v>3.2</v>
      </c>
      <c r="H109">
        <v>-0.1</v>
      </c>
      <c r="I109">
        <v>-1.1000000000000001</v>
      </c>
      <c r="J109">
        <v>-7.4</v>
      </c>
      <c r="N109">
        <v>12022</v>
      </c>
    </row>
    <row r="110" spans="1:14" x14ac:dyDescent="0.3">
      <c r="A110" t="s">
        <v>150</v>
      </c>
      <c r="B110" t="s">
        <v>50</v>
      </c>
      <c r="C110">
        <v>66.099999999999994</v>
      </c>
      <c r="D110">
        <v>8.9</v>
      </c>
      <c r="E110">
        <v>4.5999999999999996</v>
      </c>
      <c r="G110">
        <v>6.8</v>
      </c>
      <c r="H110">
        <v>3.1</v>
      </c>
      <c r="I110">
        <v>5.9</v>
      </c>
      <c r="J110">
        <v>-10.3</v>
      </c>
      <c r="N110">
        <v>13684</v>
      </c>
    </row>
    <row r="111" spans="1:14" x14ac:dyDescent="0.3">
      <c r="A111" t="s">
        <v>96</v>
      </c>
      <c r="B111" t="s">
        <v>48</v>
      </c>
      <c r="C111">
        <v>208.2</v>
      </c>
      <c r="D111">
        <v>8.9</v>
      </c>
      <c r="E111">
        <v>2.6</v>
      </c>
      <c r="F111">
        <v>6.7</v>
      </c>
      <c r="G111">
        <v>6.3</v>
      </c>
      <c r="H111">
        <v>1.6</v>
      </c>
      <c r="I111">
        <v>-0.5</v>
      </c>
      <c r="J111">
        <v>-7.5</v>
      </c>
      <c r="K111">
        <v>-8.3000000000000007</v>
      </c>
      <c r="N111">
        <v>1943</v>
      </c>
    </row>
    <row r="112" spans="1:14" x14ac:dyDescent="0.3">
      <c r="A112" t="s">
        <v>383</v>
      </c>
      <c r="B112" t="s">
        <v>102</v>
      </c>
      <c r="C112">
        <v>68.099999999999994</v>
      </c>
      <c r="D112">
        <v>8.9</v>
      </c>
      <c r="G112">
        <v>7.1</v>
      </c>
      <c r="H112">
        <v>5.4</v>
      </c>
      <c r="I112">
        <v>3.1</v>
      </c>
      <c r="J112">
        <v>-8</v>
      </c>
      <c r="N112">
        <v>13071</v>
      </c>
    </row>
    <row r="113" spans="1:14" x14ac:dyDescent="0.3">
      <c r="A113" t="s">
        <v>97</v>
      </c>
      <c r="B113" t="s">
        <v>98</v>
      </c>
      <c r="C113">
        <v>64.099999999999994</v>
      </c>
      <c r="D113">
        <v>8.8000000000000007</v>
      </c>
      <c r="E113">
        <v>3.9</v>
      </c>
      <c r="H113">
        <v>3.4</v>
      </c>
      <c r="I113">
        <v>4.9000000000000004</v>
      </c>
      <c r="J113">
        <v>-5.3</v>
      </c>
      <c r="N113">
        <v>16918</v>
      </c>
    </row>
    <row r="114" spans="1:14" x14ac:dyDescent="0.3">
      <c r="A114" t="s">
        <v>296</v>
      </c>
      <c r="B114" t="s">
        <v>66</v>
      </c>
      <c r="C114">
        <v>160</v>
      </c>
      <c r="D114">
        <v>8.8000000000000007</v>
      </c>
      <c r="G114">
        <v>6.3</v>
      </c>
      <c r="H114">
        <v>2.8</v>
      </c>
      <c r="I114">
        <v>-1.4</v>
      </c>
      <c r="J114">
        <v>-5.7</v>
      </c>
      <c r="N114">
        <v>10123</v>
      </c>
    </row>
    <row r="115" spans="1:14" x14ac:dyDescent="0.3">
      <c r="A115" t="s">
        <v>126</v>
      </c>
      <c r="B115" t="s">
        <v>127</v>
      </c>
      <c r="C115">
        <v>63.1</v>
      </c>
      <c r="D115">
        <v>8.8000000000000007</v>
      </c>
      <c r="E115">
        <v>4.8</v>
      </c>
      <c r="H115">
        <v>5.4</v>
      </c>
      <c r="J115">
        <v>-8.6</v>
      </c>
      <c r="N115">
        <v>6986</v>
      </c>
    </row>
    <row r="116" spans="1:14" x14ac:dyDescent="0.3">
      <c r="A116" t="s">
        <v>320</v>
      </c>
      <c r="B116" t="s">
        <v>26</v>
      </c>
      <c r="C116">
        <v>103</v>
      </c>
      <c r="D116">
        <v>8.8000000000000007</v>
      </c>
      <c r="G116">
        <v>7.1</v>
      </c>
      <c r="H116">
        <v>5.7</v>
      </c>
      <c r="I116">
        <v>0.5</v>
      </c>
      <c r="J116">
        <v>-2.9</v>
      </c>
      <c r="N116">
        <v>19312</v>
      </c>
    </row>
    <row r="117" spans="1:14" x14ac:dyDescent="0.3">
      <c r="A117" t="s">
        <v>260</v>
      </c>
      <c r="B117" t="s">
        <v>48</v>
      </c>
      <c r="C117">
        <v>61.1</v>
      </c>
      <c r="D117">
        <v>8.8000000000000007</v>
      </c>
      <c r="E117">
        <v>3.9</v>
      </c>
      <c r="F117">
        <v>0.3</v>
      </c>
      <c r="J117">
        <v>-7.8</v>
      </c>
      <c r="N117">
        <v>5224</v>
      </c>
    </row>
    <row r="118" spans="1:14" x14ac:dyDescent="0.3">
      <c r="A118" t="s">
        <v>253</v>
      </c>
      <c r="B118" t="s">
        <v>159</v>
      </c>
      <c r="C118">
        <v>144.1</v>
      </c>
      <c r="D118">
        <v>8.8000000000000007</v>
      </c>
      <c r="G118">
        <v>5.4</v>
      </c>
      <c r="H118">
        <v>-0.7</v>
      </c>
      <c r="I118">
        <v>-0.1</v>
      </c>
      <c r="J118">
        <v>-9.4</v>
      </c>
      <c r="N118">
        <v>13475</v>
      </c>
    </row>
    <row r="119" spans="1:14" x14ac:dyDescent="0.3">
      <c r="A119" t="s">
        <v>183</v>
      </c>
      <c r="B119" t="s">
        <v>89</v>
      </c>
      <c r="C119">
        <v>166.2</v>
      </c>
      <c r="D119">
        <v>8.8000000000000007</v>
      </c>
      <c r="G119">
        <v>5.9</v>
      </c>
      <c r="H119">
        <v>3.1</v>
      </c>
      <c r="I119">
        <v>3.2</v>
      </c>
      <c r="J119">
        <v>-3.9</v>
      </c>
      <c r="N119">
        <v>13050</v>
      </c>
    </row>
    <row r="120" spans="1:14" x14ac:dyDescent="0.3">
      <c r="A120" t="s">
        <v>297</v>
      </c>
      <c r="B120" t="s">
        <v>36</v>
      </c>
      <c r="C120">
        <v>154.1</v>
      </c>
      <c r="D120">
        <v>8.8000000000000007</v>
      </c>
      <c r="E120">
        <v>2.4</v>
      </c>
      <c r="F120">
        <v>4.5</v>
      </c>
      <c r="G120">
        <v>6.1</v>
      </c>
      <c r="I120">
        <v>-4.3</v>
      </c>
      <c r="J120">
        <v>-7.1</v>
      </c>
      <c r="N120">
        <v>17948</v>
      </c>
    </row>
    <row r="121" spans="1:14" x14ac:dyDescent="0.3">
      <c r="A121" t="s">
        <v>351</v>
      </c>
      <c r="B121" t="s">
        <v>26</v>
      </c>
      <c r="C121">
        <v>51</v>
      </c>
      <c r="D121">
        <v>8.8000000000000007</v>
      </c>
      <c r="E121">
        <v>-1.4</v>
      </c>
      <c r="I121">
        <v>-1.1000000000000001</v>
      </c>
      <c r="N121">
        <v>17793</v>
      </c>
    </row>
    <row r="122" spans="1:14" x14ac:dyDescent="0.3">
      <c r="A122" t="s">
        <v>158</v>
      </c>
      <c r="B122" t="s">
        <v>159</v>
      </c>
      <c r="C122">
        <v>67.2</v>
      </c>
      <c r="D122">
        <v>8.6999999999999993</v>
      </c>
      <c r="G122">
        <v>6.1</v>
      </c>
      <c r="H122">
        <v>0.7</v>
      </c>
      <c r="I122">
        <v>0.9</v>
      </c>
      <c r="N122">
        <v>14814</v>
      </c>
    </row>
    <row r="123" spans="1:14" x14ac:dyDescent="0.3">
      <c r="A123" t="s">
        <v>256</v>
      </c>
      <c r="B123" t="s">
        <v>102</v>
      </c>
      <c r="C123">
        <v>153.1</v>
      </c>
      <c r="D123">
        <v>8.6999999999999993</v>
      </c>
      <c r="H123">
        <v>5.0999999999999996</v>
      </c>
      <c r="I123">
        <v>1.3</v>
      </c>
      <c r="N123">
        <v>14875</v>
      </c>
    </row>
    <row r="124" spans="1:14" x14ac:dyDescent="0.3">
      <c r="A124" t="s">
        <v>99</v>
      </c>
      <c r="B124" t="s">
        <v>66</v>
      </c>
      <c r="C124">
        <v>64.099999999999994</v>
      </c>
      <c r="D124">
        <v>8.6999999999999993</v>
      </c>
      <c r="H124">
        <v>7.2</v>
      </c>
      <c r="I124">
        <v>-3</v>
      </c>
      <c r="J124">
        <v>-6.9</v>
      </c>
      <c r="N124">
        <v>6398</v>
      </c>
    </row>
    <row r="125" spans="1:14" x14ac:dyDescent="0.3">
      <c r="A125" t="s">
        <v>87</v>
      </c>
      <c r="B125" t="s">
        <v>83</v>
      </c>
      <c r="C125">
        <v>56.2</v>
      </c>
      <c r="D125">
        <v>8.6999999999999993</v>
      </c>
      <c r="H125">
        <v>3.1</v>
      </c>
      <c r="I125">
        <v>0.1</v>
      </c>
      <c r="N125">
        <v>14966</v>
      </c>
    </row>
    <row r="126" spans="1:14" x14ac:dyDescent="0.3">
      <c r="A126" t="s">
        <v>279</v>
      </c>
      <c r="B126" t="s">
        <v>77</v>
      </c>
      <c r="C126">
        <v>171</v>
      </c>
      <c r="D126">
        <v>8.6999999999999993</v>
      </c>
      <c r="G126">
        <v>7.5</v>
      </c>
      <c r="H126">
        <v>4.8</v>
      </c>
      <c r="J126">
        <v>-5</v>
      </c>
      <c r="N126">
        <v>11423</v>
      </c>
    </row>
    <row r="127" spans="1:14" x14ac:dyDescent="0.3">
      <c r="A127" t="s">
        <v>163</v>
      </c>
      <c r="B127" t="s">
        <v>77</v>
      </c>
      <c r="C127">
        <v>76.2</v>
      </c>
      <c r="D127">
        <v>8.6</v>
      </c>
      <c r="E127">
        <v>1.9</v>
      </c>
      <c r="G127">
        <v>7.2</v>
      </c>
      <c r="H127">
        <v>5.0999999999999996</v>
      </c>
      <c r="J127">
        <v>-8.5</v>
      </c>
      <c r="N127">
        <v>4338</v>
      </c>
    </row>
    <row r="128" spans="1:14" x14ac:dyDescent="0.3">
      <c r="A128" t="s">
        <v>349</v>
      </c>
      <c r="B128" t="s">
        <v>83</v>
      </c>
      <c r="C128">
        <v>99</v>
      </c>
      <c r="D128">
        <v>8.6</v>
      </c>
      <c r="G128">
        <v>7.2</v>
      </c>
      <c r="H128">
        <v>5.2</v>
      </c>
      <c r="I128">
        <v>3.7</v>
      </c>
      <c r="J128">
        <v>-8.4</v>
      </c>
      <c r="N128">
        <v>14509</v>
      </c>
    </row>
    <row r="129" spans="1:14" x14ac:dyDescent="0.3">
      <c r="A129" t="s">
        <v>175</v>
      </c>
      <c r="B129" t="s">
        <v>40</v>
      </c>
      <c r="C129">
        <v>150.19999999999999</v>
      </c>
      <c r="D129">
        <v>8.6</v>
      </c>
      <c r="E129">
        <v>2.1</v>
      </c>
      <c r="G129">
        <v>6.3</v>
      </c>
      <c r="H129">
        <v>3.8</v>
      </c>
      <c r="J129">
        <v>-4.8</v>
      </c>
      <c r="N129">
        <v>11828</v>
      </c>
    </row>
    <row r="130" spans="1:14" x14ac:dyDescent="0.3">
      <c r="A130" t="s">
        <v>382</v>
      </c>
      <c r="B130" t="s">
        <v>36</v>
      </c>
      <c r="C130">
        <v>59</v>
      </c>
      <c r="D130">
        <v>8.6</v>
      </c>
      <c r="E130">
        <v>3.7</v>
      </c>
      <c r="G130">
        <v>6</v>
      </c>
      <c r="H130">
        <v>3.2</v>
      </c>
      <c r="J130">
        <v>-7.7</v>
      </c>
      <c r="N130">
        <v>3543</v>
      </c>
    </row>
    <row r="131" spans="1:14" x14ac:dyDescent="0.3">
      <c r="A131" t="s">
        <v>338</v>
      </c>
      <c r="B131" t="s">
        <v>38</v>
      </c>
      <c r="C131">
        <v>56.1</v>
      </c>
      <c r="D131">
        <v>8.6</v>
      </c>
      <c r="F131">
        <v>2.7</v>
      </c>
      <c r="G131">
        <v>5.7</v>
      </c>
      <c r="I131">
        <v>2.9</v>
      </c>
      <c r="J131">
        <v>-5.5</v>
      </c>
      <c r="L131">
        <v>8.8000000000000007</v>
      </c>
      <c r="N131">
        <v>19341</v>
      </c>
    </row>
    <row r="132" spans="1:14" x14ac:dyDescent="0.3">
      <c r="A132" t="s">
        <v>271</v>
      </c>
      <c r="B132" t="s">
        <v>48</v>
      </c>
      <c r="C132">
        <v>50.2</v>
      </c>
      <c r="D132">
        <v>8.6</v>
      </c>
      <c r="E132">
        <v>2.5</v>
      </c>
      <c r="G132">
        <v>5.8</v>
      </c>
      <c r="H132">
        <v>6.8</v>
      </c>
      <c r="I132">
        <v>-0.5</v>
      </c>
      <c r="N132">
        <v>13442</v>
      </c>
    </row>
    <row r="133" spans="1:14" x14ac:dyDescent="0.3">
      <c r="A133" t="s">
        <v>306</v>
      </c>
      <c r="B133" t="s">
        <v>30</v>
      </c>
      <c r="C133">
        <v>73.099999999999994</v>
      </c>
      <c r="D133">
        <v>8.6</v>
      </c>
      <c r="G133">
        <v>5.2</v>
      </c>
      <c r="H133">
        <v>4.9000000000000004</v>
      </c>
      <c r="I133">
        <v>-0.5</v>
      </c>
      <c r="N133">
        <v>15821</v>
      </c>
    </row>
    <row r="134" spans="1:14" x14ac:dyDescent="0.3">
      <c r="A134" t="s">
        <v>164</v>
      </c>
      <c r="B134" t="s">
        <v>89</v>
      </c>
      <c r="C134">
        <v>64.2</v>
      </c>
      <c r="D134">
        <v>8.6</v>
      </c>
      <c r="H134">
        <v>6.6</v>
      </c>
      <c r="I134">
        <v>-1.3</v>
      </c>
      <c r="J134">
        <v>-4.3</v>
      </c>
      <c r="N134">
        <v>13594</v>
      </c>
    </row>
    <row r="135" spans="1:14" x14ac:dyDescent="0.3">
      <c r="A135" t="s">
        <v>280</v>
      </c>
      <c r="B135" t="s">
        <v>28</v>
      </c>
      <c r="C135">
        <v>61.1</v>
      </c>
      <c r="D135">
        <v>8.5</v>
      </c>
      <c r="H135">
        <v>0.4</v>
      </c>
      <c r="I135">
        <v>-3</v>
      </c>
      <c r="J135">
        <v>-9.1999999999999993</v>
      </c>
      <c r="N135">
        <v>16794</v>
      </c>
    </row>
    <row r="136" spans="1:14" x14ac:dyDescent="0.3">
      <c r="A136" t="s">
        <v>161</v>
      </c>
      <c r="B136" t="s">
        <v>46</v>
      </c>
      <c r="C136">
        <v>72</v>
      </c>
      <c r="D136">
        <v>8.5</v>
      </c>
      <c r="G136">
        <v>6.5</v>
      </c>
      <c r="H136">
        <v>3.8</v>
      </c>
      <c r="I136">
        <v>0.1</v>
      </c>
      <c r="N136">
        <v>14542</v>
      </c>
    </row>
    <row r="137" spans="1:14" x14ac:dyDescent="0.3">
      <c r="A137" t="s">
        <v>61</v>
      </c>
      <c r="B137" t="s">
        <v>62</v>
      </c>
      <c r="C137">
        <v>72.2</v>
      </c>
      <c r="D137">
        <v>8.5</v>
      </c>
      <c r="G137">
        <v>5.9</v>
      </c>
      <c r="H137">
        <v>2.6</v>
      </c>
      <c r="I137">
        <v>1.8</v>
      </c>
      <c r="N137">
        <v>11801</v>
      </c>
    </row>
    <row r="138" spans="1:14" x14ac:dyDescent="0.3">
      <c r="A138" t="s">
        <v>171</v>
      </c>
      <c r="B138" t="s">
        <v>77</v>
      </c>
      <c r="C138">
        <v>141.19999999999999</v>
      </c>
      <c r="D138">
        <v>8.5</v>
      </c>
      <c r="E138">
        <v>4.5</v>
      </c>
      <c r="G138">
        <v>5.5</v>
      </c>
      <c r="H138">
        <v>4.3</v>
      </c>
      <c r="J138">
        <v>-6.8</v>
      </c>
      <c r="N138">
        <v>4972</v>
      </c>
    </row>
    <row r="139" spans="1:14" x14ac:dyDescent="0.3">
      <c r="A139" t="s">
        <v>55</v>
      </c>
      <c r="B139" t="s">
        <v>56</v>
      </c>
      <c r="C139">
        <v>57.2</v>
      </c>
      <c r="D139">
        <v>8.5</v>
      </c>
      <c r="E139">
        <v>4.4000000000000004</v>
      </c>
      <c r="G139">
        <v>5.7</v>
      </c>
      <c r="H139">
        <v>4.7</v>
      </c>
      <c r="I139">
        <v>0.5</v>
      </c>
      <c r="J139">
        <v>-10.5</v>
      </c>
      <c r="N139">
        <v>19479</v>
      </c>
    </row>
    <row r="140" spans="1:14" x14ac:dyDescent="0.3">
      <c r="A140" t="s">
        <v>210</v>
      </c>
      <c r="B140" t="s">
        <v>40</v>
      </c>
      <c r="C140">
        <v>81</v>
      </c>
      <c r="D140">
        <v>8.5</v>
      </c>
      <c r="G140">
        <v>6.4</v>
      </c>
      <c r="H140">
        <v>4</v>
      </c>
      <c r="I140">
        <v>-0.3</v>
      </c>
      <c r="J140">
        <v>-3.8</v>
      </c>
      <c r="N140">
        <v>13345</v>
      </c>
    </row>
    <row r="141" spans="1:14" x14ac:dyDescent="0.3">
      <c r="A141" t="s">
        <v>356</v>
      </c>
      <c r="B141" t="s">
        <v>48</v>
      </c>
      <c r="C141">
        <v>102.1</v>
      </c>
      <c r="D141">
        <v>8.5</v>
      </c>
      <c r="F141">
        <v>2</v>
      </c>
      <c r="G141">
        <v>6.5</v>
      </c>
      <c r="H141">
        <v>6.2</v>
      </c>
      <c r="I141">
        <v>1.4</v>
      </c>
      <c r="J141">
        <v>7.6</v>
      </c>
      <c r="N141">
        <v>14107</v>
      </c>
    </row>
    <row r="142" spans="1:14" x14ac:dyDescent="0.3">
      <c r="A142" t="s">
        <v>122</v>
      </c>
      <c r="B142" t="s">
        <v>95</v>
      </c>
      <c r="C142">
        <v>59</v>
      </c>
      <c r="D142">
        <v>8.5</v>
      </c>
      <c r="E142">
        <v>4.5</v>
      </c>
      <c r="G142">
        <v>5.9</v>
      </c>
      <c r="H142">
        <v>2</v>
      </c>
      <c r="I142">
        <v>1.8</v>
      </c>
      <c r="J142">
        <v>-0.5</v>
      </c>
      <c r="N142">
        <v>5358</v>
      </c>
    </row>
    <row r="143" spans="1:14" x14ac:dyDescent="0.3">
      <c r="A143" t="s">
        <v>375</v>
      </c>
      <c r="B143" t="s">
        <v>36</v>
      </c>
      <c r="C143">
        <v>73</v>
      </c>
      <c r="D143">
        <v>8.5</v>
      </c>
      <c r="E143">
        <v>4.2</v>
      </c>
      <c r="G143">
        <v>7.7</v>
      </c>
      <c r="H143">
        <v>3.9</v>
      </c>
      <c r="J143">
        <v>-4.8</v>
      </c>
      <c r="N143">
        <v>17281</v>
      </c>
    </row>
    <row r="144" spans="1:14" x14ac:dyDescent="0.3">
      <c r="A144" t="s">
        <v>317</v>
      </c>
      <c r="B144" t="s">
        <v>66</v>
      </c>
      <c r="C144">
        <v>165.1</v>
      </c>
      <c r="D144">
        <v>8.5</v>
      </c>
      <c r="E144">
        <v>3.4</v>
      </c>
      <c r="G144">
        <v>5.2</v>
      </c>
      <c r="H144">
        <v>5.0999999999999996</v>
      </c>
      <c r="J144">
        <v>-4.5</v>
      </c>
      <c r="N144">
        <v>6902</v>
      </c>
    </row>
    <row r="145" spans="1:14" x14ac:dyDescent="0.3">
      <c r="A145" t="s">
        <v>185</v>
      </c>
      <c r="B145" t="s">
        <v>83</v>
      </c>
      <c r="C145">
        <v>207.2</v>
      </c>
      <c r="D145">
        <v>8.5</v>
      </c>
      <c r="E145">
        <v>4</v>
      </c>
      <c r="G145">
        <v>3.8</v>
      </c>
      <c r="H145">
        <v>4.2</v>
      </c>
      <c r="I145">
        <v>9.1999999999999993</v>
      </c>
      <c r="J145">
        <v>-3.5</v>
      </c>
      <c r="N145">
        <v>5524</v>
      </c>
    </row>
    <row r="146" spans="1:14" x14ac:dyDescent="0.3">
      <c r="A146" t="s">
        <v>247</v>
      </c>
      <c r="B146" t="s">
        <v>40</v>
      </c>
      <c r="C146">
        <v>182</v>
      </c>
      <c r="D146">
        <v>8.5</v>
      </c>
      <c r="E146">
        <v>4.4000000000000004</v>
      </c>
      <c r="F146">
        <v>2.2999999999999998</v>
      </c>
      <c r="G146">
        <v>4.5999999999999996</v>
      </c>
      <c r="I146">
        <v>-0.3</v>
      </c>
      <c r="J146">
        <v>-6.1</v>
      </c>
      <c r="N146">
        <v>15764</v>
      </c>
    </row>
    <row r="147" spans="1:14" x14ac:dyDescent="0.3">
      <c r="A147" t="s">
        <v>366</v>
      </c>
      <c r="B147" t="s">
        <v>62</v>
      </c>
      <c r="C147">
        <v>51.2</v>
      </c>
      <c r="D147">
        <v>8.5</v>
      </c>
      <c r="H147">
        <v>2.7</v>
      </c>
      <c r="I147">
        <v>2.5</v>
      </c>
      <c r="J147">
        <v>-3.1</v>
      </c>
      <c r="N147">
        <v>11964</v>
      </c>
    </row>
    <row r="148" spans="1:14" x14ac:dyDescent="0.3">
      <c r="A148" t="s">
        <v>65</v>
      </c>
      <c r="B148" t="s">
        <v>66</v>
      </c>
      <c r="C148">
        <v>57.2</v>
      </c>
      <c r="D148">
        <v>8.4</v>
      </c>
      <c r="G148">
        <v>4.8</v>
      </c>
      <c r="H148">
        <v>3.1</v>
      </c>
      <c r="J148">
        <v>-7.2</v>
      </c>
      <c r="N148">
        <v>13758</v>
      </c>
    </row>
    <row r="149" spans="1:14" x14ac:dyDescent="0.3">
      <c r="A149" t="s">
        <v>248</v>
      </c>
      <c r="B149" t="s">
        <v>77</v>
      </c>
      <c r="C149">
        <v>171.2</v>
      </c>
      <c r="D149">
        <v>8.4</v>
      </c>
      <c r="E149">
        <v>5.4</v>
      </c>
      <c r="G149">
        <v>3.8</v>
      </c>
      <c r="H149">
        <v>3.4</v>
      </c>
      <c r="J149">
        <v>-3.6</v>
      </c>
      <c r="N149">
        <v>4930</v>
      </c>
    </row>
    <row r="150" spans="1:14" x14ac:dyDescent="0.3">
      <c r="A150" t="s">
        <v>258</v>
      </c>
      <c r="B150" t="s">
        <v>75</v>
      </c>
      <c r="C150">
        <v>117</v>
      </c>
      <c r="D150">
        <v>8.4</v>
      </c>
      <c r="G150">
        <v>5.4</v>
      </c>
      <c r="H150">
        <v>5.7</v>
      </c>
      <c r="I150">
        <v>1.8</v>
      </c>
      <c r="J150">
        <v>-2.8</v>
      </c>
      <c r="N150">
        <v>10811</v>
      </c>
    </row>
    <row r="151" spans="1:14" x14ac:dyDescent="0.3">
      <c r="A151" t="s">
        <v>151</v>
      </c>
      <c r="B151" t="s">
        <v>40</v>
      </c>
      <c r="C151">
        <v>61.1</v>
      </c>
      <c r="D151">
        <v>8.4</v>
      </c>
      <c r="H151">
        <v>2</v>
      </c>
      <c r="I151">
        <v>-0.6</v>
      </c>
      <c r="N151">
        <v>11384</v>
      </c>
    </row>
    <row r="152" spans="1:14" x14ac:dyDescent="0.3">
      <c r="A152" t="s">
        <v>281</v>
      </c>
      <c r="B152" t="s">
        <v>28</v>
      </c>
      <c r="C152">
        <v>74.2</v>
      </c>
      <c r="D152">
        <v>8.4</v>
      </c>
      <c r="E152">
        <v>3.4</v>
      </c>
      <c r="G152">
        <v>5.0999999999999996</v>
      </c>
      <c r="H152">
        <v>3.4</v>
      </c>
      <c r="I152">
        <v>-0.9</v>
      </c>
      <c r="J152">
        <v>-8.1999999999999993</v>
      </c>
      <c r="N152">
        <v>7531</v>
      </c>
    </row>
    <row r="153" spans="1:14" x14ac:dyDescent="0.3">
      <c r="A153" t="s">
        <v>340</v>
      </c>
      <c r="B153" t="s">
        <v>193</v>
      </c>
      <c r="C153">
        <v>161.19999999999999</v>
      </c>
      <c r="D153">
        <v>8.4</v>
      </c>
      <c r="H153">
        <v>4.3</v>
      </c>
      <c r="I153">
        <v>1</v>
      </c>
      <c r="J153">
        <v>-9.4</v>
      </c>
      <c r="N153">
        <v>20633</v>
      </c>
    </row>
    <row r="154" spans="1:14" x14ac:dyDescent="0.3">
      <c r="A154" t="s">
        <v>286</v>
      </c>
      <c r="B154" t="s">
        <v>43</v>
      </c>
      <c r="C154">
        <v>55</v>
      </c>
      <c r="D154">
        <v>8.4</v>
      </c>
      <c r="G154">
        <v>4.0999999999999996</v>
      </c>
      <c r="H154">
        <v>3.7</v>
      </c>
      <c r="I154">
        <v>0.7</v>
      </c>
      <c r="J154">
        <v>-8.3000000000000007</v>
      </c>
      <c r="N154">
        <v>16159</v>
      </c>
    </row>
    <row r="155" spans="1:14" x14ac:dyDescent="0.3">
      <c r="A155" t="s">
        <v>298</v>
      </c>
      <c r="B155" t="s">
        <v>143</v>
      </c>
      <c r="C155">
        <v>78</v>
      </c>
      <c r="D155">
        <v>8.4</v>
      </c>
      <c r="E155">
        <v>6.4</v>
      </c>
      <c r="G155">
        <v>4.3</v>
      </c>
      <c r="H155">
        <v>1.7</v>
      </c>
      <c r="I155">
        <v>3.7</v>
      </c>
      <c r="J155">
        <v>-2.6</v>
      </c>
      <c r="N155">
        <v>5448</v>
      </c>
    </row>
    <row r="156" spans="1:14" x14ac:dyDescent="0.3">
      <c r="A156" t="s">
        <v>137</v>
      </c>
      <c r="B156" t="s">
        <v>83</v>
      </c>
      <c r="C156">
        <v>181.1</v>
      </c>
      <c r="D156">
        <v>8.4</v>
      </c>
      <c r="E156">
        <v>6.1</v>
      </c>
      <c r="F156">
        <v>4.8</v>
      </c>
      <c r="G156">
        <v>4.8</v>
      </c>
      <c r="I156">
        <v>3.4</v>
      </c>
      <c r="J156">
        <v>-7</v>
      </c>
      <c r="N156">
        <v>3254</v>
      </c>
    </row>
    <row r="157" spans="1:14" x14ac:dyDescent="0.3">
      <c r="A157" t="s">
        <v>31</v>
      </c>
      <c r="B157" t="s">
        <v>32</v>
      </c>
      <c r="C157">
        <v>60.2</v>
      </c>
      <c r="D157">
        <v>8.4</v>
      </c>
      <c r="H157">
        <v>4.2</v>
      </c>
      <c r="J157">
        <v>-11.2</v>
      </c>
      <c r="N157">
        <v>14374</v>
      </c>
    </row>
    <row r="158" spans="1:14" x14ac:dyDescent="0.3">
      <c r="A158" t="s">
        <v>277</v>
      </c>
      <c r="B158" t="s">
        <v>58</v>
      </c>
      <c r="C158">
        <v>63.2</v>
      </c>
      <c r="D158">
        <v>8.4</v>
      </c>
      <c r="G158">
        <v>6</v>
      </c>
      <c r="H158">
        <v>5.6</v>
      </c>
      <c r="I158">
        <v>2.2999999999999998</v>
      </c>
      <c r="J158">
        <v>-7.6</v>
      </c>
      <c r="N158">
        <v>13696</v>
      </c>
    </row>
    <row r="159" spans="1:14" x14ac:dyDescent="0.3">
      <c r="A159" t="s">
        <v>60</v>
      </c>
      <c r="B159" t="s">
        <v>48</v>
      </c>
      <c r="C159">
        <v>73</v>
      </c>
      <c r="D159">
        <v>8.4</v>
      </c>
      <c r="G159">
        <v>5.3</v>
      </c>
      <c r="H159">
        <v>5.9</v>
      </c>
      <c r="I159">
        <v>0.4</v>
      </c>
      <c r="N159">
        <v>7146</v>
      </c>
    </row>
    <row r="160" spans="1:14" x14ac:dyDescent="0.3">
      <c r="A160" t="s">
        <v>201</v>
      </c>
      <c r="B160" t="s">
        <v>53</v>
      </c>
      <c r="C160">
        <v>153.19999999999999</v>
      </c>
      <c r="D160">
        <v>8.3000000000000007</v>
      </c>
      <c r="G160">
        <v>4.9000000000000004</v>
      </c>
      <c r="H160">
        <v>1.9</v>
      </c>
      <c r="I160">
        <v>2.9</v>
      </c>
      <c r="J160">
        <v>-7.2</v>
      </c>
      <c r="N160">
        <v>18498</v>
      </c>
    </row>
    <row r="161" spans="1:14" x14ac:dyDescent="0.3">
      <c r="A161" t="s">
        <v>255</v>
      </c>
      <c r="B161" t="s">
        <v>48</v>
      </c>
      <c r="C161">
        <v>149.19999999999999</v>
      </c>
      <c r="D161">
        <v>8.3000000000000007</v>
      </c>
      <c r="G161">
        <v>5.5</v>
      </c>
      <c r="H161">
        <v>4.4000000000000004</v>
      </c>
      <c r="J161">
        <v>-6.1</v>
      </c>
      <c r="N161">
        <v>8044</v>
      </c>
    </row>
    <row r="162" spans="1:14" x14ac:dyDescent="0.3">
      <c r="A162" t="s">
        <v>116</v>
      </c>
      <c r="B162" t="s">
        <v>56</v>
      </c>
      <c r="C162">
        <v>57.1</v>
      </c>
      <c r="D162">
        <v>8.3000000000000007</v>
      </c>
      <c r="G162">
        <v>4.9000000000000004</v>
      </c>
      <c r="I162">
        <v>-1.5</v>
      </c>
      <c r="N162">
        <v>9111</v>
      </c>
    </row>
    <row r="163" spans="1:14" x14ac:dyDescent="0.3">
      <c r="A163" t="s">
        <v>199</v>
      </c>
      <c r="B163" t="s">
        <v>40</v>
      </c>
      <c r="C163">
        <v>143</v>
      </c>
      <c r="D163">
        <v>8.3000000000000007</v>
      </c>
      <c r="G163">
        <v>4.5999999999999996</v>
      </c>
      <c r="H163">
        <v>4.9000000000000004</v>
      </c>
      <c r="J163">
        <v>-3.3</v>
      </c>
      <c r="N163">
        <v>17149</v>
      </c>
    </row>
    <row r="164" spans="1:14" x14ac:dyDescent="0.3">
      <c r="A164" t="s">
        <v>393</v>
      </c>
      <c r="B164" t="s">
        <v>46</v>
      </c>
      <c r="C164">
        <v>89.1</v>
      </c>
      <c r="D164">
        <v>8.3000000000000007</v>
      </c>
      <c r="H164">
        <v>3.9</v>
      </c>
      <c r="I164">
        <v>3.3</v>
      </c>
      <c r="J164">
        <v>-7.9</v>
      </c>
      <c r="N164">
        <v>17969</v>
      </c>
    </row>
    <row r="165" spans="1:14" x14ac:dyDescent="0.3">
      <c r="A165" t="s">
        <v>149</v>
      </c>
      <c r="B165" t="s">
        <v>71</v>
      </c>
      <c r="C165">
        <v>121.2</v>
      </c>
      <c r="D165">
        <v>8.3000000000000007</v>
      </c>
      <c r="G165">
        <v>6</v>
      </c>
      <c r="H165">
        <v>4.0999999999999996</v>
      </c>
      <c r="I165">
        <v>0.9</v>
      </c>
      <c r="J165">
        <v>-1.6</v>
      </c>
      <c r="N165">
        <v>16162</v>
      </c>
    </row>
    <row r="166" spans="1:14" x14ac:dyDescent="0.3">
      <c r="A166" t="s">
        <v>241</v>
      </c>
      <c r="B166" t="s">
        <v>98</v>
      </c>
      <c r="C166">
        <v>183.1</v>
      </c>
      <c r="D166">
        <v>8.3000000000000007</v>
      </c>
      <c r="E166">
        <v>5.7</v>
      </c>
      <c r="G166">
        <v>4.5999999999999996</v>
      </c>
      <c r="H166">
        <v>7</v>
      </c>
      <c r="I166">
        <v>7.4</v>
      </c>
      <c r="J166">
        <v>-8</v>
      </c>
      <c r="N166">
        <v>11156</v>
      </c>
    </row>
    <row r="167" spans="1:14" x14ac:dyDescent="0.3">
      <c r="A167" t="s">
        <v>208</v>
      </c>
      <c r="B167" t="s">
        <v>26</v>
      </c>
      <c r="C167">
        <v>73</v>
      </c>
      <c r="D167">
        <v>8.3000000000000007</v>
      </c>
      <c r="G167">
        <v>7.5</v>
      </c>
      <c r="H167">
        <v>5.7</v>
      </c>
      <c r="I167">
        <v>-0.4</v>
      </c>
      <c r="N167">
        <v>17186</v>
      </c>
    </row>
    <row r="168" spans="1:14" x14ac:dyDescent="0.3">
      <c r="A168" t="s">
        <v>111</v>
      </c>
      <c r="B168" t="s">
        <v>93</v>
      </c>
      <c r="C168">
        <v>202</v>
      </c>
      <c r="D168">
        <v>8.3000000000000007</v>
      </c>
      <c r="G168">
        <v>5.8</v>
      </c>
      <c r="H168">
        <v>5.2</v>
      </c>
      <c r="I168">
        <v>-1</v>
      </c>
      <c r="J168">
        <v>-1.5</v>
      </c>
      <c r="N168">
        <v>9323</v>
      </c>
    </row>
    <row r="169" spans="1:14" x14ac:dyDescent="0.3">
      <c r="A169" t="s">
        <v>344</v>
      </c>
      <c r="B169" t="s">
        <v>48</v>
      </c>
      <c r="C169">
        <v>76</v>
      </c>
      <c r="D169">
        <v>8.3000000000000007</v>
      </c>
      <c r="G169">
        <v>7.7</v>
      </c>
      <c r="H169">
        <v>2.8</v>
      </c>
      <c r="I169">
        <v>-1.4</v>
      </c>
      <c r="J169">
        <v>-7.1</v>
      </c>
      <c r="N169">
        <v>13761</v>
      </c>
    </row>
    <row r="170" spans="1:14" x14ac:dyDescent="0.3">
      <c r="A170" t="s">
        <v>355</v>
      </c>
      <c r="B170" t="s">
        <v>193</v>
      </c>
      <c r="C170">
        <v>121.1</v>
      </c>
      <c r="D170">
        <v>8.3000000000000007</v>
      </c>
      <c r="E170">
        <v>5.4</v>
      </c>
      <c r="G170">
        <v>5.7</v>
      </c>
      <c r="H170">
        <v>3</v>
      </c>
      <c r="I170">
        <v>-3.4</v>
      </c>
      <c r="J170">
        <v>-5.2</v>
      </c>
      <c r="N170">
        <v>5221</v>
      </c>
    </row>
    <row r="171" spans="1:14" x14ac:dyDescent="0.3">
      <c r="A171" t="s">
        <v>123</v>
      </c>
      <c r="B171" t="s">
        <v>48</v>
      </c>
      <c r="C171">
        <v>55.2</v>
      </c>
      <c r="D171">
        <v>8.3000000000000007</v>
      </c>
      <c r="E171">
        <v>2.9</v>
      </c>
      <c r="F171">
        <v>1.5</v>
      </c>
      <c r="G171">
        <v>6.1</v>
      </c>
      <c r="I171">
        <v>-1.8</v>
      </c>
      <c r="N171">
        <v>11847</v>
      </c>
    </row>
    <row r="172" spans="1:14" x14ac:dyDescent="0.3">
      <c r="A172" t="s">
        <v>88</v>
      </c>
      <c r="B172" t="s">
        <v>89</v>
      </c>
      <c r="C172">
        <v>175.1</v>
      </c>
      <c r="D172">
        <v>8.3000000000000007</v>
      </c>
      <c r="E172">
        <v>5.0999999999999996</v>
      </c>
      <c r="G172">
        <v>5.3</v>
      </c>
      <c r="H172">
        <v>4.9000000000000004</v>
      </c>
      <c r="I172">
        <v>-3.1</v>
      </c>
      <c r="J172">
        <v>-7.7</v>
      </c>
      <c r="K172">
        <v>-8.3000000000000007</v>
      </c>
      <c r="N172">
        <v>12768</v>
      </c>
    </row>
    <row r="173" spans="1:14" x14ac:dyDescent="0.3">
      <c r="A173" t="s">
        <v>94</v>
      </c>
      <c r="B173" t="s">
        <v>95</v>
      </c>
      <c r="C173">
        <v>67.2</v>
      </c>
      <c r="D173">
        <v>8.1999999999999993</v>
      </c>
      <c r="F173">
        <v>-0.3</v>
      </c>
      <c r="G173">
        <v>4.7</v>
      </c>
      <c r="N173">
        <v>11804</v>
      </c>
    </row>
    <row r="174" spans="1:14" x14ac:dyDescent="0.3">
      <c r="A174" t="s">
        <v>217</v>
      </c>
      <c r="B174" t="s">
        <v>89</v>
      </c>
      <c r="C174">
        <v>67</v>
      </c>
      <c r="D174">
        <v>8.1999999999999993</v>
      </c>
      <c r="G174">
        <v>5.4</v>
      </c>
      <c r="H174">
        <v>1.4</v>
      </c>
      <c r="I174">
        <v>0.4</v>
      </c>
      <c r="N174">
        <v>17130</v>
      </c>
    </row>
    <row r="175" spans="1:14" x14ac:dyDescent="0.3">
      <c r="A175" t="s">
        <v>336</v>
      </c>
      <c r="B175" t="s">
        <v>43</v>
      </c>
      <c r="C175">
        <v>184</v>
      </c>
      <c r="D175">
        <v>8.1999999999999993</v>
      </c>
      <c r="E175">
        <v>7.3</v>
      </c>
      <c r="G175">
        <v>6.3</v>
      </c>
      <c r="H175">
        <v>5.6</v>
      </c>
      <c r="I175">
        <v>1.1000000000000001</v>
      </c>
      <c r="J175">
        <v>-3.1</v>
      </c>
      <c r="N175">
        <v>16400</v>
      </c>
    </row>
    <row r="176" spans="1:14" x14ac:dyDescent="0.3">
      <c r="A176" t="s">
        <v>392</v>
      </c>
      <c r="B176" t="s">
        <v>62</v>
      </c>
      <c r="C176">
        <v>81</v>
      </c>
      <c r="D176">
        <v>8.1999999999999993</v>
      </c>
      <c r="G176">
        <v>4.8</v>
      </c>
      <c r="H176">
        <v>3.8</v>
      </c>
      <c r="I176">
        <v>-1.1000000000000001</v>
      </c>
      <c r="J176">
        <v>-4.8</v>
      </c>
      <c r="N176">
        <v>19911</v>
      </c>
    </row>
    <row r="177" spans="1:14" x14ac:dyDescent="0.3">
      <c r="A177" t="s">
        <v>388</v>
      </c>
      <c r="B177" t="s">
        <v>159</v>
      </c>
      <c r="C177">
        <v>112</v>
      </c>
      <c r="D177">
        <v>8.1999999999999993</v>
      </c>
      <c r="G177">
        <v>3.9</v>
      </c>
      <c r="H177">
        <v>2.8</v>
      </c>
      <c r="I177">
        <v>3.5</v>
      </c>
      <c r="J177">
        <v>-3.7</v>
      </c>
      <c r="N177">
        <v>4505</v>
      </c>
    </row>
    <row r="178" spans="1:14" x14ac:dyDescent="0.3">
      <c r="A178" t="s">
        <v>313</v>
      </c>
      <c r="B178" t="s">
        <v>71</v>
      </c>
      <c r="C178">
        <v>52</v>
      </c>
      <c r="D178">
        <v>8.1999999999999993</v>
      </c>
      <c r="F178">
        <v>2</v>
      </c>
      <c r="G178">
        <v>4.4000000000000004</v>
      </c>
      <c r="J178">
        <v>-3.9</v>
      </c>
      <c r="N178">
        <v>9490</v>
      </c>
    </row>
    <row r="179" spans="1:14" x14ac:dyDescent="0.3">
      <c r="A179" t="s">
        <v>157</v>
      </c>
      <c r="B179" t="s">
        <v>30</v>
      </c>
      <c r="C179">
        <v>65.099999999999994</v>
      </c>
      <c r="D179">
        <v>8.1999999999999993</v>
      </c>
      <c r="G179">
        <v>4.2</v>
      </c>
      <c r="H179">
        <v>7.5</v>
      </c>
      <c r="J179">
        <v>-3.3</v>
      </c>
      <c r="N179">
        <v>13549</v>
      </c>
    </row>
    <row r="180" spans="1:14" x14ac:dyDescent="0.3">
      <c r="A180" t="s">
        <v>343</v>
      </c>
      <c r="B180" t="s">
        <v>38</v>
      </c>
      <c r="C180">
        <v>174.1</v>
      </c>
      <c r="D180">
        <v>8.1999999999999993</v>
      </c>
      <c r="F180">
        <v>7.8</v>
      </c>
      <c r="G180">
        <v>3.8</v>
      </c>
      <c r="H180">
        <v>3.5</v>
      </c>
      <c r="I180">
        <v>1.7</v>
      </c>
      <c r="J180">
        <v>-5.0999999999999996</v>
      </c>
      <c r="N180">
        <v>2717</v>
      </c>
    </row>
    <row r="181" spans="1:14" x14ac:dyDescent="0.3">
      <c r="A181" t="s">
        <v>265</v>
      </c>
      <c r="B181" t="s">
        <v>48</v>
      </c>
      <c r="C181">
        <v>163.1</v>
      </c>
      <c r="D181">
        <v>8.1999999999999993</v>
      </c>
      <c r="F181">
        <v>1.5</v>
      </c>
      <c r="G181">
        <v>6</v>
      </c>
      <c r="I181">
        <v>2.7</v>
      </c>
      <c r="J181">
        <v>-5.7</v>
      </c>
      <c r="N181">
        <v>8362</v>
      </c>
    </row>
    <row r="182" spans="1:14" x14ac:dyDescent="0.3">
      <c r="A182" t="s">
        <v>220</v>
      </c>
      <c r="B182" t="s">
        <v>26</v>
      </c>
      <c r="C182">
        <v>163.19999999999999</v>
      </c>
      <c r="D182">
        <v>8.1999999999999993</v>
      </c>
      <c r="E182">
        <v>6.9</v>
      </c>
      <c r="G182">
        <v>7</v>
      </c>
      <c r="H182">
        <v>-0.8</v>
      </c>
      <c r="I182">
        <v>8.8000000000000007</v>
      </c>
      <c r="J182">
        <v>-4.2</v>
      </c>
      <c r="N182">
        <v>19320</v>
      </c>
    </row>
    <row r="183" spans="1:14" x14ac:dyDescent="0.3">
      <c r="A183" t="s">
        <v>294</v>
      </c>
      <c r="B183" t="s">
        <v>28</v>
      </c>
      <c r="C183">
        <v>69</v>
      </c>
      <c r="D183">
        <v>8.1999999999999993</v>
      </c>
      <c r="G183">
        <v>8.8000000000000007</v>
      </c>
      <c r="H183">
        <v>1.6</v>
      </c>
      <c r="I183">
        <v>-0.6</v>
      </c>
      <c r="N183">
        <v>12763</v>
      </c>
    </row>
    <row r="184" spans="1:14" x14ac:dyDescent="0.3">
      <c r="A184" t="s">
        <v>395</v>
      </c>
      <c r="B184" t="s">
        <v>43</v>
      </c>
      <c r="C184">
        <v>58.2</v>
      </c>
      <c r="D184">
        <v>8.1999999999999993</v>
      </c>
      <c r="E184">
        <v>5</v>
      </c>
      <c r="G184">
        <v>7.1</v>
      </c>
      <c r="H184">
        <v>2.2000000000000002</v>
      </c>
      <c r="I184">
        <v>0.3</v>
      </c>
      <c r="J184">
        <v>-3.4</v>
      </c>
      <c r="N184">
        <v>14825</v>
      </c>
    </row>
    <row r="185" spans="1:14" x14ac:dyDescent="0.3">
      <c r="A185" t="s">
        <v>373</v>
      </c>
      <c r="B185" t="s">
        <v>48</v>
      </c>
      <c r="C185">
        <v>84.1</v>
      </c>
      <c r="D185">
        <v>8.1999999999999993</v>
      </c>
      <c r="G185">
        <v>6.4</v>
      </c>
      <c r="H185">
        <v>6.1</v>
      </c>
      <c r="I185">
        <v>1.6</v>
      </c>
      <c r="J185">
        <v>-1.2</v>
      </c>
      <c r="N185">
        <v>4141</v>
      </c>
    </row>
    <row r="186" spans="1:14" x14ac:dyDescent="0.3">
      <c r="A186" t="s">
        <v>156</v>
      </c>
      <c r="B186" t="s">
        <v>71</v>
      </c>
      <c r="C186">
        <v>111.1</v>
      </c>
      <c r="D186">
        <v>8.1999999999999993</v>
      </c>
      <c r="G186">
        <v>4.3</v>
      </c>
      <c r="H186">
        <v>2.2999999999999998</v>
      </c>
      <c r="I186">
        <v>2.4</v>
      </c>
      <c r="J186">
        <v>-9.6</v>
      </c>
      <c r="N186">
        <v>12718</v>
      </c>
    </row>
    <row r="187" spans="1:14" x14ac:dyDescent="0.3">
      <c r="A187" t="s">
        <v>302</v>
      </c>
      <c r="B187" t="s">
        <v>159</v>
      </c>
      <c r="C187">
        <v>53.2</v>
      </c>
      <c r="D187">
        <v>8.1</v>
      </c>
      <c r="G187">
        <v>5.9</v>
      </c>
      <c r="H187">
        <v>3.6</v>
      </c>
      <c r="I187">
        <v>2.7</v>
      </c>
      <c r="J187">
        <v>-1.5</v>
      </c>
      <c r="N187">
        <v>17735</v>
      </c>
    </row>
    <row r="188" spans="1:14" x14ac:dyDescent="0.3">
      <c r="A188" t="s">
        <v>165</v>
      </c>
      <c r="B188" t="s">
        <v>98</v>
      </c>
      <c r="C188">
        <v>52.2</v>
      </c>
      <c r="D188">
        <v>8.1</v>
      </c>
      <c r="G188">
        <v>6.3</v>
      </c>
      <c r="I188">
        <v>-0.6</v>
      </c>
      <c r="N188">
        <v>12988</v>
      </c>
    </row>
    <row r="189" spans="1:14" x14ac:dyDescent="0.3">
      <c r="A189" t="s">
        <v>142</v>
      </c>
      <c r="B189" t="s">
        <v>143</v>
      </c>
      <c r="C189">
        <v>208.1</v>
      </c>
      <c r="D189">
        <v>8.1</v>
      </c>
      <c r="G189">
        <v>0</v>
      </c>
      <c r="H189">
        <v>5.8</v>
      </c>
      <c r="I189">
        <v>0.9</v>
      </c>
      <c r="J189">
        <v>-6.8</v>
      </c>
      <c r="N189">
        <v>10021</v>
      </c>
    </row>
    <row r="190" spans="1:14" x14ac:dyDescent="0.3">
      <c r="A190" t="s">
        <v>117</v>
      </c>
      <c r="B190" t="s">
        <v>93</v>
      </c>
      <c r="C190">
        <v>209</v>
      </c>
      <c r="D190">
        <v>8.1</v>
      </c>
      <c r="G190">
        <v>5.4</v>
      </c>
      <c r="H190">
        <v>0.9</v>
      </c>
      <c r="I190">
        <v>2.7</v>
      </c>
      <c r="J190">
        <v>-5.4</v>
      </c>
      <c r="N190">
        <v>10131</v>
      </c>
    </row>
    <row r="191" spans="1:14" x14ac:dyDescent="0.3">
      <c r="A191" t="s">
        <v>160</v>
      </c>
      <c r="B191" t="s">
        <v>75</v>
      </c>
      <c r="C191">
        <v>79.099999999999994</v>
      </c>
      <c r="D191">
        <v>8.1</v>
      </c>
      <c r="E191">
        <v>5.3</v>
      </c>
      <c r="H191">
        <v>3.2</v>
      </c>
      <c r="J191">
        <v>-5.2</v>
      </c>
      <c r="N191">
        <v>9388</v>
      </c>
    </row>
    <row r="192" spans="1:14" x14ac:dyDescent="0.3">
      <c r="A192" t="s">
        <v>303</v>
      </c>
      <c r="B192" t="s">
        <v>36</v>
      </c>
      <c r="C192">
        <v>60.2</v>
      </c>
      <c r="D192">
        <v>8</v>
      </c>
      <c r="H192">
        <v>5.2</v>
      </c>
      <c r="I192">
        <v>-2.6</v>
      </c>
      <c r="J192">
        <v>-6.9</v>
      </c>
      <c r="N192">
        <v>13133</v>
      </c>
    </row>
    <row r="193" spans="1:14" x14ac:dyDescent="0.3">
      <c r="A193" t="s">
        <v>374</v>
      </c>
      <c r="B193" t="s">
        <v>43</v>
      </c>
      <c r="C193">
        <v>51.1</v>
      </c>
      <c r="D193">
        <v>8</v>
      </c>
      <c r="E193">
        <v>5.7</v>
      </c>
      <c r="G193">
        <v>7.5</v>
      </c>
      <c r="H193">
        <v>5.0999999999999996</v>
      </c>
      <c r="I193">
        <v>-1.9</v>
      </c>
      <c r="J193">
        <v>-2.2000000000000002</v>
      </c>
      <c r="N193">
        <v>6033</v>
      </c>
    </row>
    <row r="194" spans="1:14" x14ac:dyDescent="0.3">
      <c r="A194" t="s">
        <v>216</v>
      </c>
      <c r="B194" t="s">
        <v>50</v>
      </c>
      <c r="C194">
        <v>184</v>
      </c>
      <c r="D194">
        <v>8</v>
      </c>
      <c r="G194">
        <v>6.2</v>
      </c>
      <c r="H194">
        <v>3.2</v>
      </c>
      <c r="I194">
        <v>0.8</v>
      </c>
      <c r="J194">
        <v>-9.5</v>
      </c>
      <c r="N194">
        <v>9803</v>
      </c>
    </row>
    <row r="195" spans="1:14" x14ac:dyDescent="0.3">
      <c r="A195" t="s">
        <v>141</v>
      </c>
      <c r="B195" t="s">
        <v>98</v>
      </c>
      <c r="C195">
        <v>83.1</v>
      </c>
      <c r="D195">
        <v>8</v>
      </c>
      <c r="E195">
        <v>3.9</v>
      </c>
      <c r="G195">
        <v>4.3</v>
      </c>
      <c r="H195">
        <v>0.9</v>
      </c>
      <c r="J195">
        <v>-2.9</v>
      </c>
      <c r="N195">
        <v>18333</v>
      </c>
    </row>
    <row r="196" spans="1:14" x14ac:dyDescent="0.3">
      <c r="A196" t="s">
        <v>128</v>
      </c>
      <c r="B196" t="s">
        <v>98</v>
      </c>
      <c r="C196">
        <v>60.2</v>
      </c>
      <c r="D196">
        <v>8</v>
      </c>
      <c r="H196">
        <v>5.2</v>
      </c>
      <c r="I196">
        <v>-1.1000000000000001</v>
      </c>
      <c r="N196">
        <v>17181</v>
      </c>
    </row>
    <row r="197" spans="1:14" x14ac:dyDescent="0.3">
      <c r="A197" t="s">
        <v>350</v>
      </c>
      <c r="B197" t="s">
        <v>48</v>
      </c>
      <c r="C197">
        <v>110</v>
      </c>
      <c r="D197">
        <v>8</v>
      </c>
      <c r="G197">
        <v>5</v>
      </c>
      <c r="H197">
        <v>-0.3</v>
      </c>
      <c r="I197">
        <v>0.6</v>
      </c>
      <c r="J197">
        <v>-3.5</v>
      </c>
      <c r="N197">
        <v>12272</v>
      </c>
    </row>
    <row r="198" spans="1:14" x14ac:dyDescent="0.3">
      <c r="A198" t="s">
        <v>154</v>
      </c>
      <c r="B198" t="s">
        <v>28</v>
      </c>
      <c r="C198">
        <v>60.2</v>
      </c>
      <c r="D198">
        <v>8</v>
      </c>
      <c r="G198">
        <v>5.0999999999999996</v>
      </c>
      <c r="H198">
        <v>2.2000000000000002</v>
      </c>
      <c r="I198">
        <v>-1.2</v>
      </c>
      <c r="N198">
        <v>2391</v>
      </c>
    </row>
    <row r="199" spans="1:14" x14ac:dyDescent="0.3">
      <c r="A199" t="s">
        <v>227</v>
      </c>
      <c r="B199" t="s">
        <v>58</v>
      </c>
      <c r="C199">
        <v>197.2</v>
      </c>
      <c r="D199">
        <v>8</v>
      </c>
      <c r="G199">
        <v>5.0999999999999996</v>
      </c>
      <c r="H199">
        <v>4.0999999999999996</v>
      </c>
      <c r="I199">
        <v>-0.3</v>
      </c>
      <c r="J199">
        <v>-2.7</v>
      </c>
      <c r="N199">
        <v>11762</v>
      </c>
    </row>
    <row r="200" spans="1:14" x14ac:dyDescent="0.3">
      <c r="A200" t="s">
        <v>384</v>
      </c>
      <c r="B200" t="s">
        <v>43</v>
      </c>
      <c r="C200">
        <v>69.2</v>
      </c>
      <c r="D200">
        <v>8</v>
      </c>
      <c r="E200">
        <v>3.1</v>
      </c>
      <c r="G200">
        <v>3.9</v>
      </c>
      <c r="H200">
        <v>3</v>
      </c>
      <c r="I200">
        <v>1.7</v>
      </c>
      <c r="J200">
        <v>-4.5</v>
      </c>
      <c r="N200">
        <v>2859</v>
      </c>
    </row>
    <row r="201" spans="1:14" x14ac:dyDescent="0.3">
      <c r="A201" t="s">
        <v>153</v>
      </c>
      <c r="B201" t="s">
        <v>66</v>
      </c>
      <c r="C201">
        <v>200.1</v>
      </c>
      <c r="D201">
        <v>8</v>
      </c>
      <c r="G201">
        <v>4.9000000000000004</v>
      </c>
      <c r="H201">
        <v>1.1000000000000001</v>
      </c>
      <c r="I201">
        <v>3.5</v>
      </c>
      <c r="J201">
        <v>-2.4</v>
      </c>
      <c r="N201">
        <v>14168</v>
      </c>
    </row>
    <row r="202" spans="1:14" x14ac:dyDescent="0.3">
      <c r="A202" t="s">
        <v>25</v>
      </c>
      <c r="B202" t="s">
        <v>26</v>
      </c>
      <c r="C202">
        <v>60.2</v>
      </c>
      <c r="D202">
        <v>8</v>
      </c>
      <c r="F202">
        <v>-0.5</v>
      </c>
      <c r="I202">
        <v>1.2</v>
      </c>
      <c r="N202">
        <v>9073</v>
      </c>
    </row>
    <row r="203" spans="1:14" x14ac:dyDescent="0.3">
      <c r="A203" t="s">
        <v>226</v>
      </c>
      <c r="B203" t="s">
        <v>38</v>
      </c>
      <c r="C203">
        <v>107.1</v>
      </c>
      <c r="D203">
        <v>8</v>
      </c>
      <c r="E203">
        <v>4.8</v>
      </c>
      <c r="G203">
        <v>5.8</v>
      </c>
      <c r="H203">
        <v>2.4</v>
      </c>
      <c r="J203">
        <v>-1.6</v>
      </c>
      <c r="N203">
        <v>3184</v>
      </c>
    </row>
    <row r="204" spans="1:14" x14ac:dyDescent="0.3">
      <c r="A204" t="s">
        <v>361</v>
      </c>
      <c r="B204" t="s">
        <v>143</v>
      </c>
      <c r="C204">
        <v>122.1</v>
      </c>
      <c r="D204">
        <v>7.9</v>
      </c>
      <c r="G204">
        <v>3.7</v>
      </c>
      <c r="H204">
        <v>5.0999999999999996</v>
      </c>
      <c r="I204">
        <v>0.3</v>
      </c>
      <c r="J204">
        <v>-3.7</v>
      </c>
      <c r="N204">
        <v>17030</v>
      </c>
    </row>
    <row r="205" spans="1:14" x14ac:dyDescent="0.3">
      <c r="A205" t="s">
        <v>381</v>
      </c>
      <c r="B205" t="s">
        <v>46</v>
      </c>
      <c r="C205">
        <v>70</v>
      </c>
      <c r="D205">
        <v>7.9</v>
      </c>
      <c r="H205">
        <v>2.2000000000000002</v>
      </c>
      <c r="I205">
        <v>0.4</v>
      </c>
      <c r="J205">
        <v>-7.8</v>
      </c>
      <c r="N205">
        <v>17432</v>
      </c>
    </row>
    <row r="206" spans="1:14" x14ac:dyDescent="0.3">
      <c r="A206" t="s">
        <v>291</v>
      </c>
      <c r="B206" t="s">
        <v>143</v>
      </c>
      <c r="C206">
        <v>62.1</v>
      </c>
      <c r="D206">
        <v>7.9</v>
      </c>
      <c r="G206">
        <v>5.0999999999999996</v>
      </c>
      <c r="H206">
        <v>2.5</v>
      </c>
      <c r="I206">
        <v>-0.4</v>
      </c>
      <c r="J206">
        <v>-6.4</v>
      </c>
      <c r="N206">
        <v>17369</v>
      </c>
    </row>
    <row r="207" spans="1:14" x14ac:dyDescent="0.3">
      <c r="A207" t="s">
        <v>371</v>
      </c>
      <c r="B207" t="s">
        <v>127</v>
      </c>
      <c r="C207">
        <v>136</v>
      </c>
      <c r="D207">
        <v>7.9</v>
      </c>
      <c r="G207">
        <v>6.6</v>
      </c>
      <c r="H207">
        <v>5.8</v>
      </c>
      <c r="I207">
        <v>-0.6</v>
      </c>
      <c r="J207">
        <v>-6.8</v>
      </c>
      <c r="N207">
        <v>15200</v>
      </c>
    </row>
    <row r="208" spans="1:14" x14ac:dyDescent="0.3">
      <c r="A208" t="s">
        <v>81</v>
      </c>
      <c r="B208" t="s">
        <v>50</v>
      </c>
      <c r="C208">
        <v>196.1</v>
      </c>
      <c r="D208">
        <v>7.9</v>
      </c>
      <c r="G208">
        <v>4.2</v>
      </c>
      <c r="H208">
        <v>3.4</v>
      </c>
      <c r="I208">
        <v>2</v>
      </c>
      <c r="J208">
        <v>-7.4</v>
      </c>
      <c r="N208">
        <v>17479</v>
      </c>
    </row>
    <row r="209" spans="1:14" x14ac:dyDescent="0.3">
      <c r="A209" t="s">
        <v>181</v>
      </c>
      <c r="B209" t="s">
        <v>102</v>
      </c>
      <c r="C209">
        <v>197.1</v>
      </c>
      <c r="D209">
        <v>7.9</v>
      </c>
      <c r="E209">
        <v>4.7</v>
      </c>
      <c r="G209">
        <v>4</v>
      </c>
      <c r="H209">
        <v>1.9</v>
      </c>
      <c r="I209">
        <v>-0.3</v>
      </c>
      <c r="J209">
        <v>-3.9</v>
      </c>
      <c r="N209">
        <v>18684</v>
      </c>
    </row>
    <row r="210" spans="1:14" x14ac:dyDescent="0.3">
      <c r="A210" t="s">
        <v>263</v>
      </c>
      <c r="B210" t="s">
        <v>159</v>
      </c>
      <c r="C210">
        <v>185.1</v>
      </c>
      <c r="D210">
        <v>7.9</v>
      </c>
      <c r="G210">
        <v>5.3</v>
      </c>
      <c r="H210">
        <v>5.6</v>
      </c>
      <c r="I210">
        <v>-2.1</v>
      </c>
      <c r="J210">
        <v>-4.7</v>
      </c>
      <c r="N210">
        <v>15440</v>
      </c>
    </row>
    <row r="211" spans="1:14" x14ac:dyDescent="0.3">
      <c r="A211" t="s">
        <v>187</v>
      </c>
      <c r="B211" t="s">
        <v>58</v>
      </c>
      <c r="C211">
        <v>195.1</v>
      </c>
      <c r="D211">
        <v>7.9</v>
      </c>
      <c r="F211">
        <v>3.6</v>
      </c>
      <c r="H211">
        <v>5.2</v>
      </c>
      <c r="I211">
        <v>3.1</v>
      </c>
      <c r="J211">
        <v>-7.5</v>
      </c>
      <c r="N211">
        <v>10310</v>
      </c>
    </row>
    <row r="212" spans="1:14" x14ac:dyDescent="0.3">
      <c r="A212" t="s">
        <v>365</v>
      </c>
      <c r="B212" t="s">
        <v>159</v>
      </c>
      <c r="C212">
        <v>58</v>
      </c>
      <c r="D212">
        <v>7.9</v>
      </c>
      <c r="G212">
        <v>4.7</v>
      </c>
      <c r="H212">
        <v>5.0999999999999996</v>
      </c>
      <c r="I212">
        <v>-0.6</v>
      </c>
      <c r="J212">
        <v>-9.8000000000000007</v>
      </c>
      <c r="N212">
        <v>13424</v>
      </c>
    </row>
    <row r="213" spans="1:14" x14ac:dyDescent="0.3">
      <c r="A213" t="s">
        <v>342</v>
      </c>
      <c r="B213" t="s">
        <v>93</v>
      </c>
      <c r="C213">
        <v>64</v>
      </c>
      <c r="D213">
        <v>7.9</v>
      </c>
      <c r="G213">
        <v>5.5</v>
      </c>
      <c r="H213">
        <v>4.0999999999999996</v>
      </c>
      <c r="I213">
        <v>2.6</v>
      </c>
      <c r="J213">
        <v>-3.1</v>
      </c>
      <c r="N213">
        <v>12972</v>
      </c>
    </row>
    <row r="214" spans="1:14" x14ac:dyDescent="0.3">
      <c r="A214" t="s">
        <v>346</v>
      </c>
      <c r="B214" t="s">
        <v>58</v>
      </c>
      <c r="C214">
        <v>58</v>
      </c>
      <c r="D214">
        <v>7.8</v>
      </c>
      <c r="G214">
        <v>5.4</v>
      </c>
      <c r="I214">
        <v>2.7</v>
      </c>
      <c r="N214">
        <v>14710</v>
      </c>
    </row>
    <row r="215" spans="1:14" x14ac:dyDescent="0.3">
      <c r="A215" t="s">
        <v>152</v>
      </c>
      <c r="B215" t="s">
        <v>143</v>
      </c>
      <c r="C215">
        <v>208.1</v>
      </c>
      <c r="D215">
        <v>7.8</v>
      </c>
      <c r="E215">
        <v>2.5</v>
      </c>
      <c r="G215">
        <v>3.5</v>
      </c>
      <c r="H215">
        <v>2.9</v>
      </c>
      <c r="I215">
        <v>-0.7</v>
      </c>
      <c r="J215">
        <v>-6.3</v>
      </c>
      <c r="N215">
        <v>2520</v>
      </c>
    </row>
    <row r="216" spans="1:14" x14ac:dyDescent="0.3">
      <c r="A216" t="s">
        <v>360</v>
      </c>
      <c r="B216" t="s">
        <v>43</v>
      </c>
      <c r="C216">
        <v>73</v>
      </c>
      <c r="D216">
        <v>7.8</v>
      </c>
      <c r="H216">
        <v>6.9</v>
      </c>
      <c r="I216">
        <v>-3.1</v>
      </c>
      <c r="J216">
        <v>-11.1</v>
      </c>
      <c r="N216">
        <v>18525</v>
      </c>
    </row>
    <row r="217" spans="1:14" x14ac:dyDescent="0.3">
      <c r="A217" t="s">
        <v>377</v>
      </c>
      <c r="B217" t="s">
        <v>127</v>
      </c>
      <c r="C217">
        <v>123.2</v>
      </c>
      <c r="D217">
        <v>7.8</v>
      </c>
      <c r="G217">
        <v>5</v>
      </c>
      <c r="H217">
        <v>2.9</v>
      </c>
      <c r="I217">
        <v>0.3</v>
      </c>
      <c r="J217">
        <v>-6.8</v>
      </c>
      <c r="N217">
        <v>14527</v>
      </c>
    </row>
    <row r="218" spans="1:14" x14ac:dyDescent="0.3">
      <c r="A218" t="s">
        <v>369</v>
      </c>
      <c r="B218" t="s">
        <v>38</v>
      </c>
      <c r="C218">
        <v>67.2</v>
      </c>
      <c r="D218">
        <v>7.8</v>
      </c>
      <c r="E218">
        <v>4.9000000000000004</v>
      </c>
      <c r="F218">
        <v>0.3</v>
      </c>
      <c r="I218">
        <v>-0.3</v>
      </c>
      <c r="J218">
        <v>-5.7</v>
      </c>
      <c r="N218">
        <v>9132</v>
      </c>
    </row>
    <row r="219" spans="1:14" x14ac:dyDescent="0.3">
      <c r="A219" t="s">
        <v>212</v>
      </c>
      <c r="B219" t="s">
        <v>28</v>
      </c>
      <c r="C219">
        <v>91.2</v>
      </c>
      <c r="D219">
        <v>7.8</v>
      </c>
      <c r="G219">
        <v>4</v>
      </c>
      <c r="H219">
        <v>2.2000000000000002</v>
      </c>
      <c r="I219">
        <v>3.2</v>
      </c>
      <c r="J219">
        <v>-7.8</v>
      </c>
      <c r="N219">
        <v>5401</v>
      </c>
    </row>
    <row r="220" spans="1:14" x14ac:dyDescent="0.3">
      <c r="A220" t="s">
        <v>266</v>
      </c>
      <c r="B220" t="s">
        <v>62</v>
      </c>
      <c r="C220">
        <v>96.1</v>
      </c>
      <c r="D220">
        <v>7.8</v>
      </c>
      <c r="G220">
        <v>5.5</v>
      </c>
      <c r="H220">
        <v>5.2</v>
      </c>
      <c r="I220">
        <v>-0.6</v>
      </c>
      <c r="N220">
        <v>13403</v>
      </c>
    </row>
    <row r="221" spans="1:14" x14ac:dyDescent="0.3">
      <c r="A221" t="s">
        <v>394</v>
      </c>
      <c r="B221" t="s">
        <v>48</v>
      </c>
      <c r="C221">
        <v>55.2</v>
      </c>
      <c r="D221">
        <v>7.8</v>
      </c>
      <c r="E221">
        <v>4.4000000000000004</v>
      </c>
      <c r="G221">
        <v>3.9</v>
      </c>
      <c r="H221">
        <v>3.2</v>
      </c>
      <c r="I221">
        <v>-1.9</v>
      </c>
      <c r="J221">
        <v>-6.9</v>
      </c>
      <c r="N221">
        <v>11694</v>
      </c>
    </row>
    <row r="222" spans="1:14" x14ac:dyDescent="0.3">
      <c r="A222" t="s">
        <v>309</v>
      </c>
      <c r="B222" t="s">
        <v>36</v>
      </c>
      <c r="C222">
        <v>51.1</v>
      </c>
      <c r="D222">
        <v>7.8</v>
      </c>
      <c r="G222">
        <v>5.6</v>
      </c>
      <c r="H222">
        <v>2.5</v>
      </c>
      <c r="I222">
        <v>1.6</v>
      </c>
      <c r="J222">
        <v>2</v>
      </c>
      <c r="N222">
        <v>15042</v>
      </c>
    </row>
    <row r="223" spans="1:14" x14ac:dyDescent="0.3">
      <c r="A223" t="s">
        <v>131</v>
      </c>
      <c r="B223" t="s">
        <v>77</v>
      </c>
      <c r="C223">
        <v>177</v>
      </c>
      <c r="D223">
        <v>7.8</v>
      </c>
      <c r="G223">
        <v>5.0999999999999996</v>
      </c>
      <c r="H223">
        <v>5.3</v>
      </c>
      <c r="J223">
        <v>-7.9</v>
      </c>
      <c r="N223">
        <v>12049</v>
      </c>
    </row>
    <row r="224" spans="1:14" x14ac:dyDescent="0.3">
      <c r="A224" t="s">
        <v>47</v>
      </c>
      <c r="B224" t="s">
        <v>48</v>
      </c>
      <c r="C224">
        <v>62.2</v>
      </c>
      <c r="D224">
        <v>7.8</v>
      </c>
      <c r="E224">
        <v>3.8</v>
      </c>
      <c r="G224">
        <v>4.8</v>
      </c>
      <c r="H224">
        <v>0.1</v>
      </c>
      <c r="I224">
        <v>0.7</v>
      </c>
      <c r="N224">
        <v>10756</v>
      </c>
    </row>
    <row r="225" spans="1:14" x14ac:dyDescent="0.3">
      <c r="A225" t="s">
        <v>204</v>
      </c>
      <c r="B225" t="s">
        <v>32</v>
      </c>
      <c r="C225">
        <v>51</v>
      </c>
      <c r="D225">
        <v>7.7</v>
      </c>
      <c r="E225">
        <v>2.7</v>
      </c>
      <c r="G225">
        <v>3</v>
      </c>
      <c r="I225">
        <v>-2.7</v>
      </c>
      <c r="N225">
        <v>9866</v>
      </c>
    </row>
    <row r="226" spans="1:14" x14ac:dyDescent="0.3">
      <c r="A226" t="s">
        <v>262</v>
      </c>
      <c r="B226" t="s">
        <v>53</v>
      </c>
      <c r="C226">
        <v>51.1</v>
      </c>
      <c r="D226">
        <v>7.7</v>
      </c>
      <c r="G226">
        <v>5.0999999999999996</v>
      </c>
      <c r="H226">
        <v>3.3</v>
      </c>
      <c r="J226">
        <v>-7.8</v>
      </c>
      <c r="N226">
        <v>9761</v>
      </c>
    </row>
    <row r="227" spans="1:14" x14ac:dyDescent="0.3">
      <c r="A227" t="s">
        <v>272</v>
      </c>
      <c r="B227" t="s">
        <v>95</v>
      </c>
      <c r="C227">
        <v>135.19999999999999</v>
      </c>
      <c r="D227">
        <v>7.7</v>
      </c>
      <c r="G227">
        <v>4.7</v>
      </c>
      <c r="H227">
        <v>-0.3</v>
      </c>
      <c r="I227">
        <v>4.3</v>
      </c>
      <c r="J227">
        <v>-6.9</v>
      </c>
      <c r="N227">
        <v>4153</v>
      </c>
    </row>
    <row r="228" spans="1:14" x14ac:dyDescent="0.3">
      <c r="A228" t="s">
        <v>364</v>
      </c>
      <c r="B228" t="s">
        <v>48</v>
      </c>
      <c r="C228">
        <v>131.1</v>
      </c>
      <c r="D228">
        <v>7.7</v>
      </c>
      <c r="G228">
        <v>6.1</v>
      </c>
      <c r="H228">
        <v>2.9</v>
      </c>
      <c r="I228">
        <v>-9.6</v>
      </c>
      <c r="J228">
        <v>-8.6999999999999993</v>
      </c>
      <c r="N228">
        <v>11490</v>
      </c>
    </row>
    <row r="229" spans="1:14" x14ac:dyDescent="0.3">
      <c r="A229" t="s">
        <v>391</v>
      </c>
      <c r="B229" t="s">
        <v>62</v>
      </c>
      <c r="C229">
        <v>59.2</v>
      </c>
      <c r="D229">
        <v>7.7</v>
      </c>
      <c r="G229">
        <v>6.1</v>
      </c>
      <c r="H229">
        <v>6</v>
      </c>
      <c r="I229">
        <v>2.4</v>
      </c>
      <c r="J229">
        <v>-4.7</v>
      </c>
      <c r="N229">
        <v>11713</v>
      </c>
    </row>
    <row r="230" spans="1:14" x14ac:dyDescent="0.3">
      <c r="A230" t="s">
        <v>339</v>
      </c>
      <c r="B230" t="s">
        <v>83</v>
      </c>
      <c r="C230">
        <v>96</v>
      </c>
      <c r="D230">
        <v>7.7</v>
      </c>
      <c r="G230">
        <v>6.5</v>
      </c>
      <c r="H230">
        <v>3.6</v>
      </c>
      <c r="I230">
        <v>0.1</v>
      </c>
      <c r="J230">
        <v>-7.1</v>
      </c>
      <c r="N230">
        <v>19453</v>
      </c>
    </row>
    <row r="231" spans="1:14" x14ac:dyDescent="0.3">
      <c r="A231" t="s">
        <v>325</v>
      </c>
      <c r="B231" t="s">
        <v>34</v>
      </c>
      <c r="C231">
        <v>60</v>
      </c>
      <c r="D231">
        <v>7.7</v>
      </c>
      <c r="E231">
        <v>3.8</v>
      </c>
      <c r="G231">
        <v>5.3</v>
      </c>
      <c r="H231">
        <v>1.4</v>
      </c>
      <c r="I231">
        <v>6.9</v>
      </c>
      <c r="J231">
        <v>-5.5</v>
      </c>
      <c r="N231">
        <v>15043</v>
      </c>
    </row>
    <row r="232" spans="1:14" x14ac:dyDescent="0.3">
      <c r="A232" t="s">
        <v>221</v>
      </c>
      <c r="B232" t="s">
        <v>127</v>
      </c>
      <c r="C232">
        <v>165.1</v>
      </c>
      <c r="D232">
        <v>7.7</v>
      </c>
      <c r="G232">
        <v>5.2</v>
      </c>
      <c r="H232">
        <v>3.7</v>
      </c>
      <c r="I232">
        <v>-3.1</v>
      </c>
      <c r="N232">
        <v>15734</v>
      </c>
    </row>
    <row r="233" spans="1:14" x14ac:dyDescent="0.3">
      <c r="A233" t="s">
        <v>319</v>
      </c>
      <c r="B233" t="s">
        <v>89</v>
      </c>
      <c r="C233">
        <v>129.19999999999999</v>
      </c>
      <c r="D233">
        <v>7.7</v>
      </c>
      <c r="E233">
        <v>5.2</v>
      </c>
      <c r="F233">
        <v>2</v>
      </c>
      <c r="G233">
        <v>-5.9</v>
      </c>
      <c r="H233">
        <v>1.1000000000000001</v>
      </c>
      <c r="I233">
        <v>6.4</v>
      </c>
      <c r="J233">
        <v>-4.8</v>
      </c>
      <c r="N233">
        <v>16358</v>
      </c>
    </row>
    <row r="234" spans="1:14" x14ac:dyDescent="0.3">
      <c r="A234" t="s">
        <v>324</v>
      </c>
      <c r="B234" t="s">
        <v>127</v>
      </c>
      <c r="C234">
        <v>175.1</v>
      </c>
      <c r="D234">
        <v>7.6</v>
      </c>
      <c r="G234">
        <v>4.7</v>
      </c>
      <c r="H234">
        <v>2.2999999999999998</v>
      </c>
      <c r="I234">
        <v>-1.7</v>
      </c>
      <c r="N234">
        <v>13619</v>
      </c>
    </row>
    <row r="235" spans="1:14" x14ac:dyDescent="0.3">
      <c r="A235" t="s">
        <v>327</v>
      </c>
      <c r="B235" t="s">
        <v>56</v>
      </c>
      <c r="C235">
        <v>80</v>
      </c>
      <c r="D235">
        <v>7.6</v>
      </c>
      <c r="G235">
        <v>4.4000000000000004</v>
      </c>
      <c r="H235">
        <v>-0.2</v>
      </c>
      <c r="I235">
        <v>-1</v>
      </c>
      <c r="J235">
        <v>-4.3</v>
      </c>
      <c r="N235">
        <v>6632</v>
      </c>
    </row>
    <row r="236" spans="1:14" x14ac:dyDescent="0.3">
      <c r="A236" t="s">
        <v>109</v>
      </c>
      <c r="B236" t="s">
        <v>48</v>
      </c>
      <c r="C236">
        <v>184.1</v>
      </c>
      <c r="D236">
        <v>7.6</v>
      </c>
      <c r="E236">
        <v>3.3</v>
      </c>
      <c r="G236">
        <v>2.1</v>
      </c>
      <c r="H236">
        <v>3.5</v>
      </c>
      <c r="I236">
        <v>-0.2</v>
      </c>
      <c r="J236">
        <v>-2.9</v>
      </c>
      <c r="N236">
        <v>13431</v>
      </c>
    </row>
    <row r="237" spans="1:14" x14ac:dyDescent="0.3">
      <c r="A237" t="s">
        <v>132</v>
      </c>
      <c r="B237" t="s">
        <v>30</v>
      </c>
      <c r="C237">
        <v>70</v>
      </c>
      <c r="D237">
        <v>7.6</v>
      </c>
      <c r="G237">
        <v>6</v>
      </c>
      <c r="H237">
        <v>3.6</v>
      </c>
      <c r="I237">
        <v>3</v>
      </c>
      <c r="J237">
        <v>-3.1</v>
      </c>
      <c r="N237">
        <v>3201</v>
      </c>
    </row>
    <row r="238" spans="1:14" x14ac:dyDescent="0.3">
      <c r="A238" t="s">
        <v>225</v>
      </c>
      <c r="B238" t="s">
        <v>127</v>
      </c>
      <c r="C238">
        <v>70.099999999999994</v>
      </c>
      <c r="D238">
        <v>7.6</v>
      </c>
      <c r="G238">
        <v>4.0999999999999996</v>
      </c>
      <c r="H238">
        <v>6.3</v>
      </c>
      <c r="I238">
        <v>-2.5</v>
      </c>
      <c r="J238">
        <v>-7.6</v>
      </c>
      <c r="N238">
        <v>14993</v>
      </c>
    </row>
    <row r="239" spans="1:14" x14ac:dyDescent="0.3">
      <c r="A239" t="s">
        <v>335</v>
      </c>
      <c r="B239" t="s">
        <v>30</v>
      </c>
      <c r="C239">
        <v>145.19999999999999</v>
      </c>
      <c r="D239">
        <v>7.6</v>
      </c>
      <c r="G239">
        <v>3.5</v>
      </c>
      <c r="H239">
        <v>4.5</v>
      </c>
      <c r="I239">
        <v>0.4</v>
      </c>
      <c r="J239">
        <v>-3.2</v>
      </c>
      <c r="N239">
        <v>16977</v>
      </c>
    </row>
    <row r="240" spans="1:14" x14ac:dyDescent="0.3">
      <c r="A240" t="s">
        <v>244</v>
      </c>
      <c r="B240" t="s">
        <v>50</v>
      </c>
      <c r="C240">
        <v>54.2</v>
      </c>
      <c r="D240">
        <v>7.6</v>
      </c>
      <c r="G240">
        <v>2.7</v>
      </c>
      <c r="I240">
        <v>-1</v>
      </c>
      <c r="N240">
        <v>6785</v>
      </c>
    </row>
    <row r="241" spans="1:14" x14ac:dyDescent="0.3">
      <c r="A241" t="s">
        <v>370</v>
      </c>
      <c r="B241" t="s">
        <v>48</v>
      </c>
      <c r="C241">
        <v>103.1</v>
      </c>
      <c r="D241">
        <v>7.6</v>
      </c>
      <c r="E241">
        <v>4.3</v>
      </c>
      <c r="F241">
        <v>2.5</v>
      </c>
      <c r="G241">
        <v>4.0999999999999996</v>
      </c>
      <c r="H241">
        <v>5.4</v>
      </c>
      <c r="I241">
        <v>1.3</v>
      </c>
      <c r="J241">
        <v>-3.9</v>
      </c>
      <c r="N241">
        <v>2608</v>
      </c>
    </row>
    <row r="242" spans="1:14" x14ac:dyDescent="0.3">
      <c r="A242" t="s">
        <v>315</v>
      </c>
      <c r="B242" t="s">
        <v>83</v>
      </c>
      <c r="C242">
        <v>117</v>
      </c>
      <c r="D242">
        <v>7.6</v>
      </c>
      <c r="E242">
        <v>1</v>
      </c>
      <c r="H242">
        <v>1.7</v>
      </c>
      <c r="I242">
        <v>0.8</v>
      </c>
      <c r="J242">
        <v>-9.1</v>
      </c>
      <c r="L242">
        <v>7.9</v>
      </c>
      <c r="N242">
        <v>16981</v>
      </c>
    </row>
    <row r="243" spans="1:14" x14ac:dyDescent="0.3">
      <c r="A243" t="s">
        <v>92</v>
      </c>
      <c r="B243" t="s">
        <v>93</v>
      </c>
      <c r="C243">
        <v>172.1</v>
      </c>
      <c r="D243">
        <v>7.6</v>
      </c>
      <c r="E243">
        <v>3.9</v>
      </c>
      <c r="H243">
        <v>0.8</v>
      </c>
      <c r="I243">
        <v>0.3</v>
      </c>
      <c r="J243">
        <v>-4.0999999999999996</v>
      </c>
      <c r="N243">
        <v>3137</v>
      </c>
    </row>
    <row r="244" spans="1:14" x14ac:dyDescent="0.3">
      <c r="A244" t="s">
        <v>191</v>
      </c>
      <c r="B244" t="s">
        <v>62</v>
      </c>
      <c r="C244">
        <v>72.099999999999994</v>
      </c>
      <c r="D244">
        <v>7.6</v>
      </c>
      <c r="G244">
        <v>3.1</v>
      </c>
      <c r="H244">
        <v>1.5</v>
      </c>
      <c r="I244">
        <v>-2.2000000000000002</v>
      </c>
      <c r="N244">
        <v>14719</v>
      </c>
    </row>
    <row r="245" spans="1:14" x14ac:dyDescent="0.3">
      <c r="A245" t="s">
        <v>172</v>
      </c>
      <c r="B245" t="s">
        <v>34</v>
      </c>
      <c r="C245">
        <v>144</v>
      </c>
      <c r="D245">
        <v>7.5</v>
      </c>
      <c r="E245">
        <v>3.7</v>
      </c>
      <c r="G245">
        <v>5.6</v>
      </c>
      <c r="H245">
        <v>4.8</v>
      </c>
      <c r="I245">
        <v>-1.4</v>
      </c>
      <c r="J245">
        <v>-9.3000000000000007</v>
      </c>
      <c r="N245">
        <v>12304</v>
      </c>
    </row>
    <row r="246" spans="1:14" x14ac:dyDescent="0.3">
      <c r="A246" t="s">
        <v>359</v>
      </c>
      <c r="B246" t="s">
        <v>159</v>
      </c>
      <c r="C246">
        <v>57.2</v>
      </c>
      <c r="D246">
        <v>7.5</v>
      </c>
      <c r="G246">
        <v>6.5</v>
      </c>
      <c r="H246">
        <v>5.3</v>
      </c>
      <c r="I246">
        <v>1</v>
      </c>
      <c r="N246">
        <v>19677</v>
      </c>
    </row>
    <row r="247" spans="1:14" x14ac:dyDescent="0.3">
      <c r="A247" t="s">
        <v>45</v>
      </c>
      <c r="B247" t="s">
        <v>46</v>
      </c>
      <c r="C247">
        <v>56</v>
      </c>
      <c r="D247">
        <v>7.5</v>
      </c>
      <c r="G247">
        <v>6.8</v>
      </c>
      <c r="H247">
        <v>3.2</v>
      </c>
      <c r="I247">
        <v>-0.7</v>
      </c>
      <c r="L247">
        <v>-1.4</v>
      </c>
      <c r="N247">
        <v>13911</v>
      </c>
    </row>
    <row r="248" spans="1:14" x14ac:dyDescent="0.3">
      <c r="A248" t="s">
        <v>243</v>
      </c>
      <c r="B248" t="s">
        <v>83</v>
      </c>
      <c r="C248">
        <v>52.2</v>
      </c>
      <c r="D248">
        <v>7.5</v>
      </c>
      <c r="G248">
        <v>4.5</v>
      </c>
      <c r="H248">
        <v>1.7</v>
      </c>
      <c r="I248">
        <v>1.8</v>
      </c>
      <c r="J248">
        <v>-6.5</v>
      </c>
      <c r="N248">
        <v>15046</v>
      </c>
    </row>
    <row r="249" spans="1:14" x14ac:dyDescent="0.3">
      <c r="A249" t="s">
        <v>368</v>
      </c>
      <c r="B249" t="s">
        <v>62</v>
      </c>
      <c r="C249">
        <v>102.1</v>
      </c>
      <c r="D249">
        <v>7.5</v>
      </c>
      <c r="E249">
        <v>3.6</v>
      </c>
      <c r="G249">
        <v>3.8</v>
      </c>
      <c r="H249">
        <v>-0.1</v>
      </c>
      <c r="I249">
        <v>1.9</v>
      </c>
      <c r="J249">
        <v>-7.5</v>
      </c>
      <c r="N249">
        <v>6249</v>
      </c>
    </row>
    <row r="250" spans="1:14" x14ac:dyDescent="0.3">
      <c r="A250" t="s">
        <v>386</v>
      </c>
      <c r="B250" t="s">
        <v>46</v>
      </c>
      <c r="C250">
        <v>104.1</v>
      </c>
      <c r="D250">
        <v>7.4</v>
      </c>
      <c r="E250">
        <v>2.8</v>
      </c>
      <c r="G250">
        <v>3.5</v>
      </c>
      <c r="H250">
        <v>3.5</v>
      </c>
      <c r="I250">
        <v>-0.1</v>
      </c>
      <c r="J250">
        <v>5.7</v>
      </c>
      <c r="N250">
        <v>16256</v>
      </c>
    </row>
    <row r="251" spans="1:14" x14ac:dyDescent="0.3">
      <c r="A251" t="s">
        <v>389</v>
      </c>
      <c r="B251" t="s">
        <v>43</v>
      </c>
      <c r="C251">
        <v>50.2</v>
      </c>
      <c r="D251">
        <v>7.4</v>
      </c>
      <c r="G251">
        <v>3</v>
      </c>
      <c r="H251">
        <v>1.8</v>
      </c>
      <c r="I251">
        <v>1.4</v>
      </c>
      <c r="J251">
        <v>-2.2999999999999998</v>
      </c>
      <c r="N251">
        <v>5365</v>
      </c>
    </row>
    <row r="252" spans="1:14" x14ac:dyDescent="0.3">
      <c r="A252" t="s">
        <v>312</v>
      </c>
      <c r="B252" t="s">
        <v>40</v>
      </c>
      <c r="C252">
        <v>107.1</v>
      </c>
      <c r="D252">
        <v>7.4</v>
      </c>
      <c r="E252">
        <v>5.5</v>
      </c>
      <c r="G252">
        <v>4.3</v>
      </c>
      <c r="H252">
        <v>3.9</v>
      </c>
      <c r="I252">
        <v>-0.1</v>
      </c>
      <c r="N252">
        <v>404</v>
      </c>
    </row>
    <row r="253" spans="1:14" x14ac:dyDescent="0.3">
      <c r="A253" t="s">
        <v>380</v>
      </c>
      <c r="B253" t="s">
        <v>102</v>
      </c>
      <c r="C253">
        <v>60.2</v>
      </c>
      <c r="D253">
        <v>7.4</v>
      </c>
      <c r="E253">
        <v>5.0999999999999996</v>
      </c>
      <c r="G253">
        <v>4.7</v>
      </c>
      <c r="H253">
        <v>4.4000000000000004</v>
      </c>
      <c r="I253">
        <v>-0.4</v>
      </c>
      <c r="J253">
        <v>-2.8</v>
      </c>
      <c r="N253">
        <v>14457</v>
      </c>
    </row>
    <row r="254" spans="1:14" x14ac:dyDescent="0.3">
      <c r="A254" t="s">
        <v>341</v>
      </c>
      <c r="B254" t="s">
        <v>48</v>
      </c>
      <c r="C254">
        <v>54.1</v>
      </c>
      <c r="D254">
        <v>7.4</v>
      </c>
      <c r="E254">
        <v>4.5</v>
      </c>
      <c r="G254">
        <v>4.9000000000000004</v>
      </c>
      <c r="H254">
        <v>-0.4</v>
      </c>
      <c r="I254">
        <v>0</v>
      </c>
      <c r="N254">
        <v>6627</v>
      </c>
    </row>
    <row r="255" spans="1:14" x14ac:dyDescent="0.3">
      <c r="A255" t="s">
        <v>64</v>
      </c>
      <c r="B255" t="s">
        <v>43</v>
      </c>
      <c r="C255">
        <v>50.2</v>
      </c>
      <c r="D255">
        <v>7.4</v>
      </c>
      <c r="G255">
        <v>3.8</v>
      </c>
      <c r="H255">
        <v>0.3</v>
      </c>
      <c r="I255">
        <v>-5.3</v>
      </c>
      <c r="N255">
        <v>12297</v>
      </c>
    </row>
    <row r="256" spans="1:14" x14ac:dyDescent="0.3">
      <c r="A256" t="s">
        <v>207</v>
      </c>
      <c r="B256" t="s">
        <v>159</v>
      </c>
      <c r="C256">
        <v>79.2</v>
      </c>
      <c r="D256">
        <v>7.4</v>
      </c>
      <c r="E256">
        <v>4.5</v>
      </c>
      <c r="G256">
        <v>5.0999999999999996</v>
      </c>
      <c r="H256">
        <v>4</v>
      </c>
      <c r="I256">
        <v>1.9</v>
      </c>
      <c r="J256">
        <v>-5.8</v>
      </c>
      <c r="N256">
        <v>12575</v>
      </c>
    </row>
    <row r="257" spans="1:14" x14ac:dyDescent="0.3">
      <c r="A257" t="s">
        <v>257</v>
      </c>
      <c r="B257" t="s">
        <v>46</v>
      </c>
      <c r="C257">
        <v>57.2</v>
      </c>
      <c r="D257">
        <v>7.4</v>
      </c>
      <c r="E257">
        <v>8.8000000000000007</v>
      </c>
      <c r="G257">
        <v>5</v>
      </c>
      <c r="I257">
        <v>-0.6</v>
      </c>
      <c r="N257">
        <v>12774</v>
      </c>
    </row>
    <row r="258" spans="1:14" x14ac:dyDescent="0.3">
      <c r="A258" t="s">
        <v>396</v>
      </c>
      <c r="B258" t="s">
        <v>48</v>
      </c>
      <c r="C258">
        <v>67.2</v>
      </c>
      <c r="D258">
        <v>7.3</v>
      </c>
      <c r="E258">
        <v>4.5999999999999996</v>
      </c>
      <c r="G258">
        <v>6.2</v>
      </c>
      <c r="H258">
        <v>6.5</v>
      </c>
      <c r="I258">
        <v>0.1</v>
      </c>
      <c r="J258">
        <v>-5</v>
      </c>
      <c r="N258">
        <v>1841</v>
      </c>
    </row>
    <row r="259" spans="1:14" x14ac:dyDescent="0.3">
      <c r="A259" t="s">
        <v>182</v>
      </c>
      <c r="B259" t="s">
        <v>34</v>
      </c>
      <c r="C259">
        <v>176</v>
      </c>
      <c r="D259">
        <v>7.3</v>
      </c>
      <c r="E259">
        <v>5.4</v>
      </c>
      <c r="G259">
        <v>4</v>
      </c>
      <c r="H259">
        <v>3.2</v>
      </c>
      <c r="I259">
        <v>-5.3</v>
      </c>
      <c r="J259">
        <v>-9.6999999999999993</v>
      </c>
      <c r="N259">
        <v>8223</v>
      </c>
    </row>
    <row r="260" spans="1:14" x14ac:dyDescent="0.3">
      <c r="A260" t="s">
        <v>168</v>
      </c>
      <c r="B260" t="s">
        <v>38</v>
      </c>
      <c r="C260">
        <v>203.1</v>
      </c>
      <c r="D260">
        <v>7.3</v>
      </c>
      <c r="E260">
        <v>3.9</v>
      </c>
      <c r="G260">
        <v>5.2</v>
      </c>
      <c r="H260">
        <v>2.6</v>
      </c>
      <c r="I260">
        <v>-2.2000000000000002</v>
      </c>
      <c r="N260">
        <v>13164</v>
      </c>
    </row>
    <row r="261" spans="1:14" x14ac:dyDescent="0.3">
      <c r="A261" t="s">
        <v>52</v>
      </c>
      <c r="B261" t="s">
        <v>53</v>
      </c>
      <c r="C261">
        <v>182.2</v>
      </c>
      <c r="D261">
        <v>7.3</v>
      </c>
      <c r="E261">
        <v>3.6</v>
      </c>
      <c r="G261">
        <v>4.5999999999999996</v>
      </c>
      <c r="H261">
        <v>2.2999999999999998</v>
      </c>
      <c r="I261">
        <v>-1.1000000000000001</v>
      </c>
      <c r="J261">
        <v>-8.6</v>
      </c>
      <c r="K261">
        <v>-8.1999999999999993</v>
      </c>
      <c r="N261">
        <v>14444</v>
      </c>
    </row>
    <row r="262" spans="1:14" x14ac:dyDescent="0.3">
      <c r="A262" t="s">
        <v>197</v>
      </c>
      <c r="B262" t="s">
        <v>66</v>
      </c>
      <c r="C262">
        <v>146</v>
      </c>
      <c r="D262">
        <v>7.3</v>
      </c>
      <c r="H262">
        <v>4.2</v>
      </c>
      <c r="I262">
        <v>0.4</v>
      </c>
      <c r="N262">
        <v>5372</v>
      </c>
    </row>
    <row r="263" spans="1:14" x14ac:dyDescent="0.3">
      <c r="A263" t="s">
        <v>115</v>
      </c>
      <c r="B263" t="s">
        <v>26</v>
      </c>
      <c r="C263">
        <v>82</v>
      </c>
      <c r="D263">
        <v>7.3</v>
      </c>
      <c r="G263">
        <v>5.5</v>
      </c>
      <c r="H263">
        <v>4.5</v>
      </c>
      <c r="I263">
        <v>2.1</v>
      </c>
      <c r="J263">
        <v>-7.7</v>
      </c>
      <c r="N263">
        <v>7274</v>
      </c>
    </row>
    <row r="264" spans="1:14" x14ac:dyDescent="0.3">
      <c r="A264" t="s">
        <v>222</v>
      </c>
      <c r="B264" t="s">
        <v>50</v>
      </c>
      <c r="C264">
        <v>171.2</v>
      </c>
      <c r="D264">
        <v>7.2</v>
      </c>
      <c r="E264">
        <v>2.6</v>
      </c>
      <c r="G264">
        <v>4.9000000000000004</v>
      </c>
      <c r="H264">
        <v>3.7</v>
      </c>
      <c r="J264">
        <v>-8.3000000000000007</v>
      </c>
      <c r="K264">
        <v>-7.9</v>
      </c>
      <c r="N264">
        <v>2233</v>
      </c>
    </row>
    <row r="265" spans="1:14" x14ac:dyDescent="0.3">
      <c r="A265" t="s">
        <v>289</v>
      </c>
      <c r="B265" t="s">
        <v>46</v>
      </c>
      <c r="C265">
        <v>174</v>
      </c>
      <c r="D265">
        <v>7.2</v>
      </c>
      <c r="G265">
        <v>4.2</v>
      </c>
      <c r="H265">
        <v>4.7</v>
      </c>
      <c r="I265">
        <v>1.6</v>
      </c>
      <c r="J265">
        <v>-2.2000000000000002</v>
      </c>
      <c r="N265">
        <v>15038</v>
      </c>
    </row>
    <row r="266" spans="1:14" x14ac:dyDescent="0.3">
      <c r="A266" t="s">
        <v>378</v>
      </c>
      <c r="B266" t="s">
        <v>193</v>
      </c>
      <c r="C266">
        <v>71.2</v>
      </c>
      <c r="D266">
        <v>7.2</v>
      </c>
      <c r="E266">
        <v>4.3</v>
      </c>
      <c r="G266">
        <v>4.3</v>
      </c>
      <c r="H266">
        <v>0</v>
      </c>
      <c r="I266">
        <v>0.3</v>
      </c>
      <c r="J266">
        <v>-5.8</v>
      </c>
      <c r="N266">
        <v>4772</v>
      </c>
    </row>
    <row r="267" spans="1:14" x14ac:dyDescent="0.3">
      <c r="A267" t="s">
        <v>214</v>
      </c>
      <c r="B267" t="s">
        <v>95</v>
      </c>
      <c r="C267">
        <v>163.1</v>
      </c>
      <c r="D267">
        <v>7.2</v>
      </c>
      <c r="E267">
        <v>5.5</v>
      </c>
      <c r="G267">
        <v>4.0999999999999996</v>
      </c>
      <c r="H267">
        <v>4.0999999999999996</v>
      </c>
      <c r="I267">
        <v>3.1</v>
      </c>
      <c r="J267">
        <v>-5.0999999999999996</v>
      </c>
      <c r="N267">
        <v>13774</v>
      </c>
    </row>
    <row r="268" spans="1:14" x14ac:dyDescent="0.3">
      <c r="A268" t="s">
        <v>250</v>
      </c>
      <c r="B268" t="s">
        <v>127</v>
      </c>
      <c r="C268">
        <v>60.1</v>
      </c>
      <c r="D268">
        <v>7.2</v>
      </c>
      <c r="G268">
        <v>2.4</v>
      </c>
      <c r="H268">
        <v>2</v>
      </c>
      <c r="I268">
        <v>2.8</v>
      </c>
      <c r="J268">
        <v>0.9</v>
      </c>
      <c r="N268">
        <v>15240</v>
      </c>
    </row>
    <row r="269" spans="1:14" x14ac:dyDescent="0.3">
      <c r="A269" t="s">
        <v>148</v>
      </c>
      <c r="B269" t="s">
        <v>53</v>
      </c>
      <c r="C269">
        <v>62.1</v>
      </c>
      <c r="D269">
        <v>7.2</v>
      </c>
      <c r="G269">
        <v>2.8</v>
      </c>
      <c r="H269">
        <v>1.2</v>
      </c>
      <c r="I269">
        <v>-0.2</v>
      </c>
      <c r="J269">
        <v>-1.9</v>
      </c>
      <c r="N269">
        <v>12095</v>
      </c>
    </row>
    <row r="270" spans="1:14" x14ac:dyDescent="0.3">
      <c r="A270" t="s">
        <v>180</v>
      </c>
      <c r="B270" t="s">
        <v>95</v>
      </c>
      <c r="C270">
        <v>202.1</v>
      </c>
      <c r="D270">
        <v>7.1</v>
      </c>
      <c r="F270">
        <v>-5.4</v>
      </c>
      <c r="G270">
        <v>4.2</v>
      </c>
      <c r="H270">
        <v>1.5</v>
      </c>
      <c r="J270">
        <v>-7.1</v>
      </c>
      <c r="N270">
        <v>16149</v>
      </c>
    </row>
    <row r="271" spans="1:14" x14ac:dyDescent="0.3">
      <c r="A271" t="s">
        <v>74</v>
      </c>
      <c r="B271" t="s">
        <v>75</v>
      </c>
      <c r="C271">
        <v>174.2</v>
      </c>
      <c r="D271">
        <v>7.1</v>
      </c>
      <c r="G271">
        <v>3.9</v>
      </c>
      <c r="H271">
        <v>6.4</v>
      </c>
      <c r="I271">
        <v>-2.7</v>
      </c>
      <c r="N271">
        <v>18383</v>
      </c>
    </row>
    <row r="272" spans="1:14" x14ac:dyDescent="0.3">
      <c r="A272" t="s">
        <v>308</v>
      </c>
      <c r="B272" t="s">
        <v>34</v>
      </c>
      <c r="C272">
        <v>58.2</v>
      </c>
      <c r="D272">
        <v>7.1</v>
      </c>
      <c r="E272">
        <v>4</v>
      </c>
      <c r="G272">
        <v>2.6</v>
      </c>
      <c r="H272">
        <v>2.5</v>
      </c>
      <c r="I272">
        <v>-2</v>
      </c>
      <c r="N272">
        <v>12572</v>
      </c>
    </row>
    <row r="273" spans="1:14" x14ac:dyDescent="0.3">
      <c r="A273" t="s">
        <v>162</v>
      </c>
      <c r="B273" t="s">
        <v>75</v>
      </c>
      <c r="C273">
        <v>112.2</v>
      </c>
      <c r="D273">
        <v>7.1</v>
      </c>
      <c r="E273">
        <v>3.7</v>
      </c>
      <c r="G273">
        <v>2.4</v>
      </c>
      <c r="H273">
        <v>1.4</v>
      </c>
      <c r="I273">
        <v>-1.1000000000000001</v>
      </c>
      <c r="N273">
        <v>9434</v>
      </c>
    </row>
    <row r="274" spans="1:14" x14ac:dyDescent="0.3">
      <c r="A274" t="s">
        <v>76</v>
      </c>
      <c r="B274" t="s">
        <v>77</v>
      </c>
      <c r="C274">
        <v>57</v>
      </c>
      <c r="D274">
        <v>7.1</v>
      </c>
      <c r="G274">
        <v>4.7</v>
      </c>
      <c r="H274">
        <v>4.4000000000000004</v>
      </c>
      <c r="I274">
        <v>1.3</v>
      </c>
      <c r="N274">
        <v>9939</v>
      </c>
    </row>
    <row r="275" spans="1:14" x14ac:dyDescent="0.3">
      <c r="A275" t="s">
        <v>113</v>
      </c>
      <c r="B275" t="s">
        <v>48</v>
      </c>
      <c r="C275">
        <v>55</v>
      </c>
      <c r="D275">
        <v>7.1</v>
      </c>
      <c r="G275">
        <v>-3.1</v>
      </c>
      <c r="H275">
        <v>-2.6</v>
      </c>
      <c r="I275">
        <v>3.2</v>
      </c>
      <c r="N275">
        <v>10843</v>
      </c>
    </row>
    <row r="276" spans="1:14" x14ac:dyDescent="0.3">
      <c r="A276" t="s">
        <v>196</v>
      </c>
      <c r="B276" t="s">
        <v>26</v>
      </c>
      <c r="C276">
        <v>72</v>
      </c>
      <c r="D276">
        <v>7</v>
      </c>
      <c r="G276">
        <v>5.0999999999999996</v>
      </c>
      <c r="H276">
        <v>2.2000000000000002</v>
      </c>
      <c r="I276">
        <v>-0.4</v>
      </c>
      <c r="N276">
        <v>14682</v>
      </c>
    </row>
    <row r="277" spans="1:14" x14ac:dyDescent="0.3">
      <c r="A277" t="s">
        <v>321</v>
      </c>
      <c r="B277" t="s">
        <v>30</v>
      </c>
      <c r="C277">
        <v>113.1</v>
      </c>
      <c r="D277">
        <v>6.9</v>
      </c>
      <c r="G277">
        <v>3.1</v>
      </c>
      <c r="H277">
        <v>0.4</v>
      </c>
      <c r="I277">
        <v>-1.4</v>
      </c>
      <c r="J277">
        <v>-1.8</v>
      </c>
      <c r="N277">
        <v>15291</v>
      </c>
    </row>
    <row r="278" spans="1:14" x14ac:dyDescent="0.3">
      <c r="A278" t="s">
        <v>140</v>
      </c>
      <c r="B278" t="s">
        <v>71</v>
      </c>
      <c r="C278">
        <v>159.19999999999999</v>
      </c>
      <c r="D278">
        <v>6.9</v>
      </c>
      <c r="E278">
        <v>6.7</v>
      </c>
      <c r="G278">
        <v>6.8</v>
      </c>
      <c r="H278">
        <v>4</v>
      </c>
      <c r="I278">
        <v>0</v>
      </c>
      <c r="J278">
        <v>-5.9</v>
      </c>
      <c r="N278">
        <v>13183</v>
      </c>
    </row>
    <row r="279" spans="1:14" x14ac:dyDescent="0.3">
      <c r="A279" t="s">
        <v>69</v>
      </c>
      <c r="B279" t="s">
        <v>66</v>
      </c>
      <c r="C279">
        <v>69</v>
      </c>
      <c r="D279">
        <v>6.9</v>
      </c>
      <c r="G279">
        <v>3.7</v>
      </c>
      <c r="I279">
        <v>1.4</v>
      </c>
      <c r="J279">
        <v>-0.5</v>
      </c>
      <c r="N279">
        <v>13449</v>
      </c>
    </row>
    <row r="280" spans="1:14" x14ac:dyDescent="0.3">
      <c r="A280" t="s">
        <v>147</v>
      </c>
      <c r="B280" t="s">
        <v>48</v>
      </c>
      <c r="C280">
        <v>67.099999999999994</v>
      </c>
      <c r="D280">
        <v>6.9</v>
      </c>
      <c r="E280">
        <v>5.5</v>
      </c>
      <c r="F280">
        <v>5.4</v>
      </c>
      <c r="G280">
        <v>4.9000000000000004</v>
      </c>
      <c r="J280">
        <v>-9.6999999999999993</v>
      </c>
      <c r="N280">
        <v>4264</v>
      </c>
    </row>
    <row r="281" spans="1:14" x14ac:dyDescent="0.3">
      <c r="A281" t="s">
        <v>372</v>
      </c>
      <c r="B281" t="s">
        <v>46</v>
      </c>
      <c r="C281">
        <v>63.2</v>
      </c>
      <c r="D281">
        <v>6.9</v>
      </c>
      <c r="G281">
        <v>4.5</v>
      </c>
      <c r="H281">
        <v>2</v>
      </c>
      <c r="I281">
        <v>2.9</v>
      </c>
      <c r="J281">
        <v>-5.4</v>
      </c>
      <c r="N281">
        <v>10587</v>
      </c>
    </row>
    <row r="282" spans="1:14" x14ac:dyDescent="0.3">
      <c r="A282" t="s">
        <v>237</v>
      </c>
      <c r="B282" t="s">
        <v>62</v>
      </c>
      <c r="C282">
        <v>62</v>
      </c>
      <c r="D282">
        <v>6.9</v>
      </c>
      <c r="F282">
        <v>1.2</v>
      </c>
      <c r="G282">
        <v>5.4</v>
      </c>
      <c r="I282">
        <v>-0.5</v>
      </c>
      <c r="N282">
        <v>6984</v>
      </c>
    </row>
    <row r="283" spans="1:14" x14ac:dyDescent="0.3">
      <c r="A283" t="s">
        <v>283</v>
      </c>
      <c r="B283" t="s">
        <v>26</v>
      </c>
      <c r="C283">
        <v>114.2</v>
      </c>
      <c r="D283">
        <v>6.8</v>
      </c>
      <c r="H283">
        <v>1.5</v>
      </c>
      <c r="I283">
        <v>3.5</v>
      </c>
      <c r="J283">
        <v>-1</v>
      </c>
      <c r="N283">
        <v>13799</v>
      </c>
    </row>
    <row r="284" spans="1:14" x14ac:dyDescent="0.3">
      <c r="A284" t="s">
        <v>242</v>
      </c>
      <c r="B284" t="s">
        <v>30</v>
      </c>
      <c r="C284">
        <v>170.1</v>
      </c>
      <c r="D284">
        <v>6.8</v>
      </c>
      <c r="E284">
        <v>3.7</v>
      </c>
      <c r="G284">
        <v>3.2</v>
      </c>
      <c r="H284">
        <v>2.5</v>
      </c>
      <c r="I284">
        <v>-0.5</v>
      </c>
      <c r="J284">
        <v>-6.5</v>
      </c>
      <c r="N284">
        <v>12970</v>
      </c>
    </row>
    <row r="285" spans="1:14" x14ac:dyDescent="0.3">
      <c r="A285" t="s">
        <v>174</v>
      </c>
      <c r="B285" t="s">
        <v>75</v>
      </c>
      <c r="C285">
        <v>174.2</v>
      </c>
      <c r="D285">
        <v>6.7</v>
      </c>
      <c r="G285">
        <v>2.2999999999999998</v>
      </c>
      <c r="H285">
        <v>3.8</v>
      </c>
      <c r="I285">
        <v>1.7</v>
      </c>
      <c r="J285">
        <v>-1.9</v>
      </c>
      <c r="N285">
        <v>6797</v>
      </c>
    </row>
    <row r="286" spans="1:14" x14ac:dyDescent="0.3">
      <c r="A286" t="s">
        <v>275</v>
      </c>
      <c r="B286" t="s">
        <v>43</v>
      </c>
      <c r="C286">
        <v>67.2</v>
      </c>
      <c r="D286">
        <v>6.7</v>
      </c>
      <c r="E286">
        <v>3.1</v>
      </c>
      <c r="G286">
        <v>4.5</v>
      </c>
      <c r="H286">
        <v>7</v>
      </c>
      <c r="I286">
        <v>-2.5</v>
      </c>
      <c r="N286">
        <v>11528</v>
      </c>
    </row>
    <row r="287" spans="1:14" x14ac:dyDescent="0.3">
      <c r="A287" t="s">
        <v>125</v>
      </c>
      <c r="B287" t="s">
        <v>32</v>
      </c>
      <c r="C287">
        <v>68.2</v>
      </c>
      <c r="D287">
        <v>6.7</v>
      </c>
      <c r="G287">
        <v>4.5999999999999996</v>
      </c>
      <c r="I287">
        <v>0.3</v>
      </c>
      <c r="N287">
        <v>17496</v>
      </c>
    </row>
    <row r="288" spans="1:14" x14ac:dyDescent="0.3">
      <c r="A288" t="s">
        <v>29</v>
      </c>
      <c r="B288" t="s">
        <v>30</v>
      </c>
      <c r="C288">
        <v>60</v>
      </c>
      <c r="D288">
        <v>6.7</v>
      </c>
      <c r="G288">
        <v>2.5</v>
      </c>
      <c r="H288">
        <v>0.2</v>
      </c>
      <c r="I288">
        <v>2.8</v>
      </c>
      <c r="J288">
        <v>-4.2</v>
      </c>
      <c r="N288">
        <v>12076</v>
      </c>
    </row>
    <row r="289" spans="1:14" x14ac:dyDescent="0.3">
      <c r="A289" t="s">
        <v>353</v>
      </c>
      <c r="B289" t="s">
        <v>58</v>
      </c>
      <c r="C289">
        <v>60</v>
      </c>
      <c r="D289">
        <v>6.7</v>
      </c>
      <c r="F289">
        <v>1.1000000000000001</v>
      </c>
      <c r="G289">
        <v>3.1</v>
      </c>
      <c r="I289">
        <v>2.1</v>
      </c>
      <c r="N289">
        <v>5114</v>
      </c>
    </row>
    <row r="290" spans="1:14" x14ac:dyDescent="0.3">
      <c r="A290" t="s">
        <v>198</v>
      </c>
      <c r="B290" t="s">
        <v>75</v>
      </c>
      <c r="C290">
        <v>165.2</v>
      </c>
      <c r="D290">
        <v>6.6</v>
      </c>
      <c r="G290">
        <v>4.5</v>
      </c>
      <c r="H290">
        <v>3</v>
      </c>
      <c r="I290">
        <v>-2</v>
      </c>
      <c r="J290">
        <v>-11.6</v>
      </c>
      <c r="N290">
        <v>13743</v>
      </c>
    </row>
    <row r="291" spans="1:14" x14ac:dyDescent="0.3">
      <c r="A291" t="s">
        <v>264</v>
      </c>
      <c r="B291" t="s">
        <v>146</v>
      </c>
      <c r="C291">
        <v>63</v>
      </c>
      <c r="D291">
        <v>6.6</v>
      </c>
      <c r="H291">
        <v>-2.7</v>
      </c>
      <c r="I291">
        <v>2</v>
      </c>
      <c r="N291">
        <v>10430</v>
      </c>
    </row>
    <row r="292" spans="1:14" x14ac:dyDescent="0.3">
      <c r="A292" t="s">
        <v>108</v>
      </c>
      <c r="B292" t="s">
        <v>89</v>
      </c>
      <c r="C292">
        <v>56</v>
      </c>
      <c r="D292">
        <v>6.6</v>
      </c>
      <c r="G292">
        <v>5.0999999999999996</v>
      </c>
      <c r="H292">
        <v>2</v>
      </c>
      <c r="I292">
        <v>1.5</v>
      </c>
      <c r="N292">
        <v>14375</v>
      </c>
    </row>
    <row r="293" spans="1:14" x14ac:dyDescent="0.3">
      <c r="A293" t="s">
        <v>177</v>
      </c>
      <c r="B293" t="s">
        <v>46</v>
      </c>
      <c r="C293">
        <v>150</v>
      </c>
      <c r="D293">
        <v>6.6</v>
      </c>
      <c r="G293">
        <v>3.9</v>
      </c>
      <c r="H293">
        <v>5</v>
      </c>
      <c r="I293">
        <v>2.9</v>
      </c>
      <c r="J293">
        <v>-4.2</v>
      </c>
      <c r="N293">
        <v>14916</v>
      </c>
    </row>
    <row r="294" spans="1:14" x14ac:dyDescent="0.3">
      <c r="A294" t="s">
        <v>104</v>
      </c>
      <c r="B294" t="s">
        <v>32</v>
      </c>
      <c r="C294">
        <v>194.2</v>
      </c>
      <c r="D294">
        <v>6.5</v>
      </c>
      <c r="E294">
        <v>2</v>
      </c>
      <c r="F294">
        <v>0.9</v>
      </c>
      <c r="G294">
        <v>2.4</v>
      </c>
      <c r="I294">
        <v>0.1</v>
      </c>
      <c r="J294">
        <v>-6.6</v>
      </c>
      <c r="N294">
        <v>4676</v>
      </c>
    </row>
    <row r="295" spans="1:14" x14ac:dyDescent="0.3">
      <c r="A295" t="s">
        <v>194</v>
      </c>
      <c r="B295" t="s">
        <v>62</v>
      </c>
      <c r="C295">
        <v>67.2</v>
      </c>
      <c r="D295">
        <v>6.5</v>
      </c>
      <c r="H295">
        <v>-3.3</v>
      </c>
      <c r="I295">
        <v>-2.7</v>
      </c>
      <c r="N295">
        <v>12800</v>
      </c>
    </row>
    <row r="296" spans="1:14" x14ac:dyDescent="0.3">
      <c r="A296" t="s">
        <v>363</v>
      </c>
      <c r="B296" t="s">
        <v>143</v>
      </c>
      <c r="C296">
        <v>125.1</v>
      </c>
      <c r="D296">
        <v>6.5</v>
      </c>
      <c r="G296">
        <v>7.8</v>
      </c>
      <c r="H296">
        <v>3.6</v>
      </c>
      <c r="I296">
        <v>-1.6</v>
      </c>
      <c r="N296">
        <v>13339</v>
      </c>
    </row>
    <row r="297" spans="1:14" x14ac:dyDescent="0.3">
      <c r="A297" t="s">
        <v>311</v>
      </c>
      <c r="B297" t="s">
        <v>48</v>
      </c>
      <c r="C297">
        <v>91</v>
      </c>
      <c r="D297">
        <v>6.5</v>
      </c>
      <c r="E297">
        <v>3.3</v>
      </c>
      <c r="G297">
        <v>5.6</v>
      </c>
      <c r="H297">
        <v>3.5</v>
      </c>
      <c r="J297">
        <v>-5.5</v>
      </c>
      <c r="N297">
        <v>4869</v>
      </c>
    </row>
    <row r="298" spans="1:14" x14ac:dyDescent="0.3">
      <c r="A298" t="s">
        <v>318</v>
      </c>
      <c r="B298" t="s">
        <v>71</v>
      </c>
      <c r="C298">
        <v>59.2</v>
      </c>
      <c r="D298">
        <v>6.5</v>
      </c>
      <c r="G298">
        <v>3.2</v>
      </c>
      <c r="H298">
        <v>1.7</v>
      </c>
      <c r="I298">
        <v>-0.3</v>
      </c>
      <c r="J298">
        <v>-2.9</v>
      </c>
      <c r="N298">
        <v>4300</v>
      </c>
    </row>
    <row r="299" spans="1:14" x14ac:dyDescent="0.3">
      <c r="A299" t="s">
        <v>316</v>
      </c>
      <c r="B299" t="s">
        <v>102</v>
      </c>
      <c r="C299">
        <v>111.1</v>
      </c>
      <c r="D299">
        <v>6.5</v>
      </c>
      <c r="G299">
        <v>2.9</v>
      </c>
      <c r="H299">
        <v>0.8</v>
      </c>
      <c r="J299">
        <v>-2.7</v>
      </c>
      <c r="N299">
        <v>17085</v>
      </c>
    </row>
    <row r="300" spans="1:14" x14ac:dyDescent="0.3">
      <c r="A300" t="s">
        <v>385</v>
      </c>
      <c r="B300" t="s">
        <v>46</v>
      </c>
      <c r="C300">
        <v>124.2</v>
      </c>
      <c r="D300">
        <v>6.4</v>
      </c>
      <c r="H300">
        <v>5.6</v>
      </c>
      <c r="I300">
        <v>0.1</v>
      </c>
      <c r="J300">
        <v>-3.1</v>
      </c>
      <c r="N300">
        <v>15488</v>
      </c>
    </row>
    <row r="301" spans="1:14" x14ac:dyDescent="0.3">
      <c r="A301" t="s">
        <v>240</v>
      </c>
      <c r="B301" t="s">
        <v>38</v>
      </c>
      <c r="C301">
        <v>147.1</v>
      </c>
      <c r="D301">
        <v>6.4</v>
      </c>
      <c r="G301">
        <v>2</v>
      </c>
      <c r="H301">
        <v>-1.1000000000000001</v>
      </c>
      <c r="I301">
        <v>-3.4</v>
      </c>
      <c r="N301">
        <v>10603</v>
      </c>
    </row>
    <row r="302" spans="1:14" x14ac:dyDescent="0.3">
      <c r="A302" t="s">
        <v>326</v>
      </c>
      <c r="B302" t="s">
        <v>46</v>
      </c>
      <c r="C302">
        <v>63</v>
      </c>
      <c r="D302">
        <v>6.3</v>
      </c>
      <c r="G302">
        <v>3.8</v>
      </c>
      <c r="H302">
        <v>1</v>
      </c>
      <c r="I302">
        <v>2</v>
      </c>
      <c r="J302">
        <v>-0.8</v>
      </c>
      <c r="N302">
        <v>14663</v>
      </c>
    </row>
    <row r="303" spans="1:14" x14ac:dyDescent="0.3">
      <c r="A303" t="s">
        <v>285</v>
      </c>
      <c r="B303" t="s">
        <v>43</v>
      </c>
      <c r="C303">
        <v>187</v>
      </c>
      <c r="D303">
        <v>6.3</v>
      </c>
      <c r="G303">
        <v>3.7</v>
      </c>
      <c r="H303">
        <v>3.5</v>
      </c>
      <c r="I303">
        <v>4</v>
      </c>
      <c r="J303">
        <v>-4.2</v>
      </c>
      <c r="N303">
        <v>1994</v>
      </c>
    </row>
    <row r="304" spans="1:14" x14ac:dyDescent="0.3">
      <c r="A304" t="s">
        <v>348</v>
      </c>
      <c r="B304" t="s">
        <v>146</v>
      </c>
      <c r="C304">
        <v>110.2</v>
      </c>
      <c r="D304">
        <v>6.2</v>
      </c>
      <c r="G304">
        <v>4</v>
      </c>
      <c r="H304">
        <v>3.8</v>
      </c>
      <c r="I304">
        <v>-0.3</v>
      </c>
      <c r="N304">
        <v>12938</v>
      </c>
    </row>
    <row r="305" spans="1:14" x14ac:dyDescent="0.3">
      <c r="A305" t="s">
        <v>362</v>
      </c>
      <c r="B305" t="s">
        <v>28</v>
      </c>
      <c r="C305">
        <v>70.2</v>
      </c>
      <c r="D305">
        <v>6.2</v>
      </c>
      <c r="G305">
        <v>2.1</v>
      </c>
      <c r="H305">
        <v>0.1</v>
      </c>
      <c r="I305">
        <v>3</v>
      </c>
      <c r="J305">
        <v>-9.6</v>
      </c>
      <c r="N305">
        <v>17295</v>
      </c>
    </row>
    <row r="306" spans="1:14" x14ac:dyDescent="0.3">
      <c r="A306" t="s">
        <v>124</v>
      </c>
      <c r="B306" t="s">
        <v>89</v>
      </c>
      <c r="C306">
        <v>190.2</v>
      </c>
      <c r="D306">
        <v>6.1</v>
      </c>
      <c r="G306">
        <v>2.2000000000000002</v>
      </c>
      <c r="H306">
        <v>0.8</v>
      </c>
      <c r="I306">
        <v>-0.5</v>
      </c>
      <c r="J306">
        <v>4.2</v>
      </c>
      <c r="N306">
        <v>15689</v>
      </c>
    </row>
    <row r="307" spans="1:14" x14ac:dyDescent="0.3">
      <c r="A307" t="s">
        <v>101</v>
      </c>
      <c r="B307" t="s">
        <v>102</v>
      </c>
      <c r="C307">
        <v>50.2</v>
      </c>
      <c r="D307">
        <v>6.1</v>
      </c>
      <c r="H307">
        <v>3.2</v>
      </c>
      <c r="I307">
        <v>-0.8</v>
      </c>
      <c r="N307">
        <v>18282</v>
      </c>
    </row>
    <row r="308" spans="1:14" x14ac:dyDescent="0.3">
      <c r="A308" t="s">
        <v>121</v>
      </c>
      <c r="B308" t="s">
        <v>50</v>
      </c>
      <c r="C308">
        <v>174.2</v>
      </c>
      <c r="D308">
        <v>6.1</v>
      </c>
      <c r="E308">
        <v>0.1</v>
      </c>
      <c r="G308">
        <v>3.7</v>
      </c>
      <c r="H308">
        <v>4</v>
      </c>
      <c r="I308">
        <v>-2.5</v>
      </c>
      <c r="N308">
        <v>19206</v>
      </c>
    </row>
    <row r="309" spans="1:14" x14ac:dyDescent="0.3">
      <c r="A309" t="s">
        <v>39</v>
      </c>
      <c r="B309" t="s">
        <v>40</v>
      </c>
      <c r="C309">
        <v>66.099999999999994</v>
      </c>
      <c r="D309">
        <v>6</v>
      </c>
      <c r="E309">
        <v>4.7</v>
      </c>
      <c r="G309">
        <v>3.7</v>
      </c>
      <c r="I309">
        <v>-0.2</v>
      </c>
      <c r="N309">
        <v>1247</v>
      </c>
    </row>
    <row r="310" spans="1:14" x14ac:dyDescent="0.3">
      <c r="A310" t="s">
        <v>130</v>
      </c>
      <c r="B310" t="s">
        <v>48</v>
      </c>
      <c r="C310">
        <v>60.1</v>
      </c>
      <c r="D310">
        <v>6</v>
      </c>
      <c r="G310">
        <v>1</v>
      </c>
      <c r="H310">
        <v>0.5</v>
      </c>
      <c r="I310">
        <v>3.8</v>
      </c>
      <c r="N310">
        <v>9817</v>
      </c>
    </row>
    <row r="311" spans="1:14" x14ac:dyDescent="0.3">
      <c r="A311" t="s">
        <v>118</v>
      </c>
      <c r="B311" t="s">
        <v>48</v>
      </c>
      <c r="C311">
        <v>62.1</v>
      </c>
      <c r="D311">
        <v>6</v>
      </c>
      <c r="E311">
        <v>3.7</v>
      </c>
      <c r="G311">
        <v>1.3</v>
      </c>
      <c r="H311">
        <v>0</v>
      </c>
      <c r="I311">
        <v>-5.5</v>
      </c>
      <c r="N311">
        <v>11710</v>
      </c>
    </row>
    <row r="312" spans="1:14" x14ac:dyDescent="0.3">
      <c r="A312" t="s">
        <v>259</v>
      </c>
      <c r="B312" t="s">
        <v>93</v>
      </c>
      <c r="C312">
        <v>71.099999999999994</v>
      </c>
      <c r="D312">
        <v>6</v>
      </c>
      <c r="E312">
        <v>6.3</v>
      </c>
      <c r="H312">
        <v>2.9</v>
      </c>
      <c r="I312">
        <v>6.9</v>
      </c>
      <c r="J312">
        <v>-7.9</v>
      </c>
      <c r="N312">
        <v>15855</v>
      </c>
    </row>
    <row r="313" spans="1:14" x14ac:dyDescent="0.3">
      <c r="A313" t="s">
        <v>323</v>
      </c>
      <c r="B313" t="s">
        <v>102</v>
      </c>
      <c r="C313">
        <v>84.2</v>
      </c>
      <c r="D313">
        <v>6</v>
      </c>
      <c r="E313">
        <v>4.4000000000000004</v>
      </c>
      <c r="G313">
        <v>4.5999999999999996</v>
      </c>
      <c r="H313">
        <v>4.2</v>
      </c>
      <c r="I313">
        <v>2.2999999999999998</v>
      </c>
      <c r="J313">
        <v>3.4</v>
      </c>
      <c r="N313">
        <v>11589</v>
      </c>
    </row>
    <row r="314" spans="1:14" x14ac:dyDescent="0.3">
      <c r="A314" t="s">
        <v>138</v>
      </c>
      <c r="B314" t="s">
        <v>77</v>
      </c>
      <c r="C314">
        <v>61</v>
      </c>
      <c r="D314">
        <v>5.9</v>
      </c>
      <c r="E314">
        <v>2.6</v>
      </c>
      <c r="G314">
        <v>2.2000000000000002</v>
      </c>
      <c r="H314">
        <v>3</v>
      </c>
      <c r="I314">
        <v>-3.1</v>
      </c>
      <c r="N314">
        <v>11753</v>
      </c>
    </row>
    <row r="315" spans="1:14" x14ac:dyDescent="0.3">
      <c r="A315" t="s">
        <v>345</v>
      </c>
      <c r="B315" t="s">
        <v>30</v>
      </c>
      <c r="C315">
        <v>50</v>
      </c>
      <c r="D315">
        <v>5.9</v>
      </c>
      <c r="G315">
        <v>1.6</v>
      </c>
      <c r="H315">
        <v>2.1</v>
      </c>
      <c r="I315">
        <v>-1.1000000000000001</v>
      </c>
      <c r="J315">
        <v>-7.9</v>
      </c>
      <c r="N315">
        <v>13649</v>
      </c>
    </row>
    <row r="316" spans="1:14" x14ac:dyDescent="0.3">
      <c r="A316" t="s">
        <v>273</v>
      </c>
      <c r="B316" t="s">
        <v>48</v>
      </c>
      <c r="C316">
        <v>62</v>
      </c>
      <c r="D316">
        <v>5.9</v>
      </c>
      <c r="G316">
        <v>4.3</v>
      </c>
      <c r="H316">
        <v>-0.7</v>
      </c>
      <c r="I316">
        <v>-2.2000000000000002</v>
      </c>
      <c r="J316">
        <v>-2.4</v>
      </c>
      <c r="N316">
        <v>5003</v>
      </c>
    </row>
    <row r="317" spans="1:14" x14ac:dyDescent="0.3">
      <c r="A317" t="s">
        <v>269</v>
      </c>
      <c r="B317" t="s">
        <v>36</v>
      </c>
      <c r="C317">
        <v>95.2</v>
      </c>
      <c r="D317">
        <v>5.9</v>
      </c>
      <c r="G317">
        <v>3.8</v>
      </c>
      <c r="H317">
        <v>1.3</v>
      </c>
      <c r="I317">
        <v>1.6</v>
      </c>
      <c r="J317">
        <v>-2.8</v>
      </c>
      <c r="N317">
        <v>12778</v>
      </c>
    </row>
    <row r="318" spans="1:14" x14ac:dyDescent="0.3">
      <c r="A318" t="s">
        <v>330</v>
      </c>
      <c r="B318" t="s">
        <v>146</v>
      </c>
      <c r="C318">
        <v>57.1</v>
      </c>
      <c r="D318">
        <v>5.9</v>
      </c>
      <c r="E318">
        <v>-3.2</v>
      </c>
      <c r="H318">
        <v>3.8</v>
      </c>
      <c r="I318">
        <v>-3.2</v>
      </c>
      <c r="N318">
        <v>15832</v>
      </c>
    </row>
    <row r="319" spans="1:14" x14ac:dyDescent="0.3">
      <c r="A319" t="s">
        <v>169</v>
      </c>
      <c r="B319" t="s">
        <v>38</v>
      </c>
      <c r="C319">
        <v>78</v>
      </c>
      <c r="D319">
        <v>5.9</v>
      </c>
      <c r="E319">
        <v>3</v>
      </c>
      <c r="G319">
        <v>2.9</v>
      </c>
      <c r="I319">
        <v>-1.7</v>
      </c>
      <c r="N319">
        <v>8004</v>
      </c>
    </row>
    <row r="320" spans="1:14" x14ac:dyDescent="0.3">
      <c r="A320" t="s">
        <v>270</v>
      </c>
      <c r="B320" t="s">
        <v>159</v>
      </c>
      <c r="C320">
        <v>148.1</v>
      </c>
      <c r="D320">
        <v>5.8</v>
      </c>
      <c r="G320">
        <v>3.4</v>
      </c>
      <c r="H320">
        <v>1</v>
      </c>
      <c r="I320">
        <v>-0.3</v>
      </c>
      <c r="J320">
        <v>-8</v>
      </c>
      <c r="N320">
        <v>16207</v>
      </c>
    </row>
    <row r="321" spans="1:14" x14ac:dyDescent="0.3">
      <c r="A321" t="s">
        <v>41</v>
      </c>
      <c r="B321" t="s">
        <v>40</v>
      </c>
      <c r="C321">
        <v>61.1</v>
      </c>
      <c r="D321">
        <v>5.8</v>
      </c>
      <c r="G321">
        <v>3.6</v>
      </c>
      <c r="J321">
        <v>-5</v>
      </c>
      <c r="N321">
        <v>3240</v>
      </c>
    </row>
    <row r="322" spans="1:14" x14ac:dyDescent="0.3">
      <c r="A322" t="s">
        <v>213</v>
      </c>
      <c r="B322" t="s">
        <v>32</v>
      </c>
      <c r="C322">
        <v>141.19999999999999</v>
      </c>
      <c r="D322">
        <v>5.7</v>
      </c>
      <c r="E322">
        <v>3.6</v>
      </c>
      <c r="H322">
        <v>2.7</v>
      </c>
      <c r="I322">
        <v>0.2</v>
      </c>
      <c r="N322">
        <v>16502</v>
      </c>
    </row>
    <row r="323" spans="1:14" x14ac:dyDescent="0.3">
      <c r="A323" t="s">
        <v>211</v>
      </c>
      <c r="B323" t="s">
        <v>38</v>
      </c>
      <c r="C323">
        <v>54.2</v>
      </c>
      <c r="D323">
        <v>5.3</v>
      </c>
      <c r="E323">
        <v>3.6</v>
      </c>
      <c r="H323">
        <v>2.6</v>
      </c>
      <c r="I323">
        <v>-0.3</v>
      </c>
      <c r="J323">
        <v>-10</v>
      </c>
      <c r="N323">
        <v>12997</v>
      </c>
    </row>
    <row r="324" spans="1:14" x14ac:dyDescent="0.3">
      <c r="A324" t="s">
        <v>218</v>
      </c>
      <c r="B324" t="s">
        <v>83</v>
      </c>
      <c r="C324">
        <v>54</v>
      </c>
      <c r="D324">
        <v>5.0999999999999996</v>
      </c>
      <c r="G324">
        <v>3.7</v>
      </c>
      <c r="H324">
        <v>2.9</v>
      </c>
      <c r="I324">
        <v>2.2000000000000002</v>
      </c>
      <c r="N324">
        <v>3132</v>
      </c>
    </row>
    <row r="325" spans="1:14" x14ac:dyDescent="0.3">
      <c r="A325" t="s">
        <v>200</v>
      </c>
      <c r="B325" t="s">
        <v>48</v>
      </c>
      <c r="C325">
        <v>71.099999999999994</v>
      </c>
      <c r="D325">
        <v>5.0999999999999996</v>
      </c>
      <c r="G325">
        <v>-1.1000000000000001</v>
      </c>
      <c r="H325">
        <v>0.9</v>
      </c>
      <c r="I325">
        <v>-1</v>
      </c>
      <c r="N325">
        <v>9325</v>
      </c>
    </row>
    <row r="326" spans="1:14" x14ac:dyDescent="0.3">
      <c r="A326" t="s">
        <v>293</v>
      </c>
      <c r="B326" t="s">
        <v>98</v>
      </c>
      <c r="C326">
        <v>56</v>
      </c>
      <c r="D326">
        <v>4.9000000000000004</v>
      </c>
      <c r="G326">
        <v>-0.7</v>
      </c>
      <c r="H326">
        <v>0.8</v>
      </c>
      <c r="I326">
        <v>-2.2999999999999998</v>
      </c>
      <c r="N326">
        <v>3237</v>
      </c>
    </row>
    <row r="327" spans="1:14" x14ac:dyDescent="0.3">
      <c r="A327" t="s">
        <v>170</v>
      </c>
      <c r="B327" t="s">
        <v>66</v>
      </c>
      <c r="C327">
        <v>54.1</v>
      </c>
      <c r="D327">
        <v>4.8</v>
      </c>
      <c r="H327">
        <v>1.3</v>
      </c>
      <c r="I327">
        <v>-4.8</v>
      </c>
      <c r="J327">
        <v>-8</v>
      </c>
      <c r="N327">
        <v>12680</v>
      </c>
    </row>
    <row r="328" spans="1:14" x14ac:dyDescent="0.3">
      <c r="A328" t="s">
        <v>100</v>
      </c>
      <c r="B328" t="s">
        <v>77</v>
      </c>
      <c r="C328">
        <v>64</v>
      </c>
      <c r="D328">
        <v>4.5</v>
      </c>
      <c r="G328">
        <v>1.5</v>
      </c>
      <c r="H328">
        <v>-0.4</v>
      </c>
      <c r="I328">
        <v>-1.5</v>
      </c>
      <c r="N328">
        <v>6483</v>
      </c>
    </row>
    <row r="329" spans="1:14" x14ac:dyDescent="0.3">
      <c r="A329" t="s">
        <v>206</v>
      </c>
      <c r="B329" t="s">
        <v>48</v>
      </c>
      <c r="C329">
        <v>55.1</v>
      </c>
      <c r="D329">
        <v>4.4000000000000004</v>
      </c>
      <c r="G329">
        <v>0.7</v>
      </c>
      <c r="H329">
        <v>-1.4</v>
      </c>
      <c r="I329">
        <v>2</v>
      </c>
      <c r="N329">
        <v>7947</v>
      </c>
    </row>
    <row r="330" spans="1:14" x14ac:dyDescent="0.3">
      <c r="A330" t="s">
        <v>230</v>
      </c>
      <c r="B330" t="s">
        <v>48</v>
      </c>
      <c r="C330">
        <v>197</v>
      </c>
      <c r="D330">
        <v>4.2</v>
      </c>
      <c r="E330">
        <v>2.7</v>
      </c>
      <c r="G330">
        <v>1.9</v>
      </c>
      <c r="H330">
        <v>-1.6</v>
      </c>
      <c r="I330">
        <v>-1.4</v>
      </c>
      <c r="J330">
        <v>-2.2999999999999998</v>
      </c>
      <c r="N330">
        <v>10130</v>
      </c>
    </row>
    <row r="331" spans="1:14" x14ac:dyDescent="0.3">
      <c r="A331" t="s">
        <v>332</v>
      </c>
      <c r="B331" t="s">
        <v>146</v>
      </c>
      <c r="C331">
        <v>55.1</v>
      </c>
      <c r="D331">
        <v>3.8</v>
      </c>
      <c r="E331">
        <v>2.9</v>
      </c>
      <c r="G331">
        <v>1.7</v>
      </c>
      <c r="H331">
        <v>2.1</v>
      </c>
      <c r="I331">
        <v>-2</v>
      </c>
      <c r="N331">
        <v>7803</v>
      </c>
    </row>
    <row r="332" spans="1:14" x14ac:dyDescent="0.3">
      <c r="A332" t="s">
        <v>42</v>
      </c>
      <c r="B332" t="s">
        <v>43</v>
      </c>
      <c r="C332">
        <v>67.2</v>
      </c>
      <c r="D332">
        <v>2.4</v>
      </c>
      <c r="E332">
        <v>0.5</v>
      </c>
      <c r="G332">
        <v>1.4</v>
      </c>
      <c r="H332">
        <v>0.3</v>
      </c>
      <c r="I332">
        <v>-0.9</v>
      </c>
      <c r="N332">
        <v>16258</v>
      </c>
    </row>
    <row r="333" spans="1:14" x14ac:dyDescent="0.3">
      <c r="A333" t="s">
        <v>367</v>
      </c>
      <c r="B333" t="s">
        <v>48</v>
      </c>
      <c r="C333">
        <v>92</v>
      </c>
      <c r="D333">
        <v>-0.6</v>
      </c>
      <c r="E333">
        <v>3.7</v>
      </c>
      <c r="G333">
        <v>2.4</v>
      </c>
      <c r="H333">
        <v>0.2</v>
      </c>
      <c r="J333">
        <v>-4.5</v>
      </c>
      <c r="N333">
        <v>14862</v>
      </c>
    </row>
    <row r="334" spans="1:14" x14ac:dyDescent="0.3">
      <c r="A334" t="s">
        <v>205</v>
      </c>
      <c r="B334" t="s">
        <v>71</v>
      </c>
      <c r="C334">
        <v>62</v>
      </c>
      <c r="D334">
        <v>-2.1</v>
      </c>
      <c r="G334">
        <v>-3.3</v>
      </c>
      <c r="H334">
        <v>-1.5</v>
      </c>
      <c r="I334">
        <v>0.6</v>
      </c>
      <c r="N334">
        <v>12890</v>
      </c>
    </row>
    <row r="335" spans="1:14" x14ac:dyDescent="0.3">
      <c r="A335" t="s">
        <v>224</v>
      </c>
      <c r="B335" t="s">
        <v>58</v>
      </c>
      <c r="C335">
        <v>160.1</v>
      </c>
      <c r="D335">
        <v>-2.4</v>
      </c>
      <c r="G335">
        <v>5.7</v>
      </c>
      <c r="H335">
        <v>0.8</v>
      </c>
      <c r="I335">
        <v>2.4</v>
      </c>
      <c r="J335">
        <v>-5.6</v>
      </c>
      <c r="N335">
        <v>13361</v>
      </c>
    </row>
    <row r="336" spans="1:14" x14ac:dyDescent="0.3">
      <c r="A336" t="s">
        <v>245</v>
      </c>
      <c r="B336" t="s">
        <v>56</v>
      </c>
      <c r="C336">
        <v>56.2</v>
      </c>
      <c r="D336">
        <v>-2.5</v>
      </c>
      <c r="G336">
        <v>-4.3</v>
      </c>
      <c r="I336">
        <v>0.6</v>
      </c>
      <c r="N336">
        <v>15288</v>
      </c>
    </row>
    <row r="337" spans="1:14" x14ac:dyDescent="0.3">
      <c r="A337" t="s">
        <v>155</v>
      </c>
      <c r="B337" t="s">
        <v>53</v>
      </c>
      <c r="C337">
        <v>63</v>
      </c>
      <c r="E337">
        <v>8</v>
      </c>
      <c r="G337">
        <v>9.6</v>
      </c>
      <c r="I337">
        <v>-2.9</v>
      </c>
      <c r="N337">
        <v>3096</v>
      </c>
    </row>
    <row r="338" spans="1:14" x14ac:dyDescent="0.3">
      <c r="A338" t="s">
        <v>27</v>
      </c>
      <c r="B338" t="s">
        <v>28</v>
      </c>
      <c r="C338">
        <v>60</v>
      </c>
      <c r="E338">
        <v>5.6</v>
      </c>
      <c r="J338">
        <v>-9.4</v>
      </c>
      <c r="N338">
        <v>3192</v>
      </c>
    </row>
    <row r="339" spans="1:14" x14ac:dyDescent="0.3">
      <c r="A339" t="s">
        <v>334</v>
      </c>
      <c r="B339" t="s">
        <v>46</v>
      </c>
      <c r="C339">
        <v>72</v>
      </c>
      <c r="E339">
        <v>3.7</v>
      </c>
      <c r="G339">
        <v>2.4</v>
      </c>
      <c r="H339">
        <v>3.3</v>
      </c>
      <c r="I339">
        <v>-4</v>
      </c>
      <c r="N339">
        <v>8110</v>
      </c>
    </row>
    <row r="340" spans="1:14" x14ac:dyDescent="0.3">
      <c r="A340" t="s">
        <v>305</v>
      </c>
      <c r="B340" t="s">
        <v>62</v>
      </c>
      <c r="C340">
        <v>95.1</v>
      </c>
      <c r="G340">
        <v>8.4</v>
      </c>
      <c r="H340">
        <v>3.8</v>
      </c>
      <c r="J340">
        <v>-3.3</v>
      </c>
      <c r="N340">
        <v>15423</v>
      </c>
    </row>
    <row r="341" spans="1:14" x14ac:dyDescent="0.3">
      <c r="A341" t="s">
        <v>276</v>
      </c>
      <c r="B341" t="s">
        <v>146</v>
      </c>
      <c r="C341">
        <v>73.099999999999994</v>
      </c>
      <c r="G341">
        <v>4.2</v>
      </c>
      <c r="H341">
        <v>2</v>
      </c>
      <c r="I341">
        <v>-0.9</v>
      </c>
      <c r="N341">
        <v>15684</v>
      </c>
    </row>
    <row r="342" spans="1:14" x14ac:dyDescent="0.3">
      <c r="A342" t="s">
        <v>254</v>
      </c>
      <c r="B342" t="s">
        <v>93</v>
      </c>
      <c r="C342">
        <v>78</v>
      </c>
      <c r="E342">
        <v>1.6</v>
      </c>
      <c r="F342">
        <v>1.1000000000000001</v>
      </c>
      <c r="G342">
        <v>4.5</v>
      </c>
      <c r="I342">
        <v>-2.5</v>
      </c>
      <c r="J342">
        <v>-4.7</v>
      </c>
      <c r="N342">
        <v>17425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342"/>
  <sheetViews>
    <sheetView workbookViewId="0"/>
  </sheetViews>
  <sheetFormatPr defaultRowHeight="14.4" x14ac:dyDescent="0.3"/>
  <cols>
    <col min="1" max="1" width="13.21875" customWidth="1"/>
  </cols>
  <sheetData>
    <row r="1" spans="1:21" x14ac:dyDescent="0.3">
      <c r="A1" t="s">
        <v>0</v>
      </c>
      <c r="B1" t="s">
        <v>1</v>
      </c>
      <c r="C1" t="s">
        <v>405</v>
      </c>
      <c r="D1" t="s">
        <v>454</v>
      </c>
      <c r="E1" t="s">
        <v>453</v>
      </c>
      <c r="F1" t="s">
        <v>452</v>
      </c>
      <c r="G1" t="s">
        <v>451</v>
      </c>
      <c r="H1" t="s">
        <v>450</v>
      </c>
      <c r="I1" t="s">
        <v>449</v>
      </c>
      <c r="J1" t="s">
        <v>448</v>
      </c>
      <c r="K1" t="s">
        <v>447</v>
      </c>
      <c r="L1" t="s">
        <v>446</v>
      </c>
      <c r="M1" t="s">
        <v>445</v>
      </c>
      <c r="N1" t="s">
        <v>444</v>
      </c>
      <c r="O1" t="s">
        <v>443</v>
      </c>
      <c r="P1" t="s">
        <v>442</v>
      </c>
      <c r="Q1" t="s">
        <v>441</v>
      </c>
      <c r="R1" t="s">
        <v>440</v>
      </c>
      <c r="S1" t="s">
        <v>439</v>
      </c>
      <c r="T1" t="s">
        <v>438</v>
      </c>
      <c r="U1" t="s">
        <v>24</v>
      </c>
    </row>
    <row r="2" spans="1:21" x14ac:dyDescent="0.3">
      <c r="A2" t="s">
        <v>41</v>
      </c>
      <c r="B2" t="s">
        <v>40</v>
      </c>
      <c r="C2">
        <v>0.224</v>
      </c>
      <c r="D2">
        <v>8.1300000000000008</v>
      </c>
      <c r="E2" s="1">
        <v>0.13300000000000001</v>
      </c>
      <c r="F2" s="1">
        <v>0.77200000000000002</v>
      </c>
      <c r="G2" s="1">
        <v>9.5000000000000001E-2</v>
      </c>
      <c r="H2" s="1">
        <v>6.7000000000000004E-2</v>
      </c>
      <c r="I2" s="1">
        <v>0.2</v>
      </c>
      <c r="J2">
        <v>31</v>
      </c>
      <c r="K2">
        <v>4.55</v>
      </c>
      <c r="L2">
        <v>382</v>
      </c>
      <c r="M2">
        <v>551</v>
      </c>
      <c r="N2">
        <v>933</v>
      </c>
      <c r="O2" s="1">
        <v>0.434</v>
      </c>
      <c r="P2" s="1">
        <v>0.41499999999999998</v>
      </c>
      <c r="Q2" s="1">
        <v>0.151</v>
      </c>
      <c r="R2" s="1">
        <v>0.22</v>
      </c>
      <c r="S2" s="1">
        <v>0.503</v>
      </c>
      <c r="T2" s="1">
        <v>0.27700000000000002</v>
      </c>
      <c r="U2">
        <v>3240</v>
      </c>
    </row>
    <row r="3" spans="1:21" x14ac:dyDescent="0.3">
      <c r="A3" t="s">
        <v>42</v>
      </c>
      <c r="B3" t="s">
        <v>43</v>
      </c>
      <c r="C3">
        <v>0.22800000000000001</v>
      </c>
      <c r="D3">
        <v>4.28</v>
      </c>
      <c r="E3" s="1">
        <v>0.11</v>
      </c>
      <c r="F3" s="1">
        <v>0.72099999999999997</v>
      </c>
      <c r="G3" s="1">
        <v>0.16900000000000001</v>
      </c>
      <c r="H3" s="1">
        <v>0</v>
      </c>
      <c r="I3" s="1">
        <v>0.13800000000000001</v>
      </c>
      <c r="J3">
        <v>35</v>
      </c>
      <c r="K3">
        <v>4.66</v>
      </c>
      <c r="L3">
        <v>381</v>
      </c>
      <c r="M3">
        <v>658</v>
      </c>
      <c r="N3">
        <v>1039</v>
      </c>
      <c r="O3" s="1">
        <v>0.42299999999999999</v>
      </c>
      <c r="P3" s="1">
        <v>0.32</v>
      </c>
      <c r="Q3" s="1">
        <v>0.25700000000000001</v>
      </c>
      <c r="R3" s="1">
        <v>0.22900000000000001</v>
      </c>
      <c r="S3" s="1">
        <v>0.52</v>
      </c>
      <c r="T3" s="1">
        <v>0.251</v>
      </c>
      <c r="U3">
        <v>16258</v>
      </c>
    </row>
    <row r="4" spans="1:21" x14ac:dyDescent="0.3">
      <c r="A4" t="s">
        <v>362</v>
      </c>
      <c r="B4" t="s">
        <v>28</v>
      </c>
      <c r="C4">
        <v>0.31900000000000001</v>
      </c>
      <c r="D4">
        <v>3.74</v>
      </c>
      <c r="E4" s="1">
        <v>0.21299999999999999</v>
      </c>
      <c r="F4" s="1">
        <v>0.621</v>
      </c>
      <c r="G4" s="1">
        <v>0.16600000000000001</v>
      </c>
      <c r="H4" s="1">
        <v>5.7000000000000002E-2</v>
      </c>
      <c r="I4" s="1">
        <v>0.25700000000000001</v>
      </c>
      <c r="J4">
        <v>37</v>
      </c>
      <c r="K4">
        <v>4.71</v>
      </c>
      <c r="L4">
        <v>467</v>
      </c>
      <c r="M4">
        <v>708</v>
      </c>
      <c r="N4">
        <v>1175</v>
      </c>
      <c r="O4" s="1">
        <v>0.441</v>
      </c>
      <c r="P4" s="1">
        <v>0.33800000000000002</v>
      </c>
      <c r="Q4" s="1">
        <v>0.221</v>
      </c>
      <c r="R4" s="1">
        <v>0.21099999999999999</v>
      </c>
      <c r="S4" s="1">
        <v>0.40799999999999997</v>
      </c>
      <c r="T4" s="1">
        <v>0.38</v>
      </c>
      <c r="U4">
        <v>17295</v>
      </c>
    </row>
    <row r="5" spans="1:21" x14ac:dyDescent="0.3">
      <c r="A5" t="s">
        <v>147</v>
      </c>
      <c r="B5" t="s">
        <v>48</v>
      </c>
      <c r="C5">
        <v>0.34899999999999998</v>
      </c>
      <c r="D5">
        <v>3.67</v>
      </c>
      <c r="E5" s="1">
        <v>0.21</v>
      </c>
      <c r="F5" s="1">
        <v>0.621</v>
      </c>
      <c r="G5" s="1">
        <v>0.16900000000000001</v>
      </c>
      <c r="H5" s="1">
        <v>0.121</v>
      </c>
      <c r="I5" s="1">
        <v>0.121</v>
      </c>
      <c r="J5">
        <v>27</v>
      </c>
      <c r="K5">
        <v>3.61</v>
      </c>
      <c r="L5">
        <v>387</v>
      </c>
      <c r="M5">
        <v>681</v>
      </c>
      <c r="N5">
        <v>1068</v>
      </c>
      <c r="O5" s="1">
        <v>0.39800000000000002</v>
      </c>
      <c r="P5" s="1">
        <v>0.378</v>
      </c>
      <c r="Q5" s="1">
        <v>0.224</v>
      </c>
      <c r="R5" s="1">
        <v>0.16300000000000001</v>
      </c>
      <c r="S5" s="1">
        <v>0.45400000000000001</v>
      </c>
      <c r="T5" s="1">
        <v>0.38300000000000001</v>
      </c>
      <c r="U5">
        <v>4264</v>
      </c>
    </row>
    <row r="6" spans="1:21" x14ac:dyDescent="0.3">
      <c r="A6" t="s">
        <v>262</v>
      </c>
      <c r="B6" t="s">
        <v>53</v>
      </c>
      <c r="C6">
        <v>0.32300000000000001</v>
      </c>
      <c r="D6">
        <v>3.54</v>
      </c>
      <c r="E6" s="1">
        <v>0.216</v>
      </c>
      <c r="F6" s="1">
        <v>0.61199999999999999</v>
      </c>
      <c r="G6" s="1">
        <v>0.17299999999999999</v>
      </c>
      <c r="H6" s="1">
        <v>0.16700000000000001</v>
      </c>
      <c r="I6" s="1">
        <v>0.25</v>
      </c>
      <c r="J6">
        <v>37</v>
      </c>
      <c r="K6">
        <v>6.49</v>
      </c>
      <c r="L6">
        <v>320</v>
      </c>
      <c r="M6">
        <v>574</v>
      </c>
      <c r="N6">
        <v>894</v>
      </c>
      <c r="O6" s="1">
        <v>0.38800000000000001</v>
      </c>
      <c r="P6" s="1">
        <v>0.39600000000000002</v>
      </c>
      <c r="Q6" s="1">
        <v>0.216</v>
      </c>
      <c r="R6" s="1">
        <v>0.245</v>
      </c>
      <c r="S6" s="1">
        <v>0.33100000000000002</v>
      </c>
      <c r="T6" s="1">
        <v>0.42399999999999999</v>
      </c>
      <c r="U6">
        <v>9761</v>
      </c>
    </row>
    <row r="7" spans="1:21" x14ac:dyDescent="0.3">
      <c r="A7" t="s">
        <v>113</v>
      </c>
      <c r="B7" t="s">
        <v>48</v>
      </c>
      <c r="C7">
        <v>0.25900000000000001</v>
      </c>
      <c r="D7">
        <v>3.48</v>
      </c>
      <c r="E7" s="1">
        <v>0.14699999999999999</v>
      </c>
      <c r="F7" s="1">
        <v>0.66300000000000003</v>
      </c>
      <c r="G7" s="1">
        <v>0.19</v>
      </c>
      <c r="H7" s="1">
        <v>6.5000000000000002E-2</v>
      </c>
      <c r="I7" s="1">
        <v>0.22600000000000001</v>
      </c>
      <c r="J7">
        <v>26</v>
      </c>
      <c r="K7">
        <v>4.25</v>
      </c>
      <c r="L7">
        <v>276</v>
      </c>
      <c r="M7">
        <v>518</v>
      </c>
      <c r="N7">
        <v>794</v>
      </c>
      <c r="O7" s="1">
        <v>0.35199999999999998</v>
      </c>
      <c r="P7" s="1">
        <v>0.34499999999999997</v>
      </c>
      <c r="Q7" s="1">
        <v>0.30299999999999999</v>
      </c>
      <c r="R7" s="1">
        <v>0.188</v>
      </c>
      <c r="S7" s="1">
        <v>0.497</v>
      </c>
      <c r="T7" s="1">
        <v>0.315</v>
      </c>
      <c r="U7">
        <v>10843</v>
      </c>
    </row>
    <row r="8" spans="1:21" x14ac:dyDescent="0.3">
      <c r="A8" t="s">
        <v>293</v>
      </c>
      <c r="B8" t="s">
        <v>98</v>
      </c>
      <c r="C8">
        <v>0.34599999999999997</v>
      </c>
      <c r="D8">
        <v>3.31</v>
      </c>
      <c r="E8" s="1">
        <v>0.20499999999999999</v>
      </c>
      <c r="F8" s="1">
        <v>0.61099999999999999</v>
      </c>
      <c r="G8" s="1">
        <v>0.184</v>
      </c>
      <c r="H8" s="1">
        <v>2.9000000000000001E-2</v>
      </c>
      <c r="I8" s="1">
        <v>0.17100000000000001</v>
      </c>
      <c r="J8">
        <v>24</v>
      </c>
      <c r="K8">
        <v>3.86</v>
      </c>
      <c r="L8">
        <v>340</v>
      </c>
      <c r="M8">
        <v>557</v>
      </c>
      <c r="N8">
        <v>897</v>
      </c>
      <c r="O8" s="1">
        <v>0.433</v>
      </c>
      <c r="P8" s="1">
        <v>0.34</v>
      </c>
      <c r="Q8" s="1">
        <v>0.22700000000000001</v>
      </c>
      <c r="R8" s="1">
        <v>0.16</v>
      </c>
      <c r="S8" s="1">
        <v>0.41199999999999998</v>
      </c>
      <c r="T8" s="1">
        <v>0.42799999999999999</v>
      </c>
      <c r="U8">
        <v>3237</v>
      </c>
    </row>
    <row r="9" spans="1:21" x14ac:dyDescent="0.3">
      <c r="A9" t="s">
        <v>162</v>
      </c>
      <c r="B9" t="s">
        <v>75</v>
      </c>
      <c r="C9">
        <v>0.29799999999999999</v>
      </c>
      <c r="D9">
        <v>3.06</v>
      </c>
      <c r="E9" s="1">
        <v>0.20200000000000001</v>
      </c>
      <c r="F9" s="1">
        <v>0.60099999999999998</v>
      </c>
      <c r="G9" s="1">
        <v>0.19600000000000001</v>
      </c>
      <c r="H9" s="1">
        <v>7.4999999999999997E-2</v>
      </c>
      <c r="I9" s="1">
        <v>0.23899999999999999</v>
      </c>
      <c r="J9">
        <v>45</v>
      </c>
      <c r="K9">
        <v>3.59</v>
      </c>
      <c r="L9">
        <v>713</v>
      </c>
      <c r="M9">
        <v>1151</v>
      </c>
      <c r="N9">
        <v>1864</v>
      </c>
      <c r="O9" s="1">
        <v>0.48599999999999999</v>
      </c>
      <c r="P9" s="1">
        <v>0.33900000000000002</v>
      </c>
      <c r="Q9" s="1">
        <v>0.17499999999999999</v>
      </c>
      <c r="R9" s="1">
        <v>0.20399999999999999</v>
      </c>
      <c r="S9" s="1">
        <v>0.42799999999999999</v>
      </c>
      <c r="T9" s="1">
        <v>0.36799999999999999</v>
      </c>
      <c r="U9">
        <v>9434</v>
      </c>
    </row>
    <row r="10" spans="1:21" x14ac:dyDescent="0.3">
      <c r="A10" t="s">
        <v>372</v>
      </c>
      <c r="B10" t="s">
        <v>46</v>
      </c>
      <c r="C10">
        <v>0.32500000000000001</v>
      </c>
      <c r="D10">
        <v>3</v>
      </c>
      <c r="E10" s="1">
        <v>0.189</v>
      </c>
      <c r="F10" s="1">
        <v>0.60799999999999998</v>
      </c>
      <c r="G10" s="1">
        <v>0.20300000000000001</v>
      </c>
      <c r="H10" s="1">
        <v>0.13600000000000001</v>
      </c>
      <c r="I10" s="1">
        <v>0.22700000000000001</v>
      </c>
      <c r="J10">
        <v>49</v>
      </c>
      <c r="K10">
        <v>6.93</v>
      </c>
      <c r="L10">
        <v>372</v>
      </c>
      <c r="M10">
        <v>658</v>
      </c>
      <c r="N10">
        <v>1030</v>
      </c>
      <c r="O10" s="1">
        <v>0.40600000000000003</v>
      </c>
      <c r="P10" s="1">
        <v>0.40600000000000003</v>
      </c>
      <c r="Q10" s="1">
        <v>0.187</v>
      </c>
      <c r="R10" s="1">
        <v>0.17799999999999999</v>
      </c>
      <c r="S10" s="1">
        <v>0.434</v>
      </c>
      <c r="T10" s="1">
        <v>0.38800000000000001</v>
      </c>
      <c r="U10">
        <v>10587</v>
      </c>
    </row>
    <row r="11" spans="1:21" x14ac:dyDescent="0.3">
      <c r="A11" t="s">
        <v>332</v>
      </c>
      <c r="B11" t="s">
        <v>146</v>
      </c>
      <c r="C11">
        <v>0.316</v>
      </c>
      <c r="D11">
        <v>2.95</v>
      </c>
      <c r="E11" s="1">
        <v>0.19800000000000001</v>
      </c>
      <c r="F11" s="1">
        <v>0.59899999999999998</v>
      </c>
      <c r="G11" s="1">
        <v>0.20300000000000001</v>
      </c>
      <c r="H11" s="1">
        <v>0.10299999999999999</v>
      </c>
      <c r="I11" s="1">
        <v>0.154</v>
      </c>
      <c r="J11">
        <v>33</v>
      </c>
      <c r="K11">
        <v>5.37</v>
      </c>
      <c r="L11">
        <v>246</v>
      </c>
      <c r="M11">
        <v>516</v>
      </c>
      <c r="N11">
        <v>762</v>
      </c>
      <c r="O11" s="1">
        <v>0.42</v>
      </c>
      <c r="P11" s="1">
        <v>0.35799999999999998</v>
      </c>
      <c r="Q11" s="1">
        <v>0.223</v>
      </c>
      <c r="R11" s="1">
        <v>0.16600000000000001</v>
      </c>
      <c r="S11" s="1">
        <v>0.56000000000000005</v>
      </c>
      <c r="T11" s="1">
        <v>0.27500000000000002</v>
      </c>
      <c r="U11">
        <v>7803</v>
      </c>
    </row>
    <row r="12" spans="1:21" x14ac:dyDescent="0.3">
      <c r="A12" t="s">
        <v>176</v>
      </c>
      <c r="B12" t="s">
        <v>75</v>
      </c>
      <c r="C12">
        <v>0.38600000000000001</v>
      </c>
      <c r="D12">
        <v>2.74</v>
      </c>
      <c r="E12" s="1">
        <v>0.17499999999999999</v>
      </c>
      <c r="F12" s="1">
        <v>0.60499999999999998</v>
      </c>
      <c r="G12" s="1">
        <v>0.22</v>
      </c>
      <c r="H12" s="1">
        <v>5.0999999999999997E-2</v>
      </c>
      <c r="I12" s="1">
        <v>0.25600000000000001</v>
      </c>
      <c r="J12">
        <v>48</v>
      </c>
      <c r="K12">
        <v>5.94</v>
      </c>
      <c r="L12">
        <v>450</v>
      </c>
      <c r="M12">
        <v>804</v>
      </c>
      <c r="N12">
        <v>1254</v>
      </c>
      <c r="O12" s="1">
        <v>0.38700000000000001</v>
      </c>
      <c r="P12" s="1">
        <v>0.34799999999999998</v>
      </c>
      <c r="Q12" s="1">
        <v>0.26500000000000001</v>
      </c>
      <c r="R12" s="1">
        <v>0.155</v>
      </c>
      <c r="S12" s="1">
        <v>0.51900000000000002</v>
      </c>
      <c r="T12" s="1">
        <v>0.32600000000000001</v>
      </c>
      <c r="U12">
        <v>11752</v>
      </c>
    </row>
    <row r="13" spans="1:21" x14ac:dyDescent="0.3">
      <c r="A13" t="s">
        <v>345</v>
      </c>
      <c r="B13" t="s">
        <v>30</v>
      </c>
      <c r="C13">
        <v>0.29899999999999999</v>
      </c>
      <c r="D13">
        <v>2.73</v>
      </c>
      <c r="E13" s="1">
        <v>0.17599999999999999</v>
      </c>
      <c r="F13" s="1">
        <v>0.60299999999999998</v>
      </c>
      <c r="G13" s="1">
        <v>0.221</v>
      </c>
      <c r="H13" s="1">
        <v>0.1</v>
      </c>
      <c r="I13" s="1">
        <v>0.16700000000000001</v>
      </c>
      <c r="J13">
        <v>15</v>
      </c>
      <c r="K13">
        <v>2.7</v>
      </c>
      <c r="L13">
        <v>389</v>
      </c>
      <c r="M13">
        <v>526</v>
      </c>
      <c r="N13">
        <v>915</v>
      </c>
      <c r="O13" s="1">
        <v>0.48599999999999999</v>
      </c>
      <c r="P13" s="1">
        <v>0.33300000000000002</v>
      </c>
      <c r="Q13" s="1">
        <v>0.18099999999999999</v>
      </c>
      <c r="R13" s="1">
        <v>0.254</v>
      </c>
      <c r="S13" s="1">
        <v>0.40600000000000003</v>
      </c>
      <c r="T13" s="1">
        <v>0.34100000000000003</v>
      </c>
      <c r="U13">
        <v>13649</v>
      </c>
    </row>
    <row r="14" spans="1:21" x14ac:dyDescent="0.3">
      <c r="A14" t="s">
        <v>250</v>
      </c>
      <c r="B14" t="s">
        <v>127</v>
      </c>
      <c r="C14">
        <v>0.315</v>
      </c>
      <c r="D14">
        <v>2.7</v>
      </c>
      <c r="E14" s="1">
        <v>0.20100000000000001</v>
      </c>
      <c r="F14" s="1">
        <v>0.58299999999999996</v>
      </c>
      <c r="G14" s="1">
        <v>0.216</v>
      </c>
      <c r="H14" s="1">
        <v>9.0999999999999998E-2</v>
      </c>
      <c r="I14" s="1">
        <v>9.0999999999999998E-2</v>
      </c>
      <c r="J14">
        <v>39</v>
      </c>
      <c r="K14">
        <v>5.82</v>
      </c>
      <c r="L14">
        <v>295</v>
      </c>
      <c r="M14">
        <v>606</v>
      </c>
      <c r="N14">
        <v>901</v>
      </c>
      <c r="O14" s="1">
        <v>0.435</v>
      </c>
      <c r="P14" s="1">
        <v>0.36699999999999999</v>
      </c>
      <c r="Q14" s="1">
        <v>0.19800000000000001</v>
      </c>
      <c r="R14" s="1">
        <v>0.188</v>
      </c>
      <c r="S14" s="1">
        <v>0.41499999999999998</v>
      </c>
      <c r="T14" s="1">
        <v>0.39600000000000002</v>
      </c>
      <c r="U14">
        <v>15240</v>
      </c>
    </row>
    <row r="15" spans="1:21" x14ac:dyDescent="0.3">
      <c r="A15" t="s">
        <v>121</v>
      </c>
      <c r="B15" t="s">
        <v>50</v>
      </c>
      <c r="C15">
        <v>0.27400000000000002</v>
      </c>
      <c r="D15">
        <v>2.67</v>
      </c>
      <c r="E15" s="1">
        <v>0.217</v>
      </c>
      <c r="F15" s="1">
        <v>0.56899999999999995</v>
      </c>
      <c r="G15" s="1">
        <v>0.21299999999999999</v>
      </c>
      <c r="H15" s="1">
        <v>0.09</v>
      </c>
      <c r="I15" s="1">
        <v>0.19800000000000001</v>
      </c>
      <c r="J15">
        <v>118</v>
      </c>
      <c r="K15">
        <v>6.08</v>
      </c>
      <c r="L15">
        <v>1130</v>
      </c>
      <c r="M15">
        <v>1718</v>
      </c>
      <c r="N15">
        <v>2848</v>
      </c>
      <c r="O15" s="1">
        <v>0.42</v>
      </c>
      <c r="P15" s="1">
        <v>0.34799999999999998</v>
      </c>
      <c r="Q15" s="1">
        <v>0.23200000000000001</v>
      </c>
      <c r="R15" s="1">
        <v>0.17499999999999999</v>
      </c>
      <c r="S15" s="1">
        <v>0.42</v>
      </c>
      <c r="T15" s="1">
        <v>0.40500000000000003</v>
      </c>
      <c r="U15">
        <v>19206</v>
      </c>
    </row>
    <row r="16" spans="1:21" x14ac:dyDescent="0.3">
      <c r="A16" t="s">
        <v>163</v>
      </c>
      <c r="B16" t="s">
        <v>77</v>
      </c>
      <c r="C16">
        <v>0.28499999999999998</v>
      </c>
      <c r="D16">
        <v>2.65</v>
      </c>
      <c r="E16" s="1">
        <v>0.29099999999999998</v>
      </c>
      <c r="F16" s="1">
        <v>0.51500000000000001</v>
      </c>
      <c r="G16" s="1">
        <v>0.19400000000000001</v>
      </c>
      <c r="H16" s="1">
        <v>0.125</v>
      </c>
      <c r="I16" s="1">
        <v>0.2</v>
      </c>
      <c r="J16">
        <v>51</v>
      </c>
      <c r="K16">
        <v>5.99</v>
      </c>
      <c r="L16">
        <v>516</v>
      </c>
      <c r="M16">
        <v>769</v>
      </c>
      <c r="N16">
        <v>1285</v>
      </c>
      <c r="O16" s="1">
        <v>0.35599999999999998</v>
      </c>
      <c r="P16" s="1">
        <v>0.34599999999999997</v>
      </c>
      <c r="Q16" s="1">
        <v>0.29799999999999999</v>
      </c>
      <c r="R16" s="1">
        <v>0.20200000000000001</v>
      </c>
      <c r="S16" s="1">
        <v>0.48099999999999998</v>
      </c>
      <c r="T16" s="1">
        <v>0.317</v>
      </c>
      <c r="U16">
        <v>4338</v>
      </c>
    </row>
    <row r="17" spans="1:21" x14ac:dyDescent="0.3">
      <c r="A17" t="s">
        <v>200</v>
      </c>
      <c r="B17" t="s">
        <v>48</v>
      </c>
      <c r="C17">
        <v>0.22800000000000001</v>
      </c>
      <c r="D17">
        <v>2.64</v>
      </c>
      <c r="E17" s="1">
        <v>0.184</v>
      </c>
      <c r="F17" s="1">
        <v>0.59199999999999997</v>
      </c>
      <c r="G17" s="1">
        <v>0.224</v>
      </c>
      <c r="H17" s="1">
        <v>4.3999999999999997E-2</v>
      </c>
      <c r="I17" s="1">
        <v>0.28899999999999998</v>
      </c>
      <c r="J17">
        <v>34</v>
      </c>
      <c r="K17">
        <v>4.29</v>
      </c>
      <c r="L17">
        <v>449</v>
      </c>
      <c r="M17">
        <v>694</v>
      </c>
      <c r="N17">
        <v>1143</v>
      </c>
      <c r="O17" s="1">
        <v>0.58299999999999996</v>
      </c>
      <c r="P17" s="1">
        <v>0.311</v>
      </c>
      <c r="Q17" s="1">
        <v>0.107</v>
      </c>
      <c r="R17" s="1">
        <v>0.15</v>
      </c>
      <c r="S17" s="1">
        <v>0.45600000000000002</v>
      </c>
      <c r="T17" s="1">
        <v>0.39300000000000002</v>
      </c>
      <c r="U17">
        <v>9325</v>
      </c>
    </row>
    <row r="18" spans="1:21" x14ac:dyDescent="0.3">
      <c r="A18" t="s">
        <v>205</v>
      </c>
      <c r="B18" t="s">
        <v>71</v>
      </c>
      <c r="C18">
        <v>0.26500000000000001</v>
      </c>
      <c r="D18">
        <v>2.57</v>
      </c>
      <c r="E18" s="1">
        <v>0.20200000000000001</v>
      </c>
      <c r="F18" s="1">
        <v>0.57399999999999995</v>
      </c>
      <c r="G18" s="1">
        <v>0.223</v>
      </c>
      <c r="H18" s="1">
        <v>0.14299999999999999</v>
      </c>
      <c r="I18" s="1">
        <v>0.19</v>
      </c>
      <c r="J18">
        <v>32</v>
      </c>
      <c r="K18">
        <v>4.6500000000000004</v>
      </c>
      <c r="L18">
        <v>349</v>
      </c>
      <c r="M18">
        <v>629</v>
      </c>
      <c r="N18">
        <v>978</v>
      </c>
      <c r="O18" s="1">
        <v>0.438</v>
      </c>
      <c r="P18" s="1">
        <v>0.33300000000000002</v>
      </c>
      <c r="Q18" s="1">
        <v>0.22900000000000001</v>
      </c>
      <c r="R18" s="1">
        <v>0.28100000000000003</v>
      </c>
      <c r="S18" s="1">
        <v>0.41699999999999998</v>
      </c>
      <c r="T18" s="1">
        <v>0.30199999999999999</v>
      </c>
      <c r="U18">
        <v>12890</v>
      </c>
    </row>
    <row r="19" spans="1:21" x14ac:dyDescent="0.3">
      <c r="A19" t="s">
        <v>330</v>
      </c>
      <c r="B19" t="s">
        <v>146</v>
      </c>
      <c r="C19">
        <v>0.29699999999999999</v>
      </c>
      <c r="D19">
        <v>2.54</v>
      </c>
      <c r="E19" s="1">
        <v>0.191</v>
      </c>
      <c r="F19" s="1">
        <v>0.57999999999999996</v>
      </c>
      <c r="G19" s="1">
        <v>0.22800000000000001</v>
      </c>
      <c r="H19" s="1">
        <v>2.7E-2</v>
      </c>
      <c r="I19" s="1">
        <v>0.189</v>
      </c>
      <c r="J19">
        <v>28</v>
      </c>
      <c r="K19">
        <v>4.4000000000000004</v>
      </c>
      <c r="L19">
        <v>429</v>
      </c>
      <c r="M19">
        <v>647</v>
      </c>
      <c r="N19">
        <v>1076</v>
      </c>
      <c r="O19" s="1">
        <v>0.34499999999999997</v>
      </c>
      <c r="P19" s="1">
        <v>0.35799999999999998</v>
      </c>
      <c r="Q19" s="1">
        <v>0.29699999999999999</v>
      </c>
      <c r="R19" s="1">
        <v>0.2</v>
      </c>
      <c r="S19" s="1">
        <v>0.53900000000000003</v>
      </c>
      <c r="T19" s="1">
        <v>0.26100000000000001</v>
      </c>
      <c r="U19">
        <v>15832</v>
      </c>
    </row>
    <row r="20" spans="1:21" x14ac:dyDescent="0.3">
      <c r="A20" t="s">
        <v>198</v>
      </c>
      <c r="B20" t="s">
        <v>75</v>
      </c>
      <c r="C20">
        <v>0.33600000000000002</v>
      </c>
      <c r="D20">
        <v>2.41</v>
      </c>
      <c r="E20" s="1">
        <v>0.24099999999999999</v>
      </c>
      <c r="F20" s="1">
        <v>0.53600000000000003</v>
      </c>
      <c r="G20" s="1">
        <v>0.222</v>
      </c>
      <c r="H20" s="1">
        <v>6.7000000000000004E-2</v>
      </c>
      <c r="I20" s="1">
        <v>0.20200000000000001</v>
      </c>
      <c r="J20">
        <v>138</v>
      </c>
      <c r="K20">
        <v>7.5</v>
      </c>
      <c r="L20">
        <v>945</v>
      </c>
      <c r="M20">
        <v>1725</v>
      </c>
      <c r="N20">
        <v>2670</v>
      </c>
      <c r="O20" s="1">
        <v>0.39900000000000002</v>
      </c>
      <c r="P20" s="1">
        <v>0.32400000000000001</v>
      </c>
      <c r="Q20" s="1">
        <v>0.27700000000000002</v>
      </c>
      <c r="R20" s="1">
        <v>0.17899999999999999</v>
      </c>
      <c r="S20" s="1">
        <v>0.439</v>
      </c>
      <c r="T20" s="1">
        <v>0.38200000000000001</v>
      </c>
      <c r="U20">
        <v>13743</v>
      </c>
    </row>
    <row r="21" spans="1:21" x14ac:dyDescent="0.3">
      <c r="A21" t="s">
        <v>286</v>
      </c>
      <c r="B21" t="s">
        <v>43</v>
      </c>
      <c r="C21">
        <v>0.28499999999999998</v>
      </c>
      <c r="D21">
        <v>2.41</v>
      </c>
      <c r="E21" s="1">
        <v>0.193</v>
      </c>
      <c r="F21" s="1">
        <v>0.56999999999999995</v>
      </c>
      <c r="G21" s="1">
        <v>0.23699999999999999</v>
      </c>
      <c r="H21" s="1">
        <v>6.3E-2</v>
      </c>
      <c r="I21" s="1">
        <v>0.219</v>
      </c>
      <c r="J21">
        <v>33</v>
      </c>
      <c r="K21">
        <v>5.4</v>
      </c>
      <c r="L21">
        <v>466</v>
      </c>
      <c r="M21">
        <v>588</v>
      </c>
      <c r="N21">
        <v>1054</v>
      </c>
      <c r="O21" s="1">
        <v>0.47399999999999998</v>
      </c>
      <c r="P21" s="1">
        <v>0.35799999999999998</v>
      </c>
      <c r="Q21" s="1">
        <v>0.16800000000000001</v>
      </c>
      <c r="R21" s="1">
        <v>0.161</v>
      </c>
      <c r="S21" s="1">
        <v>0.48899999999999999</v>
      </c>
      <c r="T21" s="1">
        <v>0.35</v>
      </c>
      <c r="U21">
        <v>16159</v>
      </c>
    </row>
    <row r="22" spans="1:21" x14ac:dyDescent="0.3">
      <c r="A22" t="s">
        <v>54</v>
      </c>
      <c r="B22" t="s">
        <v>28</v>
      </c>
      <c r="C22">
        <v>0.25600000000000001</v>
      </c>
      <c r="D22">
        <v>2.37</v>
      </c>
      <c r="E22" s="1">
        <v>0.27800000000000002</v>
      </c>
      <c r="F22" s="1">
        <v>0.50800000000000001</v>
      </c>
      <c r="G22" s="1">
        <v>0.214</v>
      </c>
      <c r="H22" s="1">
        <v>7.3999999999999996E-2</v>
      </c>
      <c r="I22" s="1">
        <v>0.222</v>
      </c>
      <c r="J22">
        <v>27</v>
      </c>
      <c r="K22">
        <v>4.47</v>
      </c>
      <c r="L22">
        <v>261</v>
      </c>
      <c r="M22">
        <v>576</v>
      </c>
      <c r="N22">
        <v>837</v>
      </c>
      <c r="O22" s="1">
        <v>0.46800000000000003</v>
      </c>
      <c r="P22" s="1">
        <v>0.31</v>
      </c>
      <c r="Q22" s="1">
        <v>0.222</v>
      </c>
      <c r="R22" s="1">
        <v>0.20599999999999999</v>
      </c>
      <c r="S22" s="1">
        <v>0.42899999999999999</v>
      </c>
      <c r="T22" s="1">
        <v>0.36499999999999999</v>
      </c>
      <c r="U22">
        <v>7005</v>
      </c>
    </row>
    <row r="23" spans="1:21" x14ac:dyDescent="0.3">
      <c r="A23" t="s">
        <v>138</v>
      </c>
      <c r="B23" t="s">
        <v>77</v>
      </c>
      <c r="C23">
        <v>0.29899999999999999</v>
      </c>
      <c r="D23">
        <v>2.36</v>
      </c>
      <c r="E23" s="1">
        <v>0.17100000000000001</v>
      </c>
      <c r="F23" s="1">
        <v>0.58199999999999996</v>
      </c>
      <c r="G23" s="1">
        <v>0.247</v>
      </c>
      <c r="H23" s="1">
        <v>9.5000000000000001E-2</v>
      </c>
      <c r="I23" s="1">
        <v>0.11899999999999999</v>
      </c>
      <c r="J23">
        <v>26</v>
      </c>
      <c r="K23">
        <v>3.84</v>
      </c>
      <c r="L23">
        <v>404</v>
      </c>
      <c r="M23">
        <v>648</v>
      </c>
      <c r="N23">
        <v>1052</v>
      </c>
      <c r="O23" s="1">
        <v>0.39800000000000002</v>
      </c>
      <c r="P23" s="1">
        <v>0.33900000000000002</v>
      </c>
      <c r="Q23" s="1">
        <v>0.26300000000000001</v>
      </c>
      <c r="R23" s="1">
        <v>0.19900000000000001</v>
      </c>
      <c r="S23" s="1">
        <v>0.45600000000000002</v>
      </c>
      <c r="T23" s="1">
        <v>0.34499999999999997</v>
      </c>
      <c r="U23">
        <v>11753</v>
      </c>
    </row>
    <row r="24" spans="1:21" x14ac:dyDescent="0.3">
      <c r="A24" t="s">
        <v>245</v>
      </c>
      <c r="B24" t="s">
        <v>56</v>
      </c>
      <c r="C24">
        <v>0.28699999999999998</v>
      </c>
      <c r="D24">
        <v>2.36</v>
      </c>
      <c r="E24" s="1">
        <v>0.20300000000000001</v>
      </c>
      <c r="F24" s="1">
        <v>0.55900000000000005</v>
      </c>
      <c r="G24" s="1">
        <v>0.23699999999999999</v>
      </c>
      <c r="H24" s="1">
        <v>9.5000000000000001E-2</v>
      </c>
      <c r="I24" s="1">
        <v>0.14299999999999999</v>
      </c>
      <c r="J24">
        <v>45</v>
      </c>
      <c r="K24">
        <v>7.15</v>
      </c>
      <c r="L24">
        <v>257</v>
      </c>
      <c r="M24">
        <v>540</v>
      </c>
      <c r="N24">
        <v>797</v>
      </c>
      <c r="O24" s="1">
        <v>0.378</v>
      </c>
      <c r="P24" s="1">
        <v>0.36099999999999999</v>
      </c>
      <c r="Q24" s="1">
        <v>0.26100000000000001</v>
      </c>
      <c r="R24" s="1">
        <v>0.2</v>
      </c>
      <c r="S24" s="1">
        <v>0.42799999999999999</v>
      </c>
      <c r="T24" s="1">
        <v>0.372</v>
      </c>
      <c r="U24">
        <v>15288</v>
      </c>
    </row>
    <row r="25" spans="1:21" x14ac:dyDescent="0.3">
      <c r="A25" t="s">
        <v>27</v>
      </c>
      <c r="B25" t="s">
        <v>28</v>
      </c>
      <c r="C25">
        <v>0.245</v>
      </c>
      <c r="D25">
        <v>2.31</v>
      </c>
      <c r="E25" s="1">
        <v>0.217</v>
      </c>
      <c r="F25" s="1">
        <v>0.54600000000000004</v>
      </c>
      <c r="G25" s="1">
        <v>0.23699999999999999</v>
      </c>
      <c r="H25" s="1">
        <v>5.6000000000000001E-2</v>
      </c>
      <c r="I25" s="1">
        <v>0.16700000000000001</v>
      </c>
      <c r="J25">
        <v>39</v>
      </c>
      <c r="K25">
        <v>5.85</v>
      </c>
      <c r="L25">
        <v>352</v>
      </c>
      <c r="M25">
        <v>583</v>
      </c>
      <c r="N25">
        <v>935</v>
      </c>
      <c r="O25" s="1">
        <v>0.41199999999999998</v>
      </c>
      <c r="P25" s="1">
        <v>0.32</v>
      </c>
      <c r="Q25" s="1">
        <v>0.26800000000000002</v>
      </c>
      <c r="R25" s="1">
        <v>0.17599999999999999</v>
      </c>
      <c r="S25" s="1">
        <v>0.41199999999999998</v>
      </c>
      <c r="T25" s="1">
        <v>0.41199999999999998</v>
      </c>
      <c r="U25">
        <v>3192</v>
      </c>
    </row>
    <row r="26" spans="1:21" x14ac:dyDescent="0.3">
      <c r="A26" t="s">
        <v>291</v>
      </c>
      <c r="B26" t="s">
        <v>143</v>
      </c>
      <c r="C26">
        <v>0.34</v>
      </c>
      <c r="D26">
        <v>2.2999999999999998</v>
      </c>
      <c r="E26" s="1">
        <v>0.22800000000000001</v>
      </c>
      <c r="F26" s="1">
        <v>0.53800000000000003</v>
      </c>
      <c r="G26" s="1">
        <v>0.23400000000000001</v>
      </c>
      <c r="H26" s="1">
        <v>0.13</v>
      </c>
      <c r="I26" s="1">
        <v>0.152</v>
      </c>
      <c r="J26">
        <v>47</v>
      </c>
      <c r="K26">
        <v>6.79</v>
      </c>
      <c r="L26">
        <v>343</v>
      </c>
      <c r="M26">
        <v>679</v>
      </c>
      <c r="N26">
        <v>1022</v>
      </c>
      <c r="O26" s="1">
        <v>0.45500000000000002</v>
      </c>
      <c r="P26" s="1">
        <v>0.36399999999999999</v>
      </c>
      <c r="Q26" s="1">
        <v>0.182</v>
      </c>
      <c r="R26" s="1">
        <v>0.182</v>
      </c>
      <c r="S26" s="1">
        <v>0.42899999999999999</v>
      </c>
      <c r="T26" s="1">
        <v>0.38900000000000001</v>
      </c>
      <c r="U26">
        <v>17369</v>
      </c>
    </row>
    <row r="27" spans="1:21" x14ac:dyDescent="0.3">
      <c r="A27" t="s">
        <v>385</v>
      </c>
      <c r="B27" t="s">
        <v>46</v>
      </c>
      <c r="C27">
        <v>0.33300000000000002</v>
      </c>
      <c r="D27">
        <v>2.2599999999999998</v>
      </c>
      <c r="E27" s="1">
        <v>0.224</v>
      </c>
      <c r="F27" s="1">
        <v>0.53800000000000003</v>
      </c>
      <c r="G27" s="1">
        <v>0.23799999999999999</v>
      </c>
      <c r="H27" s="1">
        <v>3.7999999999999999E-2</v>
      </c>
      <c r="I27" s="1">
        <v>0.183</v>
      </c>
      <c r="J27">
        <v>84</v>
      </c>
      <c r="K27">
        <v>6.06</v>
      </c>
      <c r="L27">
        <v>885</v>
      </c>
      <c r="M27">
        <v>1352</v>
      </c>
      <c r="N27">
        <v>2237</v>
      </c>
      <c r="O27" s="1">
        <v>0.38200000000000001</v>
      </c>
      <c r="P27" s="1">
        <v>0.371</v>
      </c>
      <c r="Q27" s="1">
        <v>0.247</v>
      </c>
      <c r="R27" s="1">
        <v>0.17799999999999999</v>
      </c>
      <c r="S27" s="1">
        <v>0.438</v>
      </c>
      <c r="T27" s="1">
        <v>0.38400000000000001</v>
      </c>
      <c r="U27">
        <v>15488</v>
      </c>
    </row>
    <row r="28" spans="1:21" x14ac:dyDescent="0.3">
      <c r="A28" t="s">
        <v>366</v>
      </c>
      <c r="B28" t="s">
        <v>62</v>
      </c>
      <c r="C28">
        <v>0.36599999999999999</v>
      </c>
      <c r="D28">
        <v>2.21</v>
      </c>
      <c r="E28" s="1">
        <v>0.29699999999999999</v>
      </c>
      <c r="F28" s="1">
        <v>0.48399999999999999</v>
      </c>
      <c r="G28" s="1">
        <v>0.219</v>
      </c>
      <c r="H28" s="1">
        <v>2.9000000000000001E-2</v>
      </c>
      <c r="I28" s="1">
        <v>5.8999999999999997E-2</v>
      </c>
      <c r="J28">
        <v>35</v>
      </c>
      <c r="K28">
        <v>6.1</v>
      </c>
      <c r="L28">
        <v>349</v>
      </c>
      <c r="M28">
        <v>562</v>
      </c>
      <c r="N28">
        <v>911</v>
      </c>
      <c r="O28" s="1">
        <v>0.45800000000000002</v>
      </c>
      <c r="P28" s="1">
        <v>0.28999999999999998</v>
      </c>
      <c r="Q28" s="1">
        <v>0.252</v>
      </c>
      <c r="R28" s="1">
        <v>0.21299999999999999</v>
      </c>
      <c r="S28" s="1">
        <v>0.42599999999999999</v>
      </c>
      <c r="T28" s="1">
        <v>0.36099999999999999</v>
      </c>
      <c r="U28">
        <v>11964</v>
      </c>
    </row>
    <row r="29" spans="1:21" x14ac:dyDescent="0.3">
      <c r="A29" t="s">
        <v>296</v>
      </c>
      <c r="B29" t="s">
        <v>66</v>
      </c>
      <c r="C29">
        <v>0.33</v>
      </c>
      <c r="D29">
        <v>2.16</v>
      </c>
      <c r="E29" s="1">
        <v>0.248</v>
      </c>
      <c r="F29" s="1">
        <v>0.51400000000000001</v>
      </c>
      <c r="G29" s="1">
        <v>0.23799999999999999</v>
      </c>
      <c r="H29" s="1">
        <v>0.14199999999999999</v>
      </c>
      <c r="I29" s="1">
        <v>0.20399999999999999</v>
      </c>
      <c r="J29">
        <v>127</v>
      </c>
      <c r="K29">
        <v>7.14</v>
      </c>
      <c r="L29">
        <v>1064</v>
      </c>
      <c r="M29">
        <v>1700</v>
      </c>
      <c r="N29">
        <v>2764</v>
      </c>
      <c r="O29" s="1">
        <v>0.47899999999999998</v>
      </c>
      <c r="P29" s="1">
        <v>0.32400000000000001</v>
      </c>
      <c r="Q29" s="1">
        <v>0.19700000000000001</v>
      </c>
      <c r="R29" s="1">
        <v>0.16200000000000001</v>
      </c>
      <c r="S29" s="1">
        <v>0.46700000000000003</v>
      </c>
      <c r="T29" s="1">
        <v>0.371</v>
      </c>
      <c r="U29">
        <v>10123</v>
      </c>
    </row>
    <row r="30" spans="1:21" x14ac:dyDescent="0.3">
      <c r="A30" t="s">
        <v>182</v>
      </c>
      <c r="B30" t="s">
        <v>34</v>
      </c>
      <c r="C30">
        <v>0.27800000000000002</v>
      </c>
      <c r="D30">
        <v>2.15</v>
      </c>
      <c r="E30" s="1">
        <v>0.20100000000000001</v>
      </c>
      <c r="F30" s="1">
        <v>0.54500000000000004</v>
      </c>
      <c r="G30" s="1">
        <v>0.254</v>
      </c>
      <c r="H30" s="1">
        <v>6.7000000000000004E-2</v>
      </c>
      <c r="I30" s="1">
        <v>0.13300000000000001</v>
      </c>
      <c r="J30">
        <v>119</v>
      </c>
      <c r="K30">
        <v>6.09</v>
      </c>
      <c r="L30">
        <v>956</v>
      </c>
      <c r="M30">
        <v>1703</v>
      </c>
      <c r="N30">
        <v>2659</v>
      </c>
      <c r="O30" s="1">
        <v>0.41499999999999998</v>
      </c>
      <c r="P30" s="1">
        <v>0.378</v>
      </c>
      <c r="Q30" s="1">
        <v>0.20699999999999999</v>
      </c>
      <c r="R30" s="1">
        <v>0.14499999999999999</v>
      </c>
      <c r="S30" s="1">
        <v>0.45300000000000001</v>
      </c>
      <c r="T30" s="1">
        <v>0.40200000000000002</v>
      </c>
      <c r="U30">
        <v>8223</v>
      </c>
    </row>
    <row r="31" spans="1:21" x14ac:dyDescent="0.3">
      <c r="A31" t="s">
        <v>156</v>
      </c>
      <c r="B31" t="s">
        <v>71</v>
      </c>
      <c r="C31">
        <v>0.30099999999999999</v>
      </c>
      <c r="D31">
        <v>2.09</v>
      </c>
      <c r="E31" s="1">
        <v>0.21099999999999999</v>
      </c>
      <c r="F31" s="1">
        <v>0.53400000000000003</v>
      </c>
      <c r="G31" s="1">
        <v>0.255</v>
      </c>
      <c r="H31" s="1">
        <v>5.2999999999999999E-2</v>
      </c>
      <c r="I31" s="1">
        <v>0.184</v>
      </c>
      <c r="J31">
        <v>56</v>
      </c>
      <c r="K31">
        <v>4.53</v>
      </c>
      <c r="L31">
        <v>669</v>
      </c>
      <c r="M31">
        <v>1141</v>
      </c>
      <c r="N31">
        <v>1810</v>
      </c>
      <c r="O31" s="1">
        <v>0.42899999999999999</v>
      </c>
      <c r="P31" s="1">
        <v>0.33</v>
      </c>
      <c r="Q31" s="1">
        <v>0.24099999999999999</v>
      </c>
      <c r="R31" s="1">
        <v>0.17799999999999999</v>
      </c>
      <c r="S31" s="1">
        <v>0.45900000000000002</v>
      </c>
      <c r="T31" s="1">
        <v>0.36299999999999999</v>
      </c>
      <c r="U31">
        <v>12718</v>
      </c>
    </row>
    <row r="32" spans="1:21" x14ac:dyDescent="0.3">
      <c r="A32" t="s">
        <v>309</v>
      </c>
      <c r="B32" t="s">
        <v>36</v>
      </c>
      <c r="C32">
        <v>0.27200000000000002</v>
      </c>
      <c r="D32">
        <v>2.08</v>
      </c>
      <c r="E32" s="1">
        <v>0.21299999999999999</v>
      </c>
      <c r="F32" s="1">
        <v>0.53200000000000003</v>
      </c>
      <c r="G32" s="1">
        <v>0.255</v>
      </c>
      <c r="H32" s="1">
        <v>8.3000000000000004E-2</v>
      </c>
      <c r="I32" s="1">
        <v>0.222</v>
      </c>
      <c r="J32">
        <v>13</v>
      </c>
      <c r="K32">
        <v>2.2799999999999998</v>
      </c>
      <c r="L32">
        <v>370</v>
      </c>
      <c r="M32">
        <v>551</v>
      </c>
      <c r="N32">
        <v>921</v>
      </c>
      <c r="O32" s="1">
        <v>0.39900000000000002</v>
      </c>
      <c r="P32" s="1">
        <v>0.378</v>
      </c>
      <c r="Q32" s="1">
        <v>0.224</v>
      </c>
      <c r="R32" s="1">
        <v>0.16800000000000001</v>
      </c>
      <c r="S32" s="1">
        <v>0.46200000000000002</v>
      </c>
      <c r="T32" s="1">
        <v>0.371</v>
      </c>
      <c r="U32">
        <v>15042</v>
      </c>
    </row>
    <row r="33" spans="1:21" x14ac:dyDescent="0.3">
      <c r="A33" t="s">
        <v>124</v>
      </c>
      <c r="B33" t="s">
        <v>89</v>
      </c>
      <c r="C33">
        <v>0.26200000000000001</v>
      </c>
      <c r="D33">
        <v>2.0699999999999998</v>
      </c>
      <c r="E33" s="1">
        <v>0.18</v>
      </c>
      <c r="F33" s="1">
        <v>0.55200000000000005</v>
      </c>
      <c r="G33" s="1">
        <v>0.26700000000000002</v>
      </c>
      <c r="H33" s="1">
        <v>8.8999999999999996E-2</v>
      </c>
      <c r="I33" s="1">
        <v>0.17899999999999999</v>
      </c>
      <c r="J33">
        <v>100</v>
      </c>
      <c r="K33">
        <v>4.72</v>
      </c>
      <c r="L33">
        <v>1216</v>
      </c>
      <c r="M33">
        <v>1942</v>
      </c>
      <c r="N33">
        <v>3158</v>
      </c>
      <c r="O33" s="1">
        <v>0.38</v>
      </c>
      <c r="P33" s="1">
        <v>0.40300000000000002</v>
      </c>
      <c r="Q33" s="1">
        <v>0.217</v>
      </c>
      <c r="R33" s="1">
        <v>0.16800000000000001</v>
      </c>
      <c r="S33" s="1">
        <v>0.45800000000000002</v>
      </c>
      <c r="T33" s="1">
        <v>0.373</v>
      </c>
      <c r="U33">
        <v>15689</v>
      </c>
    </row>
    <row r="34" spans="1:21" x14ac:dyDescent="0.3">
      <c r="A34" t="s">
        <v>109</v>
      </c>
      <c r="B34" t="s">
        <v>48</v>
      </c>
      <c r="C34">
        <v>0.307</v>
      </c>
      <c r="D34">
        <v>2.06</v>
      </c>
      <c r="E34" s="1">
        <v>0.20100000000000001</v>
      </c>
      <c r="F34" s="1">
        <v>0.53700000000000003</v>
      </c>
      <c r="G34" s="1">
        <v>0.26100000000000001</v>
      </c>
      <c r="H34" s="1">
        <v>9.8000000000000004E-2</v>
      </c>
      <c r="I34" s="1">
        <v>0.126</v>
      </c>
      <c r="J34">
        <v>97</v>
      </c>
      <c r="K34">
        <v>4.74</v>
      </c>
      <c r="L34">
        <v>1162</v>
      </c>
      <c r="M34">
        <v>1885</v>
      </c>
      <c r="N34">
        <v>3047</v>
      </c>
      <c r="O34" s="1">
        <v>0.40699999999999997</v>
      </c>
      <c r="P34" s="1">
        <v>0.32400000000000001</v>
      </c>
      <c r="Q34" s="1">
        <v>0.26800000000000002</v>
      </c>
      <c r="R34" s="1">
        <v>0.189</v>
      </c>
      <c r="S34" s="1">
        <v>0.46800000000000003</v>
      </c>
      <c r="T34" s="1">
        <v>0.34200000000000003</v>
      </c>
      <c r="U34">
        <v>13431</v>
      </c>
    </row>
    <row r="35" spans="1:21" x14ac:dyDescent="0.3">
      <c r="A35" t="s">
        <v>74</v>
      </c>
      <c r="B35" t="s">
        <v>75</v>
      </c>
      <c r="C35">
        <v>0.28000000000000003</v>
      </c>
      <c r="D35">
        <v>2.02</v>
      </c>
      <c r="E35" s="1">
        <v>0.23499999999999999</v>
      </c>
      <c r="F35" s="1">
        <v>0.51200000000000001</v>
      </c>
      <c r="G35" s="1">
        <v>0.253</v>
      </c>
      <c r="H35" s="1">
        <v>0.14299999999999999</v>
      </c>
      <c r="I35" s="1">
        <v>0.111</v>
      </c>
      <c r="J35">
        <v>103</v>
      </c>
      <c r="K35">
        <v>5.31</v>
      </c>
      <c r="L35">
        <v>883</v>
      </c>
      <c r="M35">
        <v>1674</v>
      </c>
      <c r="N35">
        <v>2557</v>
      </c>
      <c r="O35" s="1">
        <v>0.443</v>
      </c>
      <c r="P35" s="1">
        <v>0.33900000000000002</v>
      </c>
      <c r="Q35" s="1">
        <v>0.218</v>
      </c>
      <c r="R35" s="1">
        <v>0.19</v>
      </c>
      <c r="S35" s="1">
        <v>0.44700000000000001</v>
      </c>
      <c r="T35" s="1">
        <v>0.36299999999999999</v>
      </c>
      <c r="U35">
        <v>18383</v>
      </c>
    </row>
    <row r="36" spans="1:21" x14ac:dyDescent="0.3">
      <c r="A36" t="s">
        <v>272</v>
      </c>
      <c r="B36" t="s">
        <v>95</v>
      </c>
      <c r="C36">
        <v>0.316</v>
      </c>
      <c r="D36">
        <v>2</v>
      </c>
      <c r="E36" s="1">
        <v>0.23</v>
      </c>
      <c r="F36" s="1">
        <v>0.51300000000000001</v>
      </c>
      <c r="G36" s="1">
        <v>0.25700000000000001</v>
      </c>
      <c r="H36" s="1">
        <v>6.5000000000000002E-2</v>
      </c>
      <c r="I36" s="1">
        <v>0.19400000000000001</v>
      </c>
      <c r="J36">
        <v>96</v>
      </c>
      <c r="K36">
        <v>6.37</v>
      </c>
      <c r="L36">
        <v>806</v>
      </c>
      <c r="M36">
        <v>1386</v>
      </c>
      <c r="N36">
        <v>2192</v>
      </c>
      <c r="O36" s="1">
        <v>0.39</v>
      </c>
      <c r="P36" s="1">
        <v>0.38500000000000001</v>
      </c>
      <c r="Q36" s="1">
        <v>0.22500000000000001</v>
      </c>
      <c r="R36" s="1">
        <v>0.16400000000000001</v>
      </c>
      <c r="S36" s="1">
        <v>0.45300000000000001</v>
      </c>
      <c r="T36" s="1">
        <v>0.38300000000000001</v>
      </c>
      <c r="U36">
        <v>4153</v>
      </c>
    </row>
    <row r="37" spans="1:21" x14ac:dyDescent="0.3">
      <c r="A37" t="s">
        <v>52</v>
      </c>
      <c r="B37" t="s">
        <v>53</v>
      </c>
      <c r="C37">
        <v>0.27800000000000002</v>
      </c>
      <c r="D37">
        <v>1.98</v>
      </c>
      <c r="E37" s="1">
        <v>0.24199999999999999</v>
      </c>
      <c r="F37" s="1">
        <v>0.504</v>
      </c>
      <c r="G37" s="1">
        <v>0.254</v>
      </c>
      <c r="H37" s="1">
        <v>9.1999999999999998E-2</v>
      </c>
      <c r="I37" s="1">
        <v>0.13</v>
      </c>
      <c r="J37">
        <v>113</v>
      </c>
      <c r="K37">
        <v>5.57</v>
      </c>
      <c r="L37">
        <v>907</v>
      </c>
      <c r="M37">
        <v>1799</v>
      </c>
      <c r="N37">
        <v>2706</v>
      </c>
      <c r="O37" s="1">
        <v>0.39800000000000002</v>
      </c>
      <c r="P37" s="1">
        <v>0.35899999999999999</v>
      </c>
      <c r="Q37" s="1">
        <v>0.24199999999999999</v>
      </c>
      <c r="R37" s="1">
        <v>0.20300000000000001</v>
      </c>
      <c r="S37" s="1">
        <v>0.45500000000000002</v>
      </c>
      <c r="T37" s="1">
        <v>0.34200000000000003</v>
      </c>
      <c r="U37">
        <v>14444</v>
      </c>
    </row>
    <row r="38" spans="1:21" x14ac:dyDescent="0.3">
      <c r="A38" t="s">
        <v>169</v>
      </c>
      <c r="B38" t="s">
        <v>38</v>
      </c>
      <c r="C38">
        <v>0.26400000000000001</v>
      </c>
      <c r="D38">
        <v>1.97</v>
      </c>
      <c r="E38" s="1">
        <v>0.192</v>
      </c>
      <c r="F38" s="1">
        <v>0.53500000000000003</v>
      </c>
      <c r="G38" s="1">
        <v>0.27200000000000002</v>
      </c>
      <c r="H38" s="1">
        <v>0.121</v>
      </c>
      <c r="I38" s="1">
        <v>0.10299999999999999</v>
      </c>
      <c r="J38">
        <v>50</v>
      </c>
      <c r="K38">
        <v>5.77</v>
      </c>
      <c r="L38">
        <v>466</v>
      </c>
      <c r="M38">
        <v>802</v>
      </c>
      <c r="N38">
        <v>1268</v>
      </c>
      <c r="O38" s="1">
        <v>0.40200000000000002</v>
      </c>
      <c r="P38" s="1">
        <v>0.36899999999999999</v>
      </c>
      <c r="Q38" s="1">
        <v>0.22900000000000001</v>
      </c>
      <c r="R38" s="1">
        <v>0.17299999999999999</v>
      </c>
      <c r="S38" s="1">
        <v>0.50900000000000001</v>
      </c>
      <c r="T38" s="1">
        <v>0.318</v>
      </c>
      <c r="U38">
        <v>8004</v>
      </c>
    </row>
    <row r="39" spans="1:21" x14ac:dyDescent="0.3">
      <c r="A39" t="s">
        <v>108</v>
      </c>
      <c r="B39" t="s">
        <v>89</v>
      </c>
      <c r="C39">
        <v>0.30299999999999999</v>
      </c>
      <c r="D39">
        <v>1.92</v>
      </c>
      <c r="E39" s="1">
        <v>0.18</v>
      </c>
      <c r="F39" s="1">
        <v>0.53900000000000003</v>
      </c>
      <c r="G39" s="1">
        <v>0.28100000000000003</v>
      </c>
      <c r="H39" s="1">
        <v>5.6000000000000001E-2</v>
      </c>
      <c r="I39" s="1">
        <v>0.19400000000000001</v>
      </c>
      <c r="J39">
        <v>24</v>
      </c>
      <c r="K39">
        <v>3.86</v>
      </c>
      <c r="L39">
        <v>386</v>
      </c>
      <c r="M39">
        <v>592</v>
      </c>
      <c r="N39">
        <v>978</v>
      </c>
      <c r="O39" s="1">
        <v>0.45700000000000002</v>
      </c>
      <c r="P39" s="1">
        <v>0.318</v>
      </c>
      <c r="Q39" s="1">
        <v>0.22500000000000001</v>
      </c>
      <c r="R39" s="1">
        <v>0.186</v>
      </c>
      <c r="S39" s="1">
        <v>0.42599999999999999</v>
      </c>
      <c r="T39" s="1">
        <v>0.38800000000000001</v>
      </c>
      <c r="U39">
        <v>14375</v>
      </c>
    </row>
    <row r="40" spans="1:21" x14ac:dyDescent="0.3">
      <c r="A40" t="s">
        <v>211</v>
      </c>
      <c r="B40" t="s">
        <v>38</v>
      </c>
      <c r="C40">
        <v>0.33300000000000002</v>
      </c>
      <c r="D40">
        <v>1.91</v>
      </c>
      <c r="E40" s="1">
        <v>0.23300000000000001</v>
      </c>
      <c r="F40" s="1">
        <v>0.503</v>
      </c>
      <c r="G40" s="1">
        <v>0.26400000000000001</v>
      </c>
      <c r="H40" s="1">
        <v>9.2999999999999999E-2</v>
      </c>
      <c r="I40" s="1">
        <v>0.14000000000000001</v>
      </c>
      <c r="J40">
        <v>32</v>
      </c>
      <c r="K40">
        <v>5.27</v>
      </c>
      <c r="L40">
        <v>401</v>
      </c>
      <c r="M40">
        <v>615</v>
      </c>
      <c r="N40">
        <v>1016</v>
      </c>
      <c r="O40" s="1">
        <v>0.46100000000000002</v>
      </c>
      <c r="P40" s="1">
        <v>0.32700000000000001</v>
      </c>
      <c r="Q40" s="1">
        <v>0.21199999999999999</v>
      </c>
      <c r="R40" s="1">
        <v>0.17599999999999999</v>
      </c>
      <c r="S40" s="1">
        <v>0.55200000000000005</v>
      </c>
      <c r="T40" s="1">
        <v>0.27300000000000002</v>
      </c>
      <c r="U40">
        <v>12997</v>
      </c>
    </row>
    <row r="41" spans="1:21" x14ac:dyDescent="0.3">
      <c r="A41" t="s">
        <v>125</v>
      </c>
      <c r="B41" t="s">
        <v>32</v>
      </c>
      <c r="C41">
        <v>0.3</v>
      </c>
      <c r="D41">
        <v>1.9</v>
      </c>
      <c r="E41" s="1">
        <v>0.13200000000000001</v>
      </c>
      <c r="F41" s="1">
        <v>0.56899999999999995</v>
      </c>
      <c r="G41" s="1">
        <v>0.29899999999999999</v>
      </c>
      <c r="H41" s="1">
        <v>0.17299999999999999</v>
      </c>
      <c r="I41" s="1">
        <v>0.154</v>
      </c>
      <c r="J41">
        <v>37</v>
      </c>
      <c r="K41">
        <v>4.8499999999999996</v>
      </c>
      <c r="L41">
        <v>400</v>
      </c>
      <c r="M41">
        <v>719</v>
      </c>
      <c r="N41">
        <v>1119</v>
      </c>
      <c r="O41" s="1">
        <v>0.44400000000000001</v>
      </c>
      <c r="P41" s="1">
        <v>0.315</v>
      </c>
      <c r="Q41" s="1">
        <v>0.24199999999999999</v>
      </c>
      <c r="R41" s="1">
        <v>0.18</v>
      </c>
      <c r="S41" s="1">
        <v>0.46600000000000003</v>
      </c>
      <c r="T41" s="1">
        <v>0.35399999999999998</v>
      </c>
      <c r="U41">
        <v>17496</v>
      </c>
    </row>
    <row r="42" spans="1:21" x14ac:dyDescent="0.3">
      <c r="A42" t="s">
        <v>177</v>
      </c>
      <c r="B42" t="s">
        <v>46</v>
      </c>
      <c r="C42">
        <v>0.314</v>
      </c>
      <c r="D42">
        <v>1.9</v>
      </c>
      <c r="E42" s="1">
        <v>0.23200000000000001</v>
      </c>
      <c r="F42" s="1">
        <v>0.504</v>
      </c>
      <c r="G42" s="1">
        <v>0.26500000000000001</v>
      </c>
      <c r="H42" s="1">
        <v>8.1000000000000003E-2</v>
      </c>
      <c r="I42" s="1">
        <v>0.17100000000000001</v>
      </c>
      <c r="J42">
        <v>88</v>
      </c>
      <c r="K42">
        <v>5.28</v>
      </c>
      <c r="L42">
        <v>854</v>
      </c>
      <c r="M42">
        <v>1519</v>
      </c>
      <c r="N42">
        <v>2373</v>
      </c>
      <c r="O42" s="1">
        <v>0.35399999999999998</v>
      </c>
      <c r="P42" s="1">
        <v>0.37</v>
      </c>
      <c r="Q42" s="1">
        <v>0.27600000000000002</v>
      </c>
      <c r="R42" s="1">
        <v>0.152</v>
      </c>
      <c r="S42" s="1">
        <v>0.45</v>
      </c>
      <c r="T42" s="1">
        <v>0.39800000000000002</v>
      </c>
      <c r="U42">
        <v>14916</v>
      </c>
    </row>
    <row r="43" spans="1:21" x14ac:dyDescent="0.3">
      <c r="A43" t="s">
        <v>196</v>
      </c>
      <c r="B43" t="s">
        <v>26</v>
      </c>
      <c r="C43">
        <v>0.29299999999999998</v>
      </c>
      <c r="D43">
        <v>1.9</v>
      </c>
      <c r="E43" s="1">
        <v>0.19800000000000001</v>
      </c>
      <c r="F43" s="1">
        <v>0.52500000000000002</v>
      </c>
      <c r="G43" s="1">
        <v>0.27600000000000002</v>
      </c>
      <c r="H43" s="1">
        <v>3.3000000000000002E-2</v>
      </c>
      <c r="I43" s="1">
        <v>0.1</v>
      </c>
      <c r="J43">
        <v>32</v>
      </c>
      <c r="K43">
        <v>4</v>
      </c>
      <c r="L43">
        <v>336</v>
      </c>
      <c r="M43">
        <v>708</v>
      </c>
      <c r="N43">
        <v>1044</v>
      </c>
      <c r="O43" s="1">
        <v>0.40699999999999997</v>
      </c>
      <c r="P43" s="1">
        <v>0.36199999999999999</v>
      </c>
      <c r="Q43" s="1">
        <v>0.23100000000000001</v>
      </c>
      <c r="R43" s="1">
        <v>0.13100000000000001</v>
      </c>
      <c r="S43" s="1">
        <v>0.48399999999999999</v>
      </c>
      <c r="T43" s="1">
        <v>0.38500000000000001</v>
      </c>
      <c r="U43">
        <v>14682</v>
      </c>
    </row>
    <row r="44" spans="1:21" x14ac:dyDescent="0.3">
      <c r="A44" t="s">
        <v>118</v>
      </c>
      <c r="B44" t="s">
        <v>48</v>
      </c>
      <c r="C44">
        <v>0.27300000000000002</v>
      </c>
      <c r="D44">
        <v>1.9</v>
      </c>
      <c r="E44" s="1">
        <v>0.17799999999999999</v>
      </c>
      <c r="F44" s="1">
        <v>0.53800000000000003</v>
      </c>
      <c r="G44" s="1">
        <v>0.28399999999999997</v>
      </c>
      <c r="H44" s="1">
        <v>0.104</v>
      </c>
      <c r="I44" s="1">
        <v>0.125</v>
      </c>
      <c r="J44">
        <v>37</v>
      </c>
      <c r="K44">
        <v>5.34</v>
      </c>
      <c r="L44">
        <v>280</v>
      </c>
      <c r="M44">
        <v>568</v>
      </c>
      <c r="N44">
        <v>848</v>
      </c>
      <c r="O44" s="1">
        <v>0.35399999999999998</v>
      </c>
      <c r="P44" s="1">
        <v>0.38800000000000001</v>
      </c>
      <c r="Q44" s="1">
        <v>0.25800000000000001</v>
      </c>
      <c r="R44" s="1">
        <v>0.185</v>
      </c>
      <c r="S44" s="1">
        <v>0.52200000000000002</v>
      </c>
      <c r="T44" s="1">
        <v>0.29199999999999998</v>
      </c>
      <c r="U44">
        <v>11710</v>
      </c>
    </row>
    <row r="45" spans="1:21" x14ac:dyDescent="0.3">
      <c r="A45" t="s">
        <v>76</v>
      </c>
      <c r="B45" t="s">
        <v>77</v>
      </c>
      <c r="C45">
        <v>0.255</v>
      </c>
      <c r="D45">
        <v>1.87</v>
      </c>
      <c r="E45" s="1">
        <v>0.161</v>
      </c>
      <c r="F45" s="1">
        <v>0.54700000000000004</v>
      </c>
      <c r="G45" s="1">
        <v>0.29199999999999998</v>
      </c>
      <c r="H45" s="1">
        <v>0.106</v>
      </c>
      <c r="I45" s="1">
        <v>0.106</v>
      </c>
      <c r="J45">
        <v>28</v>
      </c>
      <c r="K45">
        <v>4.42</v>
      </c>
      <c r="L45">
        <v>309</v>
      </c>
      <c r="M45">
        <v>546</v>
      </c>
      <c r="N45">
        <v>855</v>
      </c>
      <c r="O45" s="1">
        <v>0.40100000000000002</v>
      </c>
      <c r="P45" s="1">
        <v>0.36399999999999999</v>
      </c>
      <c r="Q45" s="1">
        <v>0.23499999999999999</v>
      </c>
      <c r="R45" s="1">
        <v>0.185</v>
      </c>
      <c r="S45" s="1">
        <v>0.438</v>
      </c>
      <c r="T45" s="1">
        <v>0.377</v>
      </c>
      <c r="U45">
        <v>9939</v>
      </c>
    </row>
    <row r="46" spans="1:21" x14ac:dyDescent="0.3">
      <c r="A46" t="s">
        <v>311</v>
      </c>
      <c r="B46" t="s">
        <v>48</v>
      </c>
      <c r="C46">
        <v>0.34300000000000003</v>
      </c>
      <c r="D46">
        <v>1.87</v>
      </c>
      <c r="E46" s="1">
        <v>0.248</v>
      </c>
      <c r="F46" s="1">
        <v>0.49</v>
      </c>
      <c r="G46" s="1">
        <v>0.26200000000000001</v>
      </c>
      <c r="H46" s="1">
        <v>2.5999999999999999E-2</v>
      </c>
      <c r="I46" s="1">
        <v>0.23699999999999999</v>
      </c>
      <c r="J46">
        <v>42</v>
      </c>
      <c r="K46">
        <v>4.1500000000000004</v>
      </c>
      <c r="L46">
        <v>605</v>
      </c>
      <c r="M46">
        <v>974</v>
      </c>
      <c r="N46">
        <v>1579</v>
      </c>
      <c r="O46" s="1">
        <v>0.439</v>
      </c>
      <c r="P46" s="1">
        <v>0.35699999999999998</v>
      </c>
      <c r="Q46" s="1">
        <v>0.20399999999999999</v>
      </c>
      <c r="R46" s="1">
        <v>0.13300000000000001</v>
      </c>
      <c r="S46" s="1">
        <v>0.40799999999999997</v>
      </c>
      <c r="T46" s="1">
        <v>0.45900000000000002</v>
      </c>
      <c r="U46">
        <v>4869</v>
      </c>
    </row>
    <row r="47" spans="1:21" x14ac:dyDescent="0.3">
      <c r="A47" t="s">
        <v>254</v>
      </c>
      <c r="B47" t="s">
        <v>93</v>
      </c>
      <c r="C47">
        <v>0.28299999999999997</v>
      </c>
      <c r="D47">
        <v>1.86</v>
      </c>
      <c r="E47" s="1">
        <v>0.215</v>
      </c>
      <c r="F47" s="1">
        <v>0.51</v>
      </c>
      <c r="G47" s="1">
        <v>0.27500000000000002</v>
      </c>
      <c r="H47" s="1">
        <v>8.6999999999999994E-2</v>
      </c>
      <c r="I47" s="1">
        <v>0.159</v>
      </c>
      <c r="J47">
        <v>48</v>
      </c>
      <c r="K47">
        <v>5.54</v>
      </c>
      <c r="L47">
        <v>521</v>
      </c>
      <c r="M47">
        <v>766</v>
      </c>
      <c r="N47">
        <v>1287</v>
      </c>
      <c r="O47" s="1">
        <v>0.40300000000000002</v>
      </c>
      <c r="P47" s="1">
        <v>0.34100000000000003</v>
      </c>
      <c r="Q47" s="1">
        <v>0.25600000000000001</v>
      </c>
      <c r="R47" s="1">
        <v>0.20899999999999999</v>
      </c>
      <c r="S47" s="1">
        <v>0.438</v>
      </c>
      <c r="T47" s="1">
        <v>0.35299999999999998</v>
      </c>
      <c r="U47">
        <v>17425</v>
      </c>
    </row>
    <row r="48" spans="1:21" x14ac:dyDescent="0.3">
      <c r="A48" t="s">
        <v>273</v>
      </c>
      <c r="B48" t="s">
        <v>48</v>
      </c>
      <c r="C48">
        <v>0.317</v>
      </c>
      <c r="D48">
        <v>1.82</v>
      </c>
      <c r="E48" s="1">
        <v>0.26700000000000002</v>
      </c>
      <c r="F48" s="1">
        <v>0.47299999999999998</v>
      </c>
      <c r="G48" s="1">
        <v>0.26</v>
      </c>
      <c r="H48" s="1">
        <v>0.184</v>
      </c>
      <c r="I48" s="1">
        <v>7.9000000000000001E-2</v>
      </c>
      <c r="J48">
        <v>20</v>
      </c>
      <c r="K48">
        <v>2.9</v>
      </c>
      <c r="L48">
        <v>441</v>
      </c>
      <c r="M48">
        <v>743</v>
      </c>
      <c r="N48">
        <v>1184</v>
      </c>
      <c r="O48" s="1">
        <v>0.46600000000000003</v>
      </c>
      <c r="P48" s="1">
        <v>0.30399999999999999</v>
      </c>
      <c r="Q48" s="1">
        <v>0.23</v>
      </c>
      <c r="R48" s="1">
        <v>0.19600000000000001</v>
      </c>
      <c r="S48" s="1">
        <v>0.51400000000000001</v>
      </c>
      <c r="T48" s="1">
        <v>0.29099999999999998</v>
      </c>
      <c r="U48">
        <v>5003</v>
      </c>
    </row>
    <row r="49" spans="1:21" x14ac:dyDescent="0.3">
      <c r="A49" t="s">
        <v>122</v>
      </c>
      <c r="B49" t="s">
        <v>95</v>
      </c>
      <c r="C49">
        <v>0.32800000000000001</v>
      </c>
      <c r="D49">
        <v>1.8</v>
      </c>
      <c r="E49" s="1">
        <v>0.23499999999999999</v>
      </c>
      <c r="F49" s="1">
        <v>0.49199999999999999</v>
      </c>
      <c r="G49" s="1">
        <v>0.27300000000000002</v>
      </c>
      <c r="H49" s="1">
        <v>0.08</v>
      </c>
      <c r="I49" s="1">
        <v>0.16</v>
      </c>
      <c r="J49">
        <v>29</v>
      </c>
      <c r="K49">
        <v>4.42</v>
      </c>
      <c r="L49">
        <v>327</v>
      </c>
      <c r="M49">
        <v>657</v>
      </c>
      <c r="N49">
        <v>984</v>
      </c>
      <c r="O49" s="1">
        <v>0.35299999999999998</v>
      </c>
      <c r="P49" s="1">
        <v>0.40200000000000002</v>
      </c>
      <c r="Q49" s="1">
        <v>0.245</v>
      </c>
      <c r="R49" s="1">
        <v>0.158</v>
      </c>
      <c r="S49" s="1">
        <v>0.54300000000000004</v>
      </c>
      <c r="T49" s="1">
        <v>0.29899999999999999</v>
      </c>
      <c r="U49">
        <v>5358</v>
      </c>
    </row>
    <row r="50" spans="1:21" x14ac:dyDescent="0.3">
      <c r="A50" t="s">
        <v>37</v>
      </c>
      <c r="B50" t="s">
        <v>38</v>
      </c>
      <c r="C50">
        <v>0.20899999999999999</v>
      </c>
      <c r="D50">
        <v>1.79</v>
      </c>
      <c r="E50" s="1">
        <v>0.20300000000000001</v>
      </c>
      <c r="F50" s="1">
        <v>0.51100000000000001</v>
      </c>
      <c r="G50" s="1">
        <v>0.28599999999999998</v>
      </c>
      <c r="H50" s="1">
        <v>2.5999999999999999E-2</v>
      </c>
      <c r="I50" s="1">
        <v>2.5999999999999999E-2</v>
      </c>
      <c r="J50">
        <v>38</v>
      </c>
      <c r="K50">
        <v>4.7699999999999996</v>
      </c>
      <c r="L50">
        <v>499</v>
      </c>
      <c r="M50">
        <v>745</v>
      </c>
      <c r="N50">
        <v>1244</v>
      </c>
      <c r="O50" s="1">
        <v>0.45200000000000001</v>
      </c>
      <c r="P50" s="1">
        <v>0.30399999999999999</v>
      </c>
      <c r="Q50" s="1">
        <v>0.24399999999999999</v>
      </c>
      <c r="R50" s="1">
        <v>0.14799999999999999</v>
      </c>
      <c r="S50" s="1">
        <v>0.47399999999999998</v>
      </c>
      <c r="T50" s="1">
        <v>0.378</v>
      </c>
      <c r="U50">
        <v>11428</v>
      </c>
    </row>
    <row r="51" spans="1:21" x14ac:dyDescent="0.3">
      <c r="A51" t="s">
        <v>117</v>
      </c>
      <c r="B51" t="s">
        <v>93</v>
      </c>
      <c r="C51">
        <v>0.27400000000000002</v>
      </c>
      <c r="D51">
        <v>1.78</v>
      </c>
      <c r="E51" s="1">
        <v>0.20300000000000001</v>
      </c>
      <c r="F51" s="1">
        <v>0.51100000000000001</v>
      </c>
      <c r="G51" s="1">
        <v>0.28599999999999998</v>
      </c>
      <c r="H51" s="1">
        <v>7.3999999999999996E-2</v>
      </c>
      <c r="I51" s="1">
        <v>0.16200000000000001</v>
      </c>
      <c r="J51">
        <v>133</v>
      </c>
      <c r="K51">
        <v>5.73</v>
      </c>
      <c r="L51">
        <v>1173</v>
      </c>
      <c r="M51">
        <v>2211</v>
      </c>
      <c r="N51">
        <v>3384</v>
      </c>
      <c r="O51" s="1">
        <v>0.39500000000000002</v>
      </c>
      <c r="P51" s="1">
        <v>0.35299999999999998</v>
      </c>
      <c r="Q51" s="1">
        <v>0.252</v>
      </c>
      <c r="R51" s="1">
        <v>0.21</v>
      </c>
      <c r="S51" s="1">
        <v>0.48499999999999999</v>
      </c>
      <c r="T51" s="1">
        <v>0.30499999999999999</v>
      </c>
      <c r="U51">
        <v>10131</v>
      </c>
    </row>
    <row r="52" spans="1:21" x14ac:dyDescent="0.3">
      <c r="A52" t="s">
        <v>151</v>
      </c>
      <c r="B52" t="s">
        <v>40</v>
      </c>
      <c r="C52">
        <v>0.27900000000000003</v>
      </c>
      <c r="D52">
        <v>1.77</v>
      </c>
      <c r="E52" s="1">
        <v>0.21199999999999999</v>
      </c>
      <c r="F52" s="1">
        <v>0.504</v>
      </c>
      <c r="G52" s="1">
        <v>0.28499999999999998</v>
      </c>
      <c r="H52" s="1">
        <v>0.10299999999999999</v>
      </c>
      <c r="I52" s="1">
        <v>0.23100000000000001</v>
      </c>
      <c r="J52">
        <v>36</v>
      </c>
      <c r="K52">
        <v>5.28</v>
      </c>
      <c r="L52">
        <v>357</v>
      </c>
      <c r="M52">
        <v>669</v>
      </c>
      <c r="N52">
        <v>1026</v>
      </c>
      <c r="O52" s="1">
        <v>0.435</v>
      </c>
      <c r="P52" s="1">
        <v>0.31900000000000001</v>
      </c>
      <c r="Q52" s="1">
        <v>0.246</v>
      </c>
      <c r="R52" s="1">
        <v>0.188</v>
      </c>
      <c r="S52" s="1">
        <v>0.47099999999999997</v>
      </c>
      <c r="T52" s="1">
        <v>0.34100000000000003</v>
      </c>
      <c r="U52">
        <v>11384</v>
      </c>
    </row>
    <row r="53" spans="1:21" x14ac:dyDescent="0.3">
      <c r="A53" t="s">
        <v>323</v>
      </c>
      <c r="B53" t="s">
        <v>102</v>
      </c>
      <c r="C53">
        <v>0.32300000000000001</v>
      </c>
      <c r="D53">
        <v>1.75</v>
      </c>
      <c r="E53" s="1">
        <v>0.214</v>
      </c>
      <c r="F53" s="1">
        <v>0.5</v>
      </c>
      <c r="G53" s="1">
        <v>0.28599999999999998</v>
      </c>
      <c r="H53" s="1">
        <v>8.8999999999999996E-2</v>
      </c>
      <c r="I53" s="1">
        <v>0.16500000000000001</v>
      </c>
      <c r="J53">
        <v>26</v>
      </c>
      <c r="K53">
        <v>2.76</v>
      </c>
      <c r="L53">
        <v>506</v>
      </c>
      <c r="M53">
        <v>866</v>
      </c>
      <c r="N53">
        <v>1372</v>
      </c>
      <c r="O53" s="1">
        <v>0.46600000000000003</v>
      </c>
      <c r="P53" s="1">
        <v>0.35099999999999998</v>
      </c>
      <c r="Q53" s="1">
        <v>0.183</v>
      </c>
      <c r="R53" s="1">
        <v>0.13600000000000001</v>
      </c>
      <c r="S53" s="1">
        <v>0.43</v>
      </c>
      <c r="T53" s="1">
        <v>0.434</v>
      </c>
      <c r="U53">
        <v>11589</v>
      </c>
    </row>
    <row r="54" spans="1:21" x14ac:dyDescent="0.3">
      <c r="A54" t="s">
        <v>268</v>
      </c>
      <c r="B54" t="s">
        <v>48</v>
      </c>
      <c r="C54">
        <v>0.317</v>
      </c>
      <c r="D54">
        <v>1.75</v>
      </c>
      <c r="E54" s="1">
        <v>0.27500000000000002</v>
      </c>
      <c r="F54" s="1">
        <v>0.46100000000000002</v>
      </c>
      <c r="G54" s="1">
        <v>0.26400000000000001</v>
      </c>
      <c r="H54" s="1">
        <v>0.11799999999999999</v>
      </c>
      <c r="I54" s="1">
        <v>0.27500000000000002</v>
      </c>
      <c r="J54">
        <v>35</v>
      </c>
      <c r="K54">
        <v>4.87</v>
      </c>
      <c r="L54">
        <v>443</v>
      </c>
      <c r="M54">
        <v>699</v>
      </c>
      <c r="N54">
        <v>1142</v>
      </c>
      <c r="O54" s="1">
        <v>0.44800000000000001</v>
      </c>
      <c r="P54" s="1">
        <v>0.30399999999999999</v>
      </c>
      <c r="Q54" s="1">
        <v>0.247</v>
      </c>
      <c r="R54" s="1">
        <v>0.13900000000000001</v>
      </c>
      <c r="S54" s="1">
        <v>0.46899999999999997</v>
      </c>
      <c r="T54" s="1">
        <v>0.39200000000000002</v>
      </c>
      <c r="U54">
        <v>13194</v>
      </c>
    </row>
    <row r="55" spans="1:21" x14ac:dyDescent="0.3">
      <c r="A55" t="s">
        <v>64</v>
      </c>
      <c r="B55" t="s">
        <v>43</v>
      </c>
      <c r="C55">
        <v>0.26600000000000001</v>
      </c>
      <c r="D55">
        <v>1.74</v>
      </c>
      <c r="E55" s="1">
        <v>0.19</v>
      </c>
      <c r="F55" s="1">
        <v>0.51400000000000001</v>
      </c>
      <c r="G55" s="1">
        <v>0.29599999999999999</v>
      </c>
      <c r="H55" s="1">
        <v>0.11899999999999999</v>
      </c>
      <c r="I55" s="1">
        <v>0.11899999999999999</v>
      </c>
      <c r="J55">
        <v>30</v>
      </c>
      <c r="K55">
        <v>5.33</v>
      </c>
      <c r="L55">
        <v>306</v>
      </c>
      <c r="M55">
        <v>528</v>
      </c>
      <c r="N55">
        <v>834</v>
      </c>
      <c r="O55" s="1">
        <v>0.5</v>
      </c>
      <c r="P55" s="1">
        <v>0.27800000000000002</v>
      </c>
      <c r="Q55" s="1">
        <v>0.222</v>
      </c>
      <c r="R55" s="1">
        <v>0.20799999999999999</v>
      </c>
      <c r="S55" s="1">
        <v>0.53500000000000003</v>
      </c>
      <c r="T55" s="1">
        <v>0.25700000000000001</v>
      </c>
      <c r="U55">
        <v>12297</v>
      </c>
    </row>
    <row r="56" spans="1:21" x14ac:dyDescent="0.3">
      <c r="A56" t="s">
        <v>365</v>
      </c>
      <c r="B56" t="s">
        <v>159</v>
      </c>
      <c r="C56">
        <v>0.35699999999999998</v>
      </c>
      <c r="D56">
        <v>1.74</v>
      </c>
      <c r="E56" s="1">
        <v>0.19400000000000001</v>
      </c>
      <c r="F56" s="1">
        <v>0.51100000000000001</v>
      </c>
      <c r="G56" s="1">
        <v>0.29399999999999998</v>
      </c>
      <c r="H56" s="1">
        <v>9.4E-2</v>
      </c>
      <c r="I56" s="1">
        <v>0.17</v>
      </c>
      <c r="J56">
        <v>22</v>
      </c>
      <c r="K56">
        <v>3.41</v>
      </c>
      <c r="L56">
        <v>339</v>
      </c>
      <c r="M56">
        <v>606</v>
      </c>
      <c r="N56">
        <v>945</v>
      </c>
      <c r="O56" s="1">
        <v>0.49399999999999999</v>
      </c>
      <c r="P56" s="1">
        <v>0.311</v>
      </c>
      <c r="Q56" s="1">
        <v>0.19400000000000001</v>
      </c>
      <c r="R56" s="1">
        <v>0.17199999999999999</v>
      </c>
      <c r="S56" s="1">
        <v>0.42799999999999999</v>
      </c>
      <c r="T56" s="1">
        <v>0.4</v>
      </c>
      <c r="U56">
        <v>13424</v>
      </c>
    </row>
    <row r="57" spans="1:21" x14ac:dyDescent="0.3">
      <c r="A57" t="s">
        <v>72</v>
      </c>
      <c r="B57" t="s">
        <v>34</v>
      </c>
      <c r="C57">
        <v>0.29699999999999999</v>
      </c>
      <c r="D57">
        <v>1.73</v>
      </c>
      <c r="E57" s="1">
        <v>0.221</v>
      </c>
      <c r="F57" s="1">
        <v>0.49399999999999999</v>
      </c>
      <c r="G57" s="1">
        <v>0.28499999999999998</v>
      </c>
      <c r="H57" s="1">
        <v>0.13300000000000001</v>
      </c>
      <c r="I57" s="1">
        <v>0.107</v>
      </c>
      <c r="J57">
        <v>73</v>
      </c>
      <c r="K57">
        <v>6.84</v>
      </c>
      <c r="L57">
        <v>520</v>
      </c>
      <c r="M57">
        <v>965</v>
      </c>
      <c r="N57">
        <v>1485</v>
      </c>
      <c r="O57" s="1">
        <v>0.45100000000000001</v>
      </c>
      <c r="P57" s="1">
        <v>0.307</v>
      </c>
      <c r="Q57" s="1">
        <v>0.24199999999999999</v>
      </c>
      <c r="R57" s="1">
        <v>0.14799999999999999</v>
      </c>
      <c r="S57" s="1">
        <v>0.47299999999999998</v>
      </c>
      <c r="T57" s="1">
        <v>0.379</v>
      </c>
      <c r="U57">
        <v>14309</v>
      </c>
    </row>
    <row r="58" spans="1:21" x14ac:dyDescent="0.3">
      <c r="A58" t="s">
        <v>150</v>
      </c>
      <c r="B58" t="s">
        <v>50</v>
      </c>
      <c r="C58">
        <v>0.27500000000000002</v>
      </c>
      <c r="D58">
        <v>1.72</v>
      </c>
      <c r="E58" s="1">
        <v>0.26900000000000002</v>
      </c>
      <c r="F58" s="1">
        <v>0.46300000000000002</v>
      </c>
      <c r="G58" s="1">
        <v>0.26900000000000002</v>
      </c>
      <c r="H58" s="1">
        <v>0.191</v>
      </c>
      <c r="I58" s="1">
        <v>8.5000000000000006E-2</v>
      </c>
      <c r="J58">
        <v>50</v>
      </c>
      <c r="K58">
        <v>6.78</v>
      </c>
      <c r="L58">
        <v>407</v>
      </c>
      <c r="M58">
        <v>700</v>
      </c>
      <c r="N58">
        <v>1107</v>
      </c>
      <c r="O58" s="1">
        <v>0.38300000000000001</v>
      </c>
      <c r="P58" s="1">
        <v>0.36</v>
      </c>
      <c r="Q58" s="1">
        <v>0.25700000000000001</v>
      </c>
      <c r="R58" s="1">
        <v>0.183</v>
      </c>
      <c r="S58" s="1">
        <v>0.46300000000000002</v>
      </c>
      <c r="T58" s="1">
        <v>0.35399999999999998</v>
      </c>
      <c r="U58">
        <v>13684</v>
      </c>
    </row>
    <row r="59" spans="1:21" x14ac:dyDescent="0.3">
      <c r="A59" t="s">
        <v>221</v>
      </c>
      <c r="B59" t="s">
        <v>127</v>
      </c>
      <c r="C59">
        <v>0.28199999999999997</v>
      </c>
      <c r="D59">
        <v>1.72</v>
      </c>
      <c r="E59" s="1">
        <v>0.20899999999999999</v>
      </c>
      <c r="F59" s="1">
        <v>0.5</v>
      </c>
      <c r="G59" s="1">
        <v>0.29099999999999998</v>
      </c>
      <c r="H59" s="1">
        <v>7.4999999999999997E-2</v>
      </c>
      <c r="I59" s="1">
        <v>0.10199999999999999</v>
      </c>
      <c r="J59">
        <v>70</v>
      </c>
      <c r="K59">
        <v>3.81</v>
      </c>
      <c r="L59">
        <v>1029</v>
      </c>
      <c r="M59">
        <v>1682</v>
      </c>
      <c r="N59">
        <v>2711</v>
      </c>
      <c r="O59" s="1">
        <v>0.41099999999999998</v>
      </c>
      <c r="P59" s="1">
        <v>0.32700000000000001</v>
      </c>
      <c r="Q59" s="1">
        <v>0.26200000000000001</v>
      </c>
      <c r="R59" s="1">
        <v>0.152</v>
      </c>
      <c r="S59" s="1">
        <v>0.48199999999999998</v>
      </c>
      <c r="T59" s="1">
        <v>0.36599999999999999</v>
      </c>
      <c r="U59">
        <v>15734</v>
      </c>
    </row>
    <row r="60" spans="1:21" x14ac:dyDescent="0.3">
      <c r="A60" t="s">
        <v>318</v>
      </c>
      <c r="B60" t="s">
        <v>71</v>
      </c>
      <c r="C60">
        <v>0.28000000000000003</v>
      </c>
      <c r="D60">
        <v>1.71</v>
      </c>
      <c r="E60" s="1">
        <v>0.19900000000000001</v>
      </c>
      <c r="F60" s="1">
        <v>0.50600000000000001</v>
      </c>
      <c r="G60" s="1">
        <v>0.29499999999999998</v>
      </c>
      <c r="H60" s="1">
        <v>0.122</v>
      </c>
      <c r="I60" s="1">
        <v>0.16300000000000001</v>
      </c>
      <c r="J60">
        <v>34</v>
      </c>
      <c r="K60">
        <v>5.13</v>
      </c>
      <c r="L60">
        <v>396</v>
      </c>
      <c r="M60">
        <v>609</v>
      </c>
      <c r="N60">
        <v>1005</v>
      </c>
      <c r="O60" s="1">
        <v>0.438</v>
      </c>
      <c r="P60" s="1">
        <v>0.35499999999999998</v>
      </c>
      <c r="Q60" s="1">
        <v>0.20699999999999999</v>
      </c>
      <c r="R60" s="1">
        <v>0.21299999999999999</v>
      </c>
      <c r="S60" s="1">
        <v>0.46700000000000003</v>
      </c>
      <c r="T60" s="1">
        <v>0.32</v>
      </c>
      <c r="U60">
        <v>4300</v>
      </c>
    </row>
    <row r="61" spans="1:21" x14ac:dyDescent="0.3">
      <c r="A61" t="s">
        <v>393</v>
      </c>
      <c r="B61" t="s">
        <v>46</v>
      </c>
      <c r="C61">
        <v>0.33300000000000002</v>
      </c>
      <c r="D61">
        <v>1.71</v>
      </c>
      <c r="E61" s="1">
        <v>0.251</v>
      </c>
      <c r="F61" s="1">
        <v>0.47299999999999998</v>
      </c>
      <c r="G61" s="1">
        <v>0.27600000000000002</v>
      </c>
      <c r="H61" s="1">
        <v>5.7000000000000002E-2</v>
      </c>
      <c r="I61" s="1">
        <v>0.20699999999999999</v>
      </c>
      <c r="J61">
        <v>59</v>
      </c>
      <c r="K61">
        <v>5.94</v>
      </c>
      <c r="L61">
        <v>610</v>
      </c>
      <c r="M61">
        <v>972</v>
      </c>
      <c r="N61">
        <v>1582</v>
      </c>
      <c r="O61" s="1">
        <v>0.42699999999999999</v>
      </c>
      <c r="P61" s="1">
        <v>0.32100000000000001</v>
      </c>
      <c r="Q61" s="1">
        <v>0.252</v>
      </c>
      <c r="R61" s="1">
        <v>0.184</v>
      </c>
      <c r="S61" s="1">
        <v>0.42099999999999999</v>
      </c>
      <c r="T61" s="1">
        <v>0.39600000000000002</v>
      </c>
      <c r="U61">
        <v>17969</v>
      </c>
    </row>
    <row r="62" spans="1:21" x14ac:dyDescent="0.3">
      <c r="A62" t="s">
        <v>284</v>
      </c>
      <c r="B62" t="s">
        <v>98</v>
      </c>
      <c r="C62">
        <v>0.33200000000000002</v>
      </c>
      <c r="D62">
        <v>1.71</v>
      </c>
      <c r="E62" s="1">
        <v>0.20300000000000001</v>
      </c>
      <c r="F62" s="1">
        <v>0.503</v>
      </c>
      <c r="G62" s="1">
        <v>0.29399999999999998</v>
      </c>
      <c r="H62" s="1">
        <v>0.121</v>
      </c>
      <c r="I62" s="1">
        <v>0.13800000000000001</v>
      </c>
      <c r="J62">
        <v>41</v>
      </c>
      <c r="K62">
        <v>5.22</v>
      </c>
      <c r="L62">
        <v>423</v>
      </c>
      <c r="M62">
        <v>781</v>
      </c>
      <c r="N62">
        <v>1204</v>
      </c>
      <c r="O62" s="1">
        <v>0.375</v>
      </c>
      <c r="P62" s="1">
        <v>0.37</v>
      </c>
      <c r="Q62" s="1">
        <v>0.255</v>
      </c>
      <c r="R62" s="1">
        <v>0.16</v>
      </c>
      <c r="S62" s="1">
        <v>0.45</v>
      </c>
      <c r="T62" s="1">
        <v>0.39</v>
      </c>
      <c r="U62">
        <v>12022</v>
      </c>
    </row>
    <row r="63" spans="1:21" x14ac:dyDescent="0.3">
      <c r="A63" t="s">
        <v>313</v>
      </c>
      <c r="B63" t="s">
        <v>71</v>
      </c>
      <c r="C63">
        <v>0.32200000000000001</v>
      </c>
      <c r="D63">
        <v>1.7</v>
      </c>
      <c r="E63" s="1">
        <v>0.23200000000000001</v>
      </c>
      <c r="F63" s="1">
        <v>0.48399999999999999</v>
      </c>
      <c r="G63" s="1">
        <v>0.28399999999999997</v>
      </c>
      <c r="H63" s="1">
        <v>6.8000000000000005E-2</v>
      </c>
      <c r="I63" s="1">
        <v>0.114</v>
      </c>
      <c r="J63">
        <v>23</v>
      </c>
      <c r="K63">
        <v>3.98</v>
      </c>
      <c r="L63">
        <v>305</v>
      </c>
      <c r="M63">
        <v>572</v>
      </c>
      <c r="N63">
        <v>877</v>
      </c>
      <c r="O63" s="1">
        <v>0.318</v>
      </c>
      <c r="P63" s="1">
        <v>0.439</v>
      </c>
      <c r="Q63" s="1">
        <v>0.24199999999999999</v>
      </c>
      <c r="R63" s="1">
        <v>0.21</v>
      </c>
      <c r="S63" s="1">
        <v>0.44600000000000001</v>
      </c>
      <c r="T63" s="1">
        <v>0.34399999999999997</v>
      </c>
      <c r="U63">
        <v>9490</v>
      </c>
    </row>
    <row r="64" spans="1:21" x14ac:dyDescent="0.3">
      <c r="A64" t="s">
        <v>115</v>
      </c>
      <c r="B64" t="s">
        <v>26</v>
      </c>
      <c r="C64">
        <v>0.28399999999999997</v>
      </c>
      <c r="D64">
        <v>1.7</v>
      </c>
      <c r="E64" s="1">
        <v>0.19400000000000001</v>
      </c>
      <c r="F64" s="1">
        <v>0.50800000000000001</v>
      </c>
      <c r="G64" s="1">
        <v>0.29799999999999999</v>
      </c>
      <c r="H64" s="1">
        <v>4.1000000000000002E-2</v>
      </c>
      <c r="I64" s="1">
        <v>0.17599999999999999</v>
      </c>
      <c r="J64">
        <v>38</v>
      </c>
      <c r="K64">
        <v>4.17</v>
      </c>
      <c r="L64">
        <v>443</v>
      </c>
      <c r="M64">
        <v>808</v>
      </c>
      <c r="N64">
        <v>1251</v>
      </c>
      <c r="O64" s="1">
        <v>0.41</v>
      </c>
      <c r="P64" s="1">
        <v>0.36899999999999999</v>
      </c>
      <c r="Q64" s="1">
        <v>0.221</v>
      </c>
      <c r="R64" s="1">
        <v>0.17699999999999999</v>
      </c>
      <c r="S64" s="1">
        <v>0.502</v>
      </c>
      <c r="T64" s="1">
        <v>0.32100000000000001</v>
      </c>
      <c r="U64">
        <v>7274</v>
      </c>
    </row>
    <row r="65" spans="1:21" x14ac:dyDescent="0.3">
      <c r="A65" t="s">
        <v>222</v>
      </c>
      <c r="B65" t="s">
        <v>50</v>
      </c>
      <c r="C65">
        <v>0.31900000000000001</v>
      </c>
      <c r="D65">
        <v>1.7</v>
      </c>
      <c r="E65" s="1">
        <v>0.22500000000000001</v>
      </c>
      <c r="F65" s="1">
        <v>0.48799999999999999</v>
      </c>
      <c r="G65" s="1">
        <v>0.28699999999999998</v>
      </c>
      <c r="H65" s="1">
        <v>6.0999999999999999E-2</v>
      </c>
      <c r="I65" s="1">
        <v>0.15</v>
      </c>
      <c r="J65">
        <v>104</v>
      </c>
      <c r="K65">
        <v>5.45</v>
      </c>
      <c r="L65">
        <v>1080</v>
      </c>
      <c r="M65">
        <v>1796</v>
      </c>
      <c r="N65">
        <v>2876</v>
      </c>
      <c r="O65" s="1">
        <v>0.44800000000000001</v>
      </c>
      <c r="P65" s="1">
        <v>0.33500000000000002</v>
      </c>
      <c r="Q65" s="1">
        <v>0.217</v>
      </c>
      <c r="R65" s="1">
        <v>0.14399999999999999</v>
      </c>
      <c r="S65" s="1">
        <v>0.435</v>
      </c>
      <c r="T65" s="1">
        <v>0.42099999999999999</v>
      </c>
      <c r="U65">
        <v>2233</v>
      </c>
    </row>
    <row r="66" spans="1:21" x14ac:dyDescent="0.3">
      <c r="A66" t="s">
        <v>353</v>
      </c>
      <c r="B66" t="s">
        <v>58</v>
      </c>
      <c r="C66">
        <v>0.34599999999999997</v>
      </c>
      <c r="D66">
        <v>1.69</v>
      </c>
      <c r="E66" s="1">
        <v>0.19</v>
      </c>
      <c r="F66" s="1">
        <v>0.50900000000000001</v>
      </c>
      <c r="G66" s="1">
        <v>0.30099999999999999</v>
      </c>
      <c r="H66" s="1">
        <v>6.0999999999999999E-2</v>
      </c>
      <c r="I66" s="1">
        <v>0.14299999999999999</v>
      </c>
      <c r="J66">
        <v>39</v>
      </c>
      <c r="K66">
        <v>5.85</v>
      </c>
      <c r="L66">
        <v>411</v>
      </c>
      <c r="M66">
        <v>630</v>
      </c>
      <c r="N66">
        <v>1041</v>
      </c>
      <c r="O66" s="1">
        <v>0.45800000000000002</v>
      </c>
      <c r="P66" s="1">
        <v>0.35499999999999998</v>
      </c>
      <c r="Q66" s="1">
        <v>0.187</v>
      </c>
      <c r="R66" s="1">
        <v>0.157</v>
      </c>
      <c r="S66" s="1">
        <v>0.48799999999999999</v>
      </c>
      <c r="T66" s="1">
        <v>0.35499999999999998</v>
      </c>
      <c r="U66">
        <v>5114</v>
      </c>
    </row>
    <row r="67" spans="1:21" x14ac:dyDescent="0.3">
      <c r="A67" t="s">
        <v>289</v>
      </c>
      <c r="B67" t="s">
        <v>46</v>
      </c>
      <c r="C67">
        <v>0.30399999999999999</v>
      </c>
      <c r="D67">
        <v>1.69</v>
      </c>
      <c r="E67" s="1">
        <v>0.22</v>
      </c>
      <c r="F67" s="1">
        <v>0.49</v>
      </c>
      <c r="G67" s="1">
        <v>0.28999999999999998</v>
      </c>
      <c r="H67" s="1">
        <v>4.2000000000000003E-2</v>
      </c>
      <c r="I67" s="1">
        <v>0.20100000000000001</v>
      </c>
      <c r="J67">
        <v>124</v>
      </c>
      <c r="K67">
        <v>6.41</v>
      </c>
      <c r="L67">
        <v>868</v>
      </c>
      <c r="M67">
        <v>1748</v>
      </c>
      <c r="N67">
        <v>2616</v>
      </c>
      <c r="O67" s="1">
        <v>0.33400000000000002</v>
      </c>
      <c r="P67" s="1">
        <v>0.374</v>
      </c>
      <c r="Q67" s="1">
        <v>0.29199999999999998</v>
      </c>
      <c r="R67" s="1">
        <v>0.13200000000000001</v>
      </c>
      <c r="S67" s="1">
        <v>0.48799999999999999</v>
      </c>
      <c r="T67" s="1">
        <v>0.379</v>
      </c>
      <c r="U67">
        <v>15038</v>
      </c>
    </row>
    <row r="68" spans="1:21" x14ac:dyDescent="0.3">
      <c r="A68" t="s">
        <v>303</v>
      </c>
      <c r="B68" t="s">
        <v>36</v>
      </c>
      <c r="C68">
        <v>0.317</v>
      </c>
      <c r="D68">
        <v>1.69</v>
      </c>
      <c r="E68" s="1">
        <v>0.20300000000000001</v>
      </c>
      <c r="F68" s="1">
        <v>0.5</v>
      </c>
      <c r="G68" s="1">
        <v>0.29699999999999999</v>
      </c>
      <c r="H68" s="1">
        <v>9.8000000000000004E-2</v>
      </c>
      <c r="I68" s="1">
        <v>0.157</v>
      </c>
      <c r="J68">
        <v>18</v>
      </c>
      <c r="K68">
        <v>2.67</v>
      </c>
      <c r="L68">
        <v>478</v>
      </c>
      <c r="M68">
        <v>716</v>
      </c>
      <c r="N68">
        <v>1194</v>
      </c>
      <c r="O68" s="1">
        <v>0.434</v>
      </c>
      <c r="P68" s="1">
        <v>0.33700000000000002</v>
      </c>
      <c r="Q68" s="1">
        <v>0.22900000000000001</v>
      </c>
      <c r="R68" s="1">
        <v>0.223</v>
      </c>
      <c r="S68" s="1">
        <v>0.38900000000000001</v>
      </c>
      <c r="T68" s="1">
        <v>0.38900000000000001</v>
      </c>
      <c r="U68">
        <v>13133</v>
      </c>
    </row>
    <row r="69" spans="1:21" x14ac:dyDescent="0.3">
      <c r="A69" t="s">
        <v>180</v>
      </c>
      <c r="B69" t="s">
        <v>95</v>
      </c>
      <c r="C69">
        <v>0.29499999999999998</v>
      </c>
      <c r="D69">
        <v>1.68</v>
      </c>
      <c r="E69" s="1">
        <v>0.20799999999999999</v>
      </c>
      <c r="F69" s="1">
        <v>0.497</v>
      </c>
      <c r="G69" s="1">
        <v>0.29499999999999998</v>
      </c>
      <c r="H69" s="1">
        <v>5.8000000000000003E-2</v>
      </c>
      <c r="I69" s="1">
        <v>0.17399999999999999</v>
      </c>
      <c r="J69">
        <v>125</v>
      </c>
      <c r="K69">
        <v>5.56</v>
      </c>
      <c r="L69">
        <v>1163</v>
      </c>
      <c r="M69">
        <v>2169</v>
      </c>
      <c r="N69">
        <v>3332</v>
      </c>
      <c r="O69" s="1">
        <v>0.442</v>
      </c>
      <c r="P69" s="1">
        <v>0.35699999999999998</v>
      </c>
      <c r="Q69" s="1">
        <v>0.20100000000000001</v>
      </c>
      <c r="R69" s="1">
        <v>0.158</v>
      </c>
      <c r="S69" s="1">
        <v>0.42299999999999999</v>
      </c>
      <c r="T69" s="1">
        <v>0.41899999999999998</v>
      </c>
      <c r="U69">
        <v>16149</v>
      </c>
    </row>
    <row r="70" spans="1:21" x14ac:dyDescent="0.3">
      <c r="A70" t="s">
        <v>107</v>
      </c>
      <c r="B70" t="s">
        <v>32</v>
      </c>
      <c r="C70">
        <v>0.22500000000000001</v>
      </c>
      <c r="D70">
        <v>1.68</v>
      </c>
      <c r="E70" s="1">
        <v>0.16400000000000001</v>
      </c>
      <c r="F70" s="1">
        <v>0.52300000000000002</v>
      </c>
      <c r="G70" s="1">
        <v>0.313</v>
      </c>
      <c r="H70" s="1">
        <v>0.1</v>
      </c>
      <c r="I70" s="1">
        <v>0.22500000000000001</v>
      </c>
      <c r="J70">
        <v>32</v>
      </c>
      <c r="K70">
        <v>5.14</v>
      </c>
      <c r="L70">
        <v>324</v>
      </c>
      <c r="M70">
        <v>617</v>
      </c>
      <c r="N70">
        <v>941</v>
      </c>
      <c r="O70" s="1">
        <v>0.46500000000000002</v>
      </c>
      <c r="P70" s="1">
        <v>0.31</v>
      </c>
      <c r="Q70" s="1">
        <v>0.22500000000000001</v>
      </c>
      <c r="R70" s="1">
        <v>0.14000000000000001</v>
      </c>
      <c r="S70" s="1">
        <v>0.46500000000000002</v>
      </c>
      <c r="T70" s="1">
        <v>0.39500000000000002</v>
      </c>
      <c r="U70">
        <v>8823</v>
      </c>
    </row>
    <row r="71" spans="1:21" x14ac:dyDescent="0.3">
      <c r="A71" t="s">
        <v>190</v>
      </c>
      <c r="B71" t="s">
        <v>28</v>
      </c>
      <c r="C71">
        <v>0.28699999999999998</v>
      </c>
      <c r="D71">
        <v>1.67</v>
      </c>
      <c r="E71" s="1">
        <v>0.20499999999999999</v>
      </c>
      <c r="F71" s="1">
        <v>0.497</v>
      </c>
      <c r="G71" s="1">
        <v>0.29799999999999999</v>
      </c>
      <c r="H71" s="1">
        <v>6.6000000000000003E-2</v>
      </c>
      <c r="I71" s="1">
        <v>0.152</v>
      </c>
      <c r="J71">
        <v>111</v>
      </c>
      <c r="K71">
        <v>5.97</v>
      </c>
      <c r="L71">
        <v>1167</v>
      </c>
      <c r="M71">
        <v>1801</v>
      </c>
      <c r="N71">
        <v>2968</v>
      </c>
      <c r="O71" s="1">
        <v>0.42299999999999999</v>
      </c>
      <c r="P71" s="1">
        <v>0.372</v>
      </c>
      <c r="Q71" s="1">
        <v>0.20499999999999999</v>
      </c>
      <c r="R71" s="1">
        <v>0.17299999999999999</v>
      </c>
      <c r="S71" s="1">
        <v>0.46800000000000003</v>
      </c>
      <c r="T71" s="1">
        <v>0.35899999999999999</v>
      </c>
      <c r="U71">
        <v>8779</v>
      </c>
    </row>
    <row r="72" spans="1:21" x14ac:dyDescent="0.3">
      <c r="A72" t="s">
        <v>123</v>
      </c>
      <c r="B72" t="s">
        <v>48</v>
      </c>
      <c r="C72">
        <v>0.314</v>
      </c>
      <c r="D72">
        <v>1.66</v>
      </c>
      <c r="E72" s="1">
        <v>0.19900000000000001</v>
      </c>
      <c r="F72" s="1">
        <v>0.5</v>
      </c>
      <c r="G72" s="1">
        <v>0.30099999999999999</v>
      </c>
      <c r="H72" s="1">
        <v>4.4999999999999998E-2</v>
      </c>
      <c r="I72" s="1">
        <v>0.20499999999999999</v>
      </c>
      <c r="J72">
        <v>23</v>
      </c>
      <c r="K72">
        <v>3.72</v>
      </c>
      <c r="L72">
        <v>255</v>
      </c>
      <c r="M72">
        <v>610</v>
      </c>
      <c r="N72">
        <v>865</v>
      </c>
      <c r="O72" s="1">
        <v>0.33600000000000002</v>
      </c>
      <c r="P72" s="1">
        <v>0.40400000000000003</v>
      </c>
      <c r="Q72" s="1">
        <v>0.26</v>
      </c>
      <c r="R72" s="1">
        <v>0.17799999999999999</v>
      </c>
      <c r="S72" s="1">
        <v>0.41799999999999998</v>
      </c>
      <c r="T72" s="1">
        <v>0.40400000000000003</v>
      </c>
      <c r="U72">
        <v>11847</v>
      </c>
    </row>
    <row r="73" spans="1:21" x14ac:dyDescent="0.3">
      <c r="A73" t="s">
        <v>317</v>
      </c>
      <c r="B73" t="s">
        <v>66</v>
      </c>
      <c r="C73">
        <v>0.316</v>
      </c>
      <c r="D73">
        <v>1.64</v>
      </c>
      <c r="E73" s="1">
        <v>0.22800000000000001</v>
      </c>
      <c r="F73" s="1">
        <v>0.48</v>
      </c>
      <c r="G73" s="1">
        <v>0.29299999999999998</v>
      </c>
      <c r="H73" s="1">
        <v>0.105</v>
      </c>
      <c r="I73" s="1">
        <v>0.15</v>
      </c>
      <c r="J73">
        <v>141</v>
      </c>
      <c r="K73">
        <v>7.68</v>
      </c>
      <c r="L73">
        <v>976</v>
      </c>
      <c r="M73">
        <v>1796</v>
      </c>
      <c r="N73">
        <v>2772</v>
      </c>
      <c r="O73" s="1">
        <v>0.42099999999999999</v>
      </c>
      <c r="P73" s="1">
        <v>0.32900000000000001</v>
      </c>
      <c r="Q73" s="1">
        <v>0.25</v>
      </c>
      <c r="R73" s="1">
        <v>0.17299999999999999</v>
      </c>
      <c r="S73" s="1">
        <v>0.47599999999999998</v>
      </c>
      <c r="T73" s="1">
        <v>0.35199999999999998</v>
      </c>
      <c r="U73">
        <v>6902</v>
      </c>
    </row>
    <row r="74" spans="1:21" x14ac:dyDescent="0.3">
      <c r="A74" t="s">
        <v>133</v>
      </c>
      <c r="B74" t="s">
        <v>53</v>
      </c>
      <c r="C74">
        <v>0.29899999999999999</v>
      </c>
      <c r="D74">
        <v>1.64</v>
      </c>
      <c r="E74" s="1">
        <v>0.191</v>
      </c>
      <c r="F74" s="1">
        <v>0.502</v>
      </c>
      <c r="G74" s="1">
        <v>0.307</v>
      </c>
      <c r="H74" s="1">
        <v>0.13</v>
      </c>
      <c r="I74" s="1">
        <v>0.14299999999999999</v>
      </c>
      <c r="J74">
        <v>47</v>
      </c>
      <c r="K74">
        <v>4.67</v>
      </c>
      <c r="L74">
        <v>495</v>
      </c>
      <c r="M74">
        <v>950</v>
      </c>
      <c r="N74">
        <v>1445</v>
      </c>
      <c r="O74" s="1">
        <v>0.4</v>
      </c>
      <c r="P74" s="1">
        <v>0.376</v>
      </c>
      <c r="Q74" s="1">
        <v>0.224</v>
      </c>
      <c r="R74" s="1">
        <v>0.16500000000000001</v>
      </c>
      <c r="S74" s="1">
        <v>0.47499999999999998</v>
      </c>
      <c r="T74" s="1">
        <v>0.36099999999999999</v>
      </c>
      <c r="U74">
        <v>13273</v>
      </c>
    </row>
    <row r="75" spans="1:21" x14ac:dyDescent="0.3">
      <c r="A75" t="s">
        <v>88</v>
      </c>
      <c r="B75" t="s">
        <v>89</v>
      </c>
      <c r="C75">
        <v>0.255</v>
      </c>
      <c r="D75">
        <v>1.63</v>
      </c>
      <c r="E75" s="1">
        <v>0.17899999999999999</v>
      </c>
      <c r="F75" s="1">
        <v>0.50800000000000001</v>
      </c>
      <c r="G75" s="1">
        <v>0.313</v>
      </c>
      <c r="H75" s="1">
        <v>9.9000000000000005E-2</v>
      </c>
      <c r="I75" s="1">
        <v>0.13</v>
      </c>
      <c r="J75">
        <v>110</v>
      </c>
      <c r="K75">
        <v>5.65</v>
      </c>
      <c r="L75">
        <v>1134</v>
      </c>
      <c r="M75">
        <v>1775</v>
      </c>
      <c r="N75">
        <v>2909</v>
      </c>
      <c r="O75" s="1">
        <v>0.42299999999999999</v>
      </c>
      <c r="P75" s="1">
        <v>0.33600000000000002</v>
      </c>
      <c r="Q75" s="1">
        <v>0.24099999999999999</v>
      </c>
      <c r="R75" s="1">
        <v>0.16600000000000001</v>
      </c>
      <c r="S75" s="1">
        <v>0.45300000000000001</v>
      </c>
      <c r="T75" s="1">
        <v>0.38100000000000001</v>
      </c>
      <c r="U75">
        <v>12768</v>
      </c>
    </row>
    <row r="76" spans="1:21" x14ac:dyDescent="0.3">
      <c r="A76" t="s">
        <v>69</v>
      </c>
      <c r="B76" t="s">
        <v>66</v>
      </c>
      <c r="C76">
        <v>0.307</v>
      </c>
      <c r="D76">
        <v>1.62</v>
      </c>
      <c r="E76" s="1">
        <v>0.18099999999999999</v>
      </c>
      <c r="F76" s="1">
        <v>0.50600000000000001</v>
      </c>
      <c r="G76" s="1">
        <v>0.313</v>
      </c>
      <c r="H76" s="1">
        <v>5.8000000000000003E-2</v>
      </c>
      <c r="I76" s="1">
        <v>0.154</v>
      </c>
      <c r="J76">
        <v>20</v>
      </c>
      <c r="K76">
        <v>2.61</v>
      </c>
      <c r="L76">
        <v>329</v>
      </c>
      <c r="M76">
        <v>736</v>
      </c>
      <c r="N76">
        <v>1065</v>
      </c>
      <c r="O76" s="1">
        <v>0.33900000000000002</v>
      </c>
      <c r="P76" s="1">
        <v>0.36799999999999999</v>
      </c>
      <c r="Q76" s="1">
        <v>0.29199999999999998</v>
      </c>
      <c r="R76" s="1">
        <v>0.193</v>
      </c>
      <c r="S76" s="1">
        <v>0.49099999999999999</v>
      </c>
      <c r="T76" s="1">
        <v>0.316</v>
      </c>
      <c r="U76">
        <v>13449</v>
      </c>
    </row>
    <row r="77" spans="1:21" x14ac:dyDescent="0.3">
      <c r="A77" t="s">
        <v>104</v>
      </c>
      <c r="B77" t="s">
        <v>32</v>
      </c>
      <c r="C77">
        <v>0.29799999999999999</v>
      </c>
      <c r="D77">
        <v>1.6</v>
      </c>
      <c r="E77" s="1">
        <v>0.217</v>
      </c>
      <c r="F77" s="1">
        <v>0.48199999999999998</v>
      </c>
      <c r="G77" s="1">
        <v>0.30099999999999999</v>
      </c>
      <c r="H77" s="1">
        <v>0.111</v>
      </c>
      <c r="I77" s="1">
        <v>0.104</v>
      </c>
      <c r="J77">
        <v>112</v>
      </c>
      <c r="K77">
        <v>5.18</v>
      </c>
      <c r="L77">
        <v>1065</v>
      </c>
      <c r="M77">
        <v>2074</v>
      </c>
      <c r="N77">
        <v>3139</v>
      </c>
      <c r="O77" s="1">
        <v>0.39100000000000001</v>
      </c>
      <c r="P77" s="1">
        <v>0.33700000000000002</v>
      </c>
      <c r="Q77" s="1">
        <v>0.27200000000000002</v>
      </c>
      <c r="R77" s="1">
        <v>0.16400000000000001</v>
      </c>
      <c r="S77" s="1">
        <v>0.497</v>
      </c>
      <c r="T77" s="1">
        <v>0.33900000000000002</v>
      </c>
      <c r="U77">
        <v>4676</v>
      </c>
    </row>
    <row r="78" spans="1:21" x14ac:dyDescent="0.3">
      <c r="A78" t="s">
        <v>290</v>
      </c>
      <c r="B78" t="s">
        <v>50</v>
      </c>
      <c r="C78">
        <v>0.313</v>
      </c>
      <c r="D78">
        <v>1.6</v>
      </c>
      <c r="E78" s="1">
        <v>0.221</v>
      </c>
      <c r="F78" s="1">
        <v>0.48</v>
      </c>
      <c r="G78" s="1">
        <v>0.29899999999999999</v>
      </c>
      <c r="H78" s="1">
        <v>5.8999999999999997E-2</v>
      </c>
      <c r="I78" s="1">
        <v>0.22</v>
      </c>
      <c r="J78">
        <v>74</v>
      </c>
      <c r="K78">
        <v>5.26</v>
      </c>
      <c r="L78">
        <v>827</v>
      </c>
      <c r="M78">
        <v>1372</v>
      </c>
      <c r="N78">
        <v>2199</v>
      </c>
      <c r="O78" s="1">
        <v>0.48299999999999998</v>
      </c>
      <c r="P78" s="1">
        <v>0.27500000000000002</v>
      </c>
      <c r="Q78" s="1">
        <v>0.24299999999999999</v>
      </c>
      <c r="R78" s="1">
        <v>0.14499999999999999</v>
      </c>
      <c r="S78" s="1">
        <v>0.46</v>
      </c>
      <c r="T78" s="1">
        <v>0.39500000000000002</v>
      </c>
      <c r="U78">
        <v>14078</v>
      </c>
    </row>
    <row r="79" spans="1:21" x14ac:dyDescent="0.3">
      <c r="A79" t="s">
        <v>216</v>
      </c>
      <c r="B79" t="s">
        <v>50</v>
      </c>
      <c r="C79">
        <v>0.30199999999999999</v>
      </c>
      <c r="D79">
        <v>1.6</v>
      </c>
      <c r="E79" s="1">
        <v>0.23100000000000001</v>
      </c>
      <c r="F79" s="1">
        <v>0.47399999999999998</v>
      </c>
      <c r="G79" s="1">
        <v>0.29599999999999999</v>
      </c>
      <c r="H79" s="1">
        <v>0.06</v>
      </c>
      <c r="I79" s="1">
        <v>0.161</v>
      </c>
      <c r="J79">
        <v>78</v>
      </c>
      <c r="K79">
        <v>3.82</v>
      </c>
      <c r="L79">
        <v>963</v>
      </c>
      <c r="M79">
        <v>1904</v>
      </c>
      <c r="N79">
        <v>2867</v>
      </c>
      <c r="O79" s="1">
        <v>0.37</v>
      </c>
      <c r="P79" s="1">
        <v>0.373</v>
      </c>
      <c r="Q79" s="1">
        <v>0.25700000000000001</v>
      </c>
      <c r="R79" s="1">
        <v>0.161</v>
      </c>
      <c r="S79" s="1">
        <v>0.42699999999999999</v>
      </c>
      <c r="T79" s="1">
        <v>0.41099999999999998</v>
      </c>
      <c r="U79">
        <v>9803</v>
      </c>
    </row>
    <row r="80" spans="1:21" x14ac:dyDescent="0.3">
      <c r="A80" t="s">
        <v>334</v>
      </c>
      <c r="B80" t="s">
        <v>46</v>
      </c>
      <c r="C80">
        <v>0.27500000000000002</v>
      </c>
      <c r="D80">
        <v>1.58</v>
      </c>
      <c r="E80" s="1">
        <v>0.20300000000000001</v>
      </c>
      <c r="F80" s="1">
        <v>0.48799999999999999</v>
      </c>
      <c r="G80" s="1">
        <v>0.309</v>
      </c>
      <c r="H80" s="1">
        <v>4.4999999999999998E-2</v>
      </c>
      <c r="I80" s="1">
        <v>0.17899999999999999</v>
      </c>
      <c r="J80">
        <v>44</v>
      </c>
      <c r="K80">
        <v>5.5</v>
      </c>
      <c r="L80">
        <v>474</v>
      </c>
      <c r="M80">
        <v>714</v>
      </c>
      <c r="N80">
        <v>1188</v>
      </c>
      <c r="O80" s="1">
        <v>0.32900000000000001</v>
      </c>
      <c r="P80" s="1">
        <v>0.42499999999999999</v>
      </c>
      <c r="Q80" s="1">
        <v>0.247</v>
      </c>
      <c r="R80" s="1">
        <v>0.13200000000000001</v>
      </c>
      <c r="S80" s="1">
        <v>0.51100000000000001</v>
      </c>
      <c r="T80" s="1">
        <v>0.35599999999999998</v>
      </c>
      <c r="U80">
        <v>8110</v>
      </c>
    </row>
    <row r="81" spans="1:21" x14ac:dyDescent="0.3">
      <c r="A81" t="s">
        <v>45</v>
      </c>
      <c r="B81" t="s">
        <v>46</v>
      </c>
      <c r="C81">
        <v>0.248</v>
      </c>
      <c r="D81">
        <v>1.58</v>
      </c>
      <c r="E81" s="1">
        <v>0.20100000000000001</v>
      </c>
      <c r="F81" s="1">
        <v>0.48899999999999999</v>
      </c>
      <c r="G81" s="1">
        <v>0.309</v>
      </c>
      <c r="H81" s="1">
        <v>7.0000000000000007E-2</v>
      </c>
      <c r="I81" s="1">
        <v>0.11600000000000001</v>
      </c>
      <c r="J81">
        <v>32</v>
      </c>
      <c r="K81">
        <v>5.14</v>
      </c>
      <c r="L81">
        <v>317</v>
      </c>
      <c r="M81">
        <v>581</v>
      </c>
      <c r="N81">
        <v>898</v>
      </c>
      <c r="O81" s="1">
        <v>0.39400000000000002</v>
      </c>
      <c r="P81" s="1">
        <v>0.33100000000000002</v>
      </c>
      <c r="Q81" s="1">
        <v>0.27500000000000002</v>
      </c>
      <c r="R81" s="1">
        <v>0.20399999999999999</v>
      </c>
      <c r="S81" s="1">
        <v>0.47899999999999998</v>
      </c>
      <c r="T81" s="1">
        <v>0.317</v>
      </c>
      <c r="U81">
        <v>13911</v>
      </c>
    </row>
    <row r="82" spans="1:21" x14ac:dyDescent="0.3">
      <c r="A82" t="s">
        <v>257</v>
      </c>
      <c r="B82" t="s">
        <v>46</v>
      </c>
      <c r="C82">
        <v>0.318</v>
      </c>
      <c r="D82">
        <v>1.58</v>
      </c>
      <c r="E82" s="1">
        <v>0.19400000000000001</v>
      </c>
      <c r="F82" s="1">
        <v>0.49399999999999999</v>
      </c>
      <c r="G82" s="1">
        <v>0.313</v>
      </c>
      <c r="H82" s="1">
        <v>0.1</v>
      </c>
      <c r="I82" s="1">
        <v>0.14000000000000001</v>
      </c>
      <c r="J82">
        <v>23</v>
      </c>
      <c r="K82">
        <v>3.59</v>
      </c>
      <c r="L82">
        <v>310</v>
      </c>
      <c r="M82">
        <v>578</v>
      </c>
      <c r="N82">
        <v>888</v>
      </c>
      <c r="O82" s="1">
        <v>0.41599999999999998</v>
      </c>
      <c r="P82" s="1">
        <v>0.32300000000000001</v>
      </c>
      <c r="Q82" s="1">
        <v>0.26100000000000001</v>
      </c>
      <c r="R82" s="1">
        <v>0.17399999999999999</v>
      </c>
      <c r="S82" s="1">
        <v>0.46</v>
      </c>
      <c r="T82" s="1">
        <v>0.36599999999999999</v>
      </c>
      <c r="U82">
        <v>12774</v>
      </c>
    </row>
    <row r="83" spans="1:21" x14ac:dyDescent="0.3">
      <c r="A83" t="s">
        <v>59</v>
      </c>
      <c r="B83" t="s">
        <v>53</v>
      </c>
      <c r="C83">
        <v>0.27500000000000002</v>
      </c>
      <c r="D83">
        <v>1.56</v>
      </c>
      <c r="E83" s="1">
        <v>0.184</v>
      </c>
      <c r="F83" s="1">
        <v>0.496</v>
      </c>
      <c r="G83" s="1">
        <v>0.31900000000000001</v>
      </c>
      <c r="H83" s="1">
        <v>0.13300000000000001</v>
      </c>
      <c r="I83" s="1">
        <v>0.222</v>
      </c>
      <c r="J83">
        <v>32</v>
      </c>
      <c r="K83">
        <v>4.91</v>
      </c>
      <c r="L83">
        <v>302</v>
      </c>
      <c r="M83">
        <v>664</v>
      </c>
      <c r="N83">
        <v>966</v>
      </c>
      <c r="O83" s="1">
        <v>0.45300000000000001</v>
      </c>
      <c r="P83" s="1">
        <v>0.29099999999999998</v>
      </c>
      <c r="Q83" s="1">
        <v>0.25700000000000001</v>
      </c>
      <c r="R83" s="1">
        <v>0.17599999999999999</v>
      </c>
      <c r="S83" s="1">
        <v>0.45300000000000001</v>
      </c>
      <c r="T83" s="1">
        <v>0.372</v>
      </c>
      <c r="U83">
        <v>4806</v>
      </c>
    </row>
    <row r="84" spans="1:21" x14ac:dyDescent="0.3">
      <c r="A84" t="s">
        <v>364</v>
      </c>
      <c r="B84" t="s">
        <v>48</v>
      </c>
      <c r="C84">
        <v>0.32</v>
      </c>
      <c r="D84">
        <v>1.55</v>
      </c>
      <c r="E84" s="1">
        <v>0.22700000000000001</v>
      </c>
      <c r="F84" s="1">
        <v>0.46899999999999997</v>
      </c>
      <c r="G84" s="1">
        <v>0.30299999999999999</v>
      </c>
      <c r="H84" s="1">
        <v>0.105</v>
      </c>
      <c r="I84" s="1">
        <v>0.161</v>
      </c>
      <c r="J84">
        <v>84</v>
      </c>
      <c r="K84">
        <v>5.76</v>
      </c>
      <c r="L84">
        <v>887</v>
      </c>
      <c r="M84">
        <v>1418</v>
      </c>
      <c r="N84">
        <v>2305</v>
      </c>
      <c r="O84" s="1">
        <v>0.38500000000000001</v>
      </c>
      <c r="P84" s="1">
        <v>0.378</v>
      </c>
      <c r="Q84" s="1">
        <v>0.23699999999999999</v>
      </c>
      <c r="R84" s="1">
        <v>0.17299999999999999</v>
      </c>
      <c r="S84" s="1">
        <v>0.42899999999999999</v>
      </c>
      <c r="T84" s="1">
        <v>0.39800000000000002</v>
      </c>
      <c r="U84">
        <v>11490</v>
      </c>
    </row>
    <row r="85" spans="1:21" x14ac:dyDescent="0.3">
      <c r="A85" t="s">
        <v>316</v>
      </c>
      <c r="B85" t="s">
        <v>102</v>
      </c>
      <c r="C85">
        <v>0.29899999999999999</v>
      </c>
      <c r="D85">
        <v>1.52</v>
      </c>
      <c r="E85" s="1">
        <v>0.21199999999999999</v>
      </c>
      <c r="F85" s="1">
        <v>0.47599999999999998</v>
      </c>
      <c r="G85" s="1">
        <v>0.312</v>
      </c>
      <c r="H85" s="1">
        <v>0.126</v>
      </c>
      <c r="I85" s="1">
        <v>0.14599999999999999</v>
      </c>
      <c r="J85">
        <v>58</v>
      </c>
      <c r="K85">
        <v>4.6900000000000004</v>
      </c>
      <c r="L85">
        <v>641</v>
      </c>
      <c r="M85">
        <v>1155</v>
      </c>
      <c r="N85">
        <v>1796</v>
      </c>
      <c r="O85" s="1">
        <v>0.39900000000000002</v>
      </c>
      <c r="P85" s="1">
        <v>0.318</v>
      </c>
      <c r="Q85" s="1">
        <v>0.28299999999999997</v>
      </c>
      <c r="R85" s="1">
        <v>0.17599999999999999</v>
      </c>
      <c r="S85" s="1">
        <v>0.45800000000000002</v>
      </c>
      <c r="T85" s="1">
        <v>0.36599999999999999</v>
      </c>
      <c r="U85">
        <v>17085</v>
      </c>
    </row>
    <row r="86" spans="1:21" x14ac:dyDescent="0.3">
      <c r="A86" t="s">
        <v>285</v>
      </c>
      <c r="B86" t="s">
        <v>43</v>
      </c>
      <c r="C86">
        <v>0.32200000000000001</v>
      </c>
      <c r="D86">
        <v>1.52</v>
      </c>
      <c r="E86" s="1">
        <v>0.23599999999999999</v>
      </c>
      <c r="F86" s="1">
        <v>0.46100000000000002</v>
      </c>
      <c r="G86" s="1">
        <v>0.30299999999999999</v>
      </c>
      <c r="H86" s="1">
        <v>0.1</v>
      </c>
      <c r="I86" s="1">
        <v>0.158</v>
      </c>
      <c r="J86">
        <v>97</v>
      </c>
      <c r="K86">
        <v>4.67</v>
      </c>
      <c r="L86">
        <v>1091</v>
      </c>
      <c r="M86">
        <v>1914</v>
      </c>
      <c r="N86">
        <v>3005</v>
      </c>
      <c r="O86" s="1">
        <v>0.45400000000000001</v>
      </c>
      <c r="P86" s="1">
        <v>0.33900000000000002</v>
      </c>
      <c r="Q86" s="1">
        <v>0.20799999999999999</v>
      </c>
      <c r="R86" s="1">
        <v>0.17299999999999999</v>
      </c>
      <c r="S86" s="1">
        <v>0.496</v>
      </c>
      <c r="T86" s="1">
        <v>0.33100000000000002</v>
      </c>
      <c r="U86">
        <v>1994</v>
      </c>
    </row>
    <row r="87" spans="1:21" x14ac:dyDescent="0.3">
      <c r="A87" t="s">
        <v>111</v>
      </c>
      <c r="B87" t="s">
        <v>93</v>
      </c>
      <c r="C87">
        <v>0.28999999999999998</v>
      </c>
      <c r="D87">
        <v>1.52</v>
      </c>
      <c r="E87" s="1">
        <v>0.17899999999999999</v>
      </c>
      <c r="F87" s="1">
        <v>0.495</v>
      </c>
      <c r="G87" s="1">
        <v>0.32600000000000001</v>
      </c>
      <c r="H87" s="1">
        <v>4.8000000000000001E-2</v>
      </c>
      <c r="I87" s="1">
        <v>0.14399999999999999</v>
      </c>
      <c r="J87">
        <v>122</v>
      </c>
      <c r="K87">
        <v>5.44</v>
      </c>
      <c r="L87">
        <v>1241</v>
      </c>
      <c r="M87">
        <v>2058</v>
      </c>
      <c r="N87">
        <v>3299</v>
      </c>
      <c r="O87" s="1">
        <v>0.372</v>
      </c>
      <c r="P87" s="1">
        <v>0.36499999999999999</v>
      </c>
      <c r="Q87" s="1">
        <v>0.26300000000000001</v>
      </c>
      <c r="R87" s="1">
        <v>0.16600000000000001</v>
      </c>
      <c r="S87" s="1">
        <v>0.48899999999999999</v>
      </c>
      <c r="T87" s="1">
        <v>0.34499999999999997</v>
      </c>
      <c r="U87">
        <v>9323</v>
      </c>
    </row>
    <row r="88" spans="1:21" x14ac:dyDescent="0.3">
      <c r="A88" t="s">
        <v>167</v>
      </c>
      <c r="B88" t="s">
        <v>38</v>
      </c>
      <c r="C88">
        <v>0.33900000000000002</v>
      </c>
      <c r="D88">
        <v>1.51</v>
      </c>
      <c r="E88" s="1">
        <v>0.22</v>
      </c>
      <c r="F88" s="1">
        <v>0.47</v>
      </c>
      <c r="G88" s="1">
        <v>0.311</v>
      </c>
      <c r="H88" s="1">
        <v>7.2999999999999995E-2</v>
      </c>
      <c r="I88" s="1">
        <v>0.19500000000000001</v>
      </c>
      <c r="J88">
        <v>32</v>
      </c>
      <c r="K88">
        <v>4.4800000000000004</v>
      </c>
      <c r="L88">
        <v>506</v>
      </c>
      <c r="M88">
        <v>804</v>
      </c>
      <c r="N88">
        <v>1310</v>
      </c>
      <c r="O88" s="1">
        <v>0.373</v>
      </c>
      <c r="P88" s="1">
        <v>0.32100000000000001</v>
      </c>
      <c r="Q88" s="1">
        <v>0.30599999999999999</v>
      </c>
      <c r="R88" s="1">
        <v>0.157</v>
      </c>
      <c r="S88" s="1">
        <v>0.53700000000000003</v>
      </c>
      <c r="T88" s="1">
        <v>0.30599999999999999</v>
      </c>
      <c r="U88">
        <v>12863</v>
      </c>
    </row>
    <row r="89" spans="1:21" x14ac:dyDescent="0.3">
      <c r="A89" t="s">
        <v>384</v>
      </c>
      <c r="B89" t="s">
        <v>43</v>
      </c>
      <c r="C89">
        <v>0.30099999999999999</v>
      </c>
      <c r="D89">
        <v>1.51</v>
      </c>
      <c r="E89" s="1">
        <v>0.13600000000000001</v>
      </c>
      <c r="F89" s="1">
        <v>0.51900000000000002</v>
      </c>
      <c r="G89" s="1">
        <v>0.34499999999999997</v>
      </c>
      <c r="H89" s="1">
        <v>6.2E-2</v>
      </c>
      <c r="I89" s="1">
        <v>0.247</v>
      </c>
      <c r="J89">
        <v>38</v>
      </c>
      <c r="K89">
        <v>4.91</v>
      </c>
      <c r="L89">
        <v>429</v>
      </c>
      <c r="M89">
        <v>728</v>
      </c>
      <c r="N89">
        <v>1157</v>
      </c>
      <c r="O89" s="1">
        <v>0.54</v>
      </c>
      <c r="P89" s="1">
        <v>0.30099999999999999</v>
      </c>
      <c r="Q89" s="1">
        <v>0.159</v>
      </c>
      <c r="R89" s="1">
        <v>0.14199999999999999</v>
      </c>
      <c r="S89" s="1">
        <v>0.49399999999999999</v>
      </c>
      <c r="T89" s="1">
        <v>0.36399999999999999</v>
      </c>
      <c r="U89">
        <v>2859</v>
      </c>
    </row>
    <row r="90" spans="1:21" x14ac:dyDescent="0.3">
      <c r="A90" t="s">
        <v>331</v>
      </c>
      <c r="B90" t="s">
        <v>26</v>
      </c>
      <c r="C90">
        <v>0.373</v>
      </c>
      <c r="D90">
        <v>1.5</v>
      </c>
      <c r="E90" s="1">
        <v>0.254</v>
      </c>
      <c r="F90" s="1">
        <v>0.44800000000000001</v>
      </c>
      <c r="G90" s="1">
        <v>0.29799999999999999</v>
      </c>
      <c r="H90" s="1">
        <v>9.2999999999999999E-2</v>
      </c>
      <c r="I90" s="1">
        <v>0.111</v>
      </c>
      <c r="J90">
        <v>29</v>
      </c>
      <c r="K90">
        <v>4.72</v>
      </c>
      <c r="L90">
        <v>350</v>
      </c>
      <c r="M90">
        <v>609</v>
      </c>
      <c r="N90">
        <v>959</v>
      </c>
      <c r="O90" s="1">
        <v>0.443</v>
      </c>
      <c r="P90" s="1">
        <v>0.33900000000000002</v>
      </c>
      <c r="Q90" s="1">
        <v>0.219</v>
      </c>
      <c r="R90" s="1">
        <v>0.18</v>
      </c>
      <c r="S90" s="1">
        <v>0.38300000000000001</v>
      </c>
      <c r="T90" s="1">
        <v>0.437</v>
      </c>
      <c r="U90">
        <v>10354</v>
      </c>
    </row>
    <row r="91" spans="1:21" x14ac:dyDescent="0.3">
      <c r="A91" t="s">
        <v>136</v>
      </c>
      <c r="B91" t="s">
        <v>98</v>
      </c>
      <c r="C91">
        <v>0.33700000000000002</v>
      </c>
      <c r="D91">
        <v>1.5</v>
      </c>
      <c r="E91" s="1">
        <v>0.247</v>
      </c>
      <c r="F91" s="1">
        <v>0.45200000000000001</v>
      </c>
      <c r="G91" s="1">
        <v>0.30099999999999999</v>
      </c>
      <c r="H91" s="1">
        <v>0.107</v>
      </c>
      <c r="I91" s="1">
        <v>8.8999999999999996E-2</v>
      </c>
      <c r="J91">
        <v>13</v>
      </c>
      <c r="K91">
        <v>1.63</v>
      </c>
      <c r="L91">
        <v>464</v>
      </c>
      <c r="M91">
        <v>820</v>
      </c>
      <c r="N91">
        <v>1284</v>
      </c>
      <c r="O91" s="1">
        <v>0.38600000000000001</v>
      </c>
      <c r="P91" s="1">
        <v>0.29099999999999998</v>
      </c>
      <c r="Q91" s="1">
        <v>0.32300000000000001</v>
      </c>
      <c r="R91" s="1">
        <v>0.14799999999999999</v>
      </c>
      <c r="S91" s="1">
        <v>0.42899999999999999</v>
      </c>
      <c r="T91" s="1">
        <v>0.42299999999999999</v>
      </c>
      <c r="U91">
        <v>12918</v>
      </c>
    </row>
    <row r="92" spans="1:21" x14ac:dyDescent="0.3">
      <c r="A92" t="s">
        <v>319</v>
      </c>
      <c r="B92" t="s">
        <v>89</v>
      </c>
      <c r="C92">
        <v>0.307</v>
      </c>
      <c r="D92">
        <v>1.5</v>
      </c>
      <c r="E92" s="1">
        <v>0.217</v>
      </c>
      <c r="F92" s="1">
        <v>0.47</v>
      </c>
      <c r="G92" s="1">
        <v>0.313</v>
      </c>
      <c r="H92" s="1">
        <v>6.7000000000000004E-2</v>
      </c>
      <c r="I92" s="1">
        <v>0.20799999999999999</v>
      </c>
      <c r="J92">
        <v>60</v>
      </c>
      <c r="K92">
        <v>4.16</v>
      </c>
      <c r="L92">
        <v>750</v>
      </c>
      <c r="M92">
        <v>1461</v>
      </c>
      <c r="N92">
        <v>2211</v>
      </c>
      <c r="O92" s="1">
        <v>0.375</v>
      </c>
      <c r="P92" s="1">
        <v>0.37</v>
      </c>
      <c r="Q92" s="1">
        <v>0.25600000000000001</v>
      </c>
      <c r="R92" s="1">
        <v>0.14499999999999999</v>
      </c>
      <c r="S92" s="1">
        <v>0.49399999999999999</v>
      </c>
      <c r="T92" s="1">
        <v>0.36199999999999999</v>
      </c>
      <c r="U92">
        <v>16358</v>
      </c>
    </row>
    <row r="93" spans="1:21" x14ac:dyDescent="0.3">
      <c r="A93" t="s">
        <v>270</v>
      </c>
      <c r="B93" t="s">
        <v>159</v>
      </c>
      <c r="C93">
        <v>0.33300000000000002</v>
      </c>
      <c r="D93">
        <v>1.5</v>
      </c>
      <c r="E93" s="1">
        <v>0.19500000000000001</v>
      </c>
      <c r="F93" s="1">
        <v>0.48299999999999998</v>
      </c>
      <c r="G93" s="1">
        <v>0.32300000000000001</v>
      </c>
      <c r="H93" s="1">
        <v>0.05</v>
      </c>
      <c r="I93" s="1">
        <v>0.10100000000000001</v>
      </c>
      <c r="J93">
        <v>50</v>
      </c>
      <c r="K93">
        <v>3.03</v>
      </c>
      <c r="L93">
        <v>1030</v>
      </c>
      <c r="M93">
        <v>1631</v>
      </c>
      <c r="N93">
        <v>2661</v>
      </c>
      <c r="O93" s="1">
        <v>0.379</v>
      </c>
      <c r="P93" s="1">
        <v>0.34</v>
      </c>
      <c r="Q93" s="1">
        <v>0.28000000000000003</v>
      </c>
      <c r="R93" s="1">
        <v>0.13300000000000001</v>
      </c>
      <c r="S93" s="1">
        <v>0.45300000000000001</v>
      </c>
      <c r="T93" s="1">
        <v>0.41399999999999998</v>
      </c>
      <c r="U93">
        <v>16207</v>
      </c>
    </row>
    <row r="94" spans="1:21" x14ac:dyDescent="0.3">
      <c r="A94" t="s">
        <v>227</v>
      </c>
      <c r="B94" t="s">
        <v>58</v>
      </c>
      <c r="C94">
        <v>0.313</v>
      </c>
      <c r="D94">
        <v>1.49</v>
      </c>
      <c r="E94" s="1">
        <v>0.19800000000000001</v>
      </c>
      <c r="F94" s="1">
        <v>0.48</v>
      </c>
      <c r="G94" s="1">
        <v>0.32100000000000001</v>
      </c>
      <c r="H94" s="1">
        <v>0.11700000000000001</v>
      </c>
      <c r="I94" s="1">
        <v>0.13300000000000001</v>
      </c>
      <c r="J94">
        <v>120</v>
      </c>
      <c r="K94">
        <v>5.46</v>
      </c>
      <c r="L94">
        <v>1002</v>
      </c>
      <c r="M94">
        <v>2093</v>
      </c>
      <c r="N94">
        <v>3095</v>
      </c>
      <c r="O94" s="1">
        <v>0.40600000000000003</v>
      </c>
      <c r="P94" s="1">
        <v>0.34</v>
      </c>
      <c r="Q94" s="1">
        <v>0.254</v>
      </c>
      <c r="R94" s="1">
        <v>0.215</v>
      </c>
      <c r="S94" s="1">
        <v>0.496</v>
      </c>
      <c r="T94" s="1">
        <v>0.28899999999999998</v>
      </c>
      <c r="U94">
        <v>11762</v>
      </c>
    </row>
    <row r="95" spans="1:21" x14ac:dyDescent="0.3">
      <c r="A95" t="s">
        <v>168</v>
      </c>
      <c r="B95" t="s">
        <v>38</v>
      </c>
      <c r="C95">
        <v>0.317</v>
      </c>
      <c r="D95">
        <v>1.49</v>
      </c>
      <c r="E95" s="1">
        <v>0.19</v>
      </c>
      <c r="F95" s="1">
        <v>0.48499999999999999</v>
      </c>
      <c r="G95" s="1">
        <v>0.32500000000000001</v>
      </c>
      <c r="H95" s="1">
        <v>7.1999999999999995E-2</v>
      </c>
      <c r="I95" s="1">
        <v>0.13300000000000001</v>
      </c>
      <c r="J95">
        <v>178</v>
      </c>
      <c r="K95">
        <v>7.88</v>
      </c>
      <c r="L95">
        <v>1307</v>
      </c>
      <c r="M95">
        <v>2188</v>
      </c>
      <c r="N95">
        <v>3495</v>
      </c>
      <c r="O95" s="1">
        <v>0.36699999999999999</v>
      </c>
      <c r="P95" s="1">
        <v>0.378</v>
      </c>
      <c r="Q95" s="1">
        <v>0.255</v>
      </c>
      <c r="R95" s="1">
        <v>0.22700000000000001</v>
      </c>
      <c r="S95" s="1">
        <v>0.48599999999999999</v>
      </c>
      <c r="T95" s="1">
        <v>0.28699999999999998</v>
      </c>
      <c r="U95">
        <v>13164</v>
      </c>
    </row>
    <row r="96" spans="1:21" x14ac:dyDescent="0.3">
      <c r="A96" t="s">
        <v>232</v>
      </c>
      <c r="B96" t="s">
        <v>32</v>
      </c>
      <c r="C96">
        <v>0.32800000000000001</v>
      </c>
      <c r="D96">
        <v>1.49</v>
      </c>
      <c r="E96" s="1">
        <v>0.23799999999999999</v>
      </c>
      <c r="F96" s="1">
        <v>0.45600000000000002</v>
      </c>
      <c r="G96" s="1">
        <v>0.30599999999999999</v>
      </c>
      <c r="H96" s="1">
        <v>9.1999999999999998E-2</v>
      </c>
      <c r="I96" s="1">
        <v>0.122</v>
      </c>
      <c r="J96">
        <v>46</v>
      </c>
      <c r="K96">
        <v>3.97</v>
      </c>
      <c r="L96">
        <v>682</v>
      </c>
      <c r="M96">
        <v>1139</v>
      </c>
      <c r="N96">
        <v>1821</v>
      </c>
      <c r="O96" s="1">
        <v>0.44</v>
      </c>
      <c r="P96" s="1">
        <v>0.32600000000000001</v>
      </c>
      <c r="Q96" s="1">
        <v>0.23400000000000001</v>
      </c>
      <c r="R96" s="1">
        <v>0.154</v>
      </c>
      <c r="S96" s="1">
        <v>0.44900000000000001</v>
      </c>
      <c r="T96" s="1">
        <v>0.39700000000000002</v>
      </c>
      <c r="U96">
        <v>17192</v>
      </c>
    </row>
    <row r="97" spans="1:21" x14ac:dyDescent="0.3">
      <c r="A97" t="s">
        <v>31</v>
      </c>
      <c r="B97" t="s">
        <v>32</v>
      </c>
      <c r="C97">
        <v>0.26500000000000001</v>
      </c>
      <c r="D97">
        <v>1.49</v>
      </c>
      <c r="E97" s="1">
        <v>0.158</v>
      </c>
      <c r="F97" s="1">
        <v>0.504</v>
      </c>
      <c r="G97" s="1">
        <v>0.33800000000000002</v>
      </c>
      <c r="H97" s="1">
        <v>8.5000000000000006E-2</v>
      </c>
      <c r="I97" s="1">
        <v>8.5000000000000006E-2</v>
      </c>
      <c r="J97">
        <v>42</v>
      </c>
      <c r="K97">
        <v>6.23</v>
      </c>
      <c r="L97">
        <v>317</v>
      </c>
      <c r="M97">
        <v>586</v>
      </c>
      <c r="N97">
        <v>903</v>
      </c>
      <c r="O97" s="1">
        <v>0.38800000000000001</v>
      </c>
      <c r="P97" s="1">
        <v>0.34499999999999997</v>
      </c>
      <c r="Q97" s="1">
        <v>0.26600000000000001</v>
      </c>
      <c r="R97" s="1">
        <v>0.223</v>
      </c>
      <c r="S97" s="1">
        <v>0.48899999999999999</v>
      </c>
      <c r="T97" s="1">
        <v>0.28799999999999998</v>
      </c>
      <c r="U97">
        <v>14374</v>
      </c>
    </row>
    <row r="98" spans="1:21" x14ac:dyDescent="0.3">
      <c r="A98" t="s">
        <v>132</v>
      </c>
      <c r="B98" t="s">
        <v>30</v>
      </c>
      <c r="C98">
        <v>0.27100000000000002</v>
      </c>
      <c r="D98">
        <v>1.48</v>
      </c>
      <c r="E98" s="1">
        <v>0.159</v>
      </c>
      <c r="F98" s="1">
        <v>0.503</v>
      </c>
      <c r="G98" s="1">
        <v>0.33800000000000002</v>
      </c>
      <c r="H98" s="1">
        <v>0.152</v>
      </c>
      <c r="I98" s="1">
        <v>0.121</v>
      </c>
      <c r="J98">
        <v>37</v>
      </c>
      <c r="K98">
        <v>4.76</v>
      </c>
      <c r="L98">
        <v>432</v>
      </c>
      <c r="M98">
        <v>701</v>
      </c>
      <c r="N98">
        <v>1133</v>
      </c>
      <c r="O98" s="1">
        <v>0.42499999999999999</v>
      </c>
      <c r="P98" s="1">
        <v>0.35</v>
      </c>
      <c r="Q98" s="1">
        <v>0.22500000000000001</v>
      </c>
      <c r="R98" s="1">
        <v>0.245</v>
      </c>
      <c r="S98" s="1">
        <v>0.45</v>
      </c>
      <c r="T98" s="1">
        <v>0.30499999999999999</v>
      </c>
      <c r="U98">
        <v>3201</v>
      </c>
    </row>
    <row r="99" spans="1:21" x14ac:dyDescent="0.3">
      <c r="A99" t="s">
        <v>154</v>
      </c>
      <c r="B99" t="s">
        <v>28</v>
      </c>
      <c r="C99">
        <v>0.26300000000000001</v>
      </c>
      <c r="D99">
        <v>1.48</v>
      </c>
      <c r="E99" s="1">
        <v>0.16300000000000001</v>
      </c>
      <c r="F99" s="1">
        <v>0.5</v>
      </c>
      <c r="G99" s="1">
        <v>0.33700000000000002</v>
      </c>
      <c r="H99" s="1">
        <v>1.6E-2</v>
      </c>
      <c r="I99" s="1">
        <v>0.161</v>
      </c>
      <c r="J99">
        <v>44</v>
      </c>
      <c r="K99">
        <v>6.53</v>
      </c>
      <c r="L99">
        <v>370</v>
      </c>
      <c r="M99">
        <v>624</v>
      </c>
      <c r="N99">
        <v>994</v>
      </c>
      <c r="O99" s="1">
        <v>0.33500000000000002</v>
      </c>
      <c r="P99" s="1">
        <v>0.38400000000000001</v>
      </c>
      <c r="Q99" s="1">
        <v>0.28100000000000003</v>
      </c>
      <c r="R99" s="1">
        <v>0.222</v>
      </c>
      <c r="S99" s="1">
        <v>0.45400000000000001</v>
      </c>
      <c r="T99" s="1">
        <v>0.32400000000000001</v>
      </c>
      <c r="U99">
        <v>2391</v>
      </c>
    </row>
    <row r="100" spans="1:21" x14ac:dyDescent="0.3">
      <c r="A100" t="s">
        <v>210</v>
      </c>
      <c r="B100" t="s">
        <v>40</v>
      </c>
      <c r="C100">
        <v>0.27700000000000002</v>
      </c>
      <c r="D100">
        <v>1.48</v>
      </c>
      <c r="E100" s="1">
        <v>0.184</v>
      </c>
      <c r="F100" s="1">
        <v>0.48699999999999999</v>
      </c>
      <c r="G100" s="1">
        <v>0.32900000000000001</v>
      </c>
      <c r="H100" s="1">
        <v>9.0999999999999998E-2</v>
      </c>
      <c r="I100" s="1">
        <v>0.182</v>
      </c>
      <c r="J100">
        <v>43</v>
      </c>
      <c r="K100">
        <v>4.78</v>
      </c>
      <c r="L100">
        <v>501</v>
      </c>
      <c r="M100">
        <v>851</v>
      </c>
      <c r="N100">
        <v>1352</v>
      </c>
      <c r="O100" s="1">
        <v>0.436</v>
      </c>
      <c r="P100" s="1">
        <v>0.32500000000000001</v>
      </c>
      <c r="Q100" s="1">
        <v>0.23899999999999999</v>
      </c>
      <c r="R100" s="1">
        <v>0.14499999999999999</v>
      </c>
      <c r="S100" s="1">
        <v>0.504</v>
      </c>
      <c r="T100" s="1">
        <v>0.35</v>
      </c>
      <c r="U100">
        <v>13345</v>
      </c>
    </row>
    <row r="101" spans="1:21" x14ac:dyDescent="0.3">
      <c r="A101" t="s">
        <v>128</v>
      </c>
      <c r="B101" t="s">
        <v>98</v>
      </c>
      <c r="C101">
        <v>0.23300000000000001</v>
      </c>
      <c r="D101">
        <v>1.47</v>
      </c>
      <c r="E101" s="1">
        <v>0.26500000000000001</v>
      </c>
      <c r="F101" s="1">
        <v>0.438</v>
      </c>
      <c r="G101" s="1">
        <v>0.29699999999999999</v>
      </c>
      <c r="H101" s="1">
        <v>0.109</v>
      </c>
      <c r="I101" s="1">
        <v>0.2</v>
      </c>
      <c r="J101">
        <v>30</v>
      </c>
      <c r="K101">
        <v>4.45</v>
      </c>
      <c r="L101">
        <v>317</v>
      </c>
      <c r="M101">
        <v>548</v>
      </c>
      <c r="N101">
        <v>865</v>
      </c>
      <c r="O101" s="1">
        <v>0.38500000000000001</v>
      </c>
      <c r="P101" s="1">
        <v>0.40600000000000003</v>
      </c>
      <c r="Q101" s="1">
        <v>0.20899999999999999</v>
      </c>
      <c r="R101" s="1">
        <v>0.107</v>
      </c>
      <c r="S101" s="1">
        <v>0.39</v>
      </c>
      <c r="T101" s="1">
        <v>0.503</v>
      </c>
      <c r="U101">
        <v>17181</v>
      </c>
    </row>
    <row r="102" spans="1:21" x14ac:dyDescent="0.3">
      <c r="A102" t="s">
        <v>165</v>
      </c>
      <c r="B102" t="s">
        <v>98</v>
      </c>
      <c r="C102">
        <v>0.35099999999999998</v>
      </c>
      <c r="D102">
        <v>1.46</v>
      </c>
      <c r="E102" s="1">
        <v>0.27800000000000002</v>
      </c>
      <c r="F102" s="1">
        <v>0.42899999999999999</v>
      </c>
      <c r="G102" s="1">
        <v>0.29299999999999998</v>
      </c>
      <c r="H102" s="1">
        <v>0.20499999999999999</v>
      </c>
      <c r="I102" s="1">
        <v>0.154</v>
      </c>
      <c r="J102">
        <v>33</v>
      </c>
      <c r="K102">
        <v>5.64</v>
      </c>
      <c r="L102">
        <v>317</v>
      </c>
      <c r="M102">
        <v>578</v>
      </c>
      <c r="N102">
        <v>895</v>
      </c>
      <c r="O102" s="1">
        <v>0.28499999999999998</v>
      </c>
      <c r="P102" s="1">
        <v>0.44500000000000001</v>
      </c>
      <c r="Q102" s="1">
        <v>0.27</v>
      </c>
      <c r="R102" s="1">
        <v>0.16800000000000001</v>
      </c>
      <c r="S102" s="1">
        <v>0.45300000000000001</v>
      </c>
      <c r="T102" s="1">
        <v>0.38</v>
      </c>
      <c r="U102">
        <v>12988</v>
      </c>
    </row>
    <row r="103" spans="1:21" x14ac:dyDescent="0.3">
      <c r="A103" t="s">
        <v>106</v>
      </c>
      <c r="B103" t="s">
        <v>75</v>
      </c>
      <c r="C103">
        <v>0.28199999999999997</v>
      </c>
      <c r="D103">
        <v>1.46</v>
      </c>
      <c r="E103" s="1">
        <v>0.17499999999999999</v>
      </c>
      <c r="F103" s="1">
        <v>0.49</v>
      </c>
      <c r="G103" s="1">
        <v>0.33500000000000002</v>
      </c>
      <c r="H103" s="1">
        <v>9.1999999999999998E-2</v>
      </c>
      <c r="I103" s="1">
        <v>0.123</v>
      </c>
      <c r="J103">
        <v>49</v>
      </c>
      <c r="K103">
        <v>6.45</v>
      </c>
      <c r="L103">
        <v>441</v>
      </c>
      <c r="M103">
        <v>740</v>
      </c>
      <c r="N103">
        <v>1181</v>
      </c>
      <c r="O103" s="1">
        <v>0.33700000000000002</v>
      </c>
      <c r="P103" s="1">
        <v>0.38300000000000001</v>
      </c>
      <c r="Q103" s="1">
        <v>0.28100000000000003</v>
      </c>
      <c r="R103" s="1">
        <v>0.14799999999999999</v>
      </c>
      <c r="S103" s="1">
        <v>0.495</v>
      </c>
      <c r="T103" s="1">
        <v>0.35699999999999998</v>
      </c>
      <c r="U103">
        <v>16943</v>
      </c>
    </row>
    <row r="104" spans="1:21" x14ac:dyDescent="0.3">
      <c r="A104" t="s">
        <v>361</v>
      </c>
      <c r="B104" t="s">
        <v>143</v>
      </c>
      <c r="C104">
        <v>0.318</v>
      </c>
      <c r="D104">
        <v>1.46</v>
      </c>
      <c r="E104" s="1">
        <v>0.222</v>
      </c>
      <c r="F104" s="1">
        <v>0.46100000000000002</v>
      </c>
      <c r="G104" s="1">
        <v>0.316</v>
      </c>
      <c r="H104" s="1">
        <v>8.4000000000000005E-2</v>
      </c>
      <c r="I104" s="1">
        <v>0.16</v>
      </c>
      <c r="J104">
        <v>85</v>
      </c>
      <c r="K104">
        <v>6.25</v>
      </c>
      <c r="L104">
        <v>739</v>
      </c>
      <c r="M104">
        <v>1308</v>
      </c>
      <c r="N104">
        <v>2047</v>
      </c>
      <c r="O104" s="1">
        <v>0.42399999999999999</v>
      </c>
      <c r="P104" s="1">
        <v>0.35699999999999998</v>
      </c>
      <c r="Q104" s="1">
        <v>0.219</v>
      </c>
      <c r="R104" s="1">
        <v>0.14299999999999999</v>
      </c>
      <c r="S104" s="1">
        <v>0.39800000000000002</v>
      </c>
      <c r="T104" s="1">
        <v>0.46</v>
      </c>
      <c r="U104">
        <v>17030</v>
      </c>
    </row>
    <row r="105" spans="1:21" x14ac:dyDescent="0.3">
      <c r="A105" t="s">
        <v>100</v>
      </c>
      <c r="B105" t="s">
        <v>77</v>
      </c>
      <c r="C105">
        <v>0.246</v>
      </c>
      <c r="D105">
        <v>1.46</v>
      </c>
      <c r="E105" s="1">
        <v>0.157</v>
      </c>
      <c r="F105" s="1">
        <v>0.5</v>
      </c>
      <c r="G105" s="1">
        <v>0.34300000000000003</v>
      </c>
      <c r="H105" s="1">
        <v>0.10199999999999999</v>
      </c>
      <c r="I105" s="1">
        <v>0.11899999999999999</v>
      </c>
      <c r="J105">
        <v>34</v>
      </c>
      <c r="K105">
        <v>4.78</v>
      </c>
      <c r="L105">
        <v>424</v>
      </c>
      <c r="M105">
        <v>685</v>
      </c>
      <c r="N105">
        <v>1109</v>
      </c>
      <c r="O105" s="1">
        <v>0.374</v>
      </c>
      <c r="P105" s="1">
        <v>0.39700000000000002</v>
      </c>
      <c r="Q105" s="1">
        <v>0.23</v>
      </c>
      <c r="R105" s="1">
        <v>0.253</v>
      </c>
      <c r="S105" s="1">
        <v>0.47699999999999998</v>
      </c>
      <c r="T105" s="1">
        <v>0.27</v>
      </c>
      <c r="U105">
        <v>6483</v>
      </c>
    </row>
    <row r="106" spans="1:21" x14ac:dyDescent="0.3">
      <c r="A106" t="s">
        <v>103</v>
      </c>
      <c r="B106" t="s">
        <v>53</v>
      </c>
      <c r="C106">
        <v>0.26200000000000001</v>
      </c>
      <c r="D106">
        <v>1.46</v>
      </c>
      <c r="E106" s="1">
        <v>0.19</v>
      </c>
      <c r="F106" s="1">
        <v>0.48</v>
      </c>
      <c r="G106" s="1">
        <v>0.33</v>
      </c>
      <c r="H106" s="1">
        <v>0.16600000000000001</v>
      </c>
      <c r="I106" s="1">
        <v>0.185</v>
      </c>
      <c r="J106">
        <v>142</v>
      </c>
      <c r="K106">
        <v>7.17</v>
      </c>
      <c r="L106">
        <v>878</v>
      </c>
      <c r="M106">
        <v>1794</v>
      </c>
      <c r="N106">
        <v>2672</v>
      </c>
      <c r="O106" s="1">
        <v>0.49199999999999999</v>
      </c>
      <c r="P106" s="1">
        <v>0.309</v>
      </c>
      <c r="Q106" s="1">
        <v>0.19900000000000001</v>
      </c>
      <c r="R106" s="1">
        <v>0.20300000000000001</v>
      </c>
      <c r="S106" s="1">
        <v>0.377</v>
      </c>
      <c r="T106" s="1">
        <v>0.41899999999999998</v>
      </c>
      <c r="U106">
        <v>2036</v>
      </c>
    </row>
    <row r="107" spans="1:21" x14ac:dyDescent="0.3">
      <c r="A107" t="s">
        <v>247</v>
      </c>
      <c r="B107" t="s">
        <v>40</v>
      </c>
      <c r="C107">
        <v>0.29299999999999998</v>
      </c>
      <c r="D107">
        <v>1.45</v>
      </c>
      <c r="E107" s="1">
        <v>0.19700000000000001</v>
      </c>
      <c r="F107" s="1">
        <v>0.47499999999999998</v>
      </c>
      <c r="G107" s="1">
        <v>0.32800000000000001</v>
      </c>
      <c r="H107" s="1">
        <v>0.11899999999999999</v>
      </c>
      <c r="I107" s="1">
        <v>0.151</v>
      </c>
      <c r="J107">
        <v>116</v>
      </c>
      <c r="K107">
        <v>5.74</v>
      </c>
      <c r="L107">
        <v>912</v>
      </c>
      <c r="M107">
        <v>1875</v>
      </c>
      <c r="N107">
        <v>2787</v>
      </c>
      <c r="O107" s="1">
        <v>0.47899999999999998</v>
      </c>
      <c r="P107" s="1">
        <v>0.30099999999999999</v>
      </c>
      <c r="Q107" s="1">
        <v>0.22</v>
      </c>
      <c r="R107" s="1">
        <v>0.16400000000000001</v>
      </c>
      <c r="S107" s="1">
        <v>0.44500000000000001</v>
      </c>
      <c r="T107" s="1">
        <v>0.39100000000000001</v>
      </c>
      <c r="U107">
        <v>15764</v>
      </c>
    </row>
    <row r="108" spans="1:21" x14ac:dyDescent="0.3">
      <c r="A108" t="s">
        <v>276</v>
      </c>
      <c r="B108" t="s">
        <v>146</v>
      </c>
      <c r="C108">
        <v>0.26900000000000002</v>
      </c>
      <c r="D108">
        <v>1.44</v>
      </c>
      <c r="E108" s="1">
        <v>0.17399999999999999</v>
      </c>
      <c r="F108" s="1">
        <v>0.48799999999999999</v>
      </c>
      <c r="G108" s="1">
        <v>0.33800000000000002</v>
      </c>
      <c r="H108" s="1">
        <v>0.14299999999999999</v>
      </c>
      <c r="I108" s="1">
        <v>0.14299999999999999</v>
      </c>
      <c r="J108">
        <v>24</v>
      </c>
      <c r="K108">
        <v>2.95</v>
      </c>
      <c r="L108">
        <v>488</v>
      </c>
      <c r="M108">
        <v>744</v>
      </c>
      <c r="N108">
        <v>1232</v>
      </c>
      <c r="O108" s="1">
        <v>0.38600000000000001</v>
      </c>
      <c r="P108" s="1">
        <v>0.43</v>
      </c>
      <c r="Q108" s="1">
        <v>0.184</v>
      </c>
      <c r="R108" s="1">
        <v>0.24199999999999999</v>
      </c>
      <c r="S108" s="1">
        <v>0.45900000000000002</v>
      </c>
      <c r="T108" s="1">
        <v>0.3</v>
      </c>
      <c r="U108">
        <v>15684</v>
      </c>
    </row>
    <row r="109" spans="1:21" x14ac:dyDescent="0.3">
      <c r="A109" t="s">
        <v>237</v>
      </c>
      <c r="B109" t="s">
        <v>62</v>
      </c>
      <c r="C109">
        <v>0.28199999999999997</v>
      </c>
      <c r="D109">
        <v>1.44</v>
      </c>
      <c r="E109" s="1">
        <v>0.2</v>
      </c>
      <c r="F109" s="1">
        <v>0.47199999999999998</v>
      </c>
      <c r="G109" s="1">
        <v>0.32800000000000001</v>
      </c>
      <c r="H109" s="1">
        <v>8.5000000000000006E-2</v>
      </c>
      <c r="I109" s="1">
        <v>0.22</v>
      </c>
      <c r="J109">
        <v>46</v>
      </c>
      <c r="K109">
        <v>6.68</v>
      </c>
      <c r="L109">
        <v>421</v>
      </c>
      <c r="M109">
        <v>632</v>
      </c>
      <c r="N109">
        <v>1053</v>
      </c>
      <c r="O109" s="1">
        <v>0.36099999999999999</v>
      </c>
      <c r="P109" s="1">
        <v>0.38800000000000001</v>
      </c>
      <c r="Q109" s="1">
        <v>0.251</v>
      </c>
      <c r="R109" s="1">
        <v>0.191</v>
      </c>
      <c r="S109" s="1">
        <v>0.41499999999999998</v>
      </c>
      <c r="T109" s="1">
        <v>0.39300000000000002</v>
      </c>
      <c r="U109">
        <v>6984</v>
      </c>
    </row>
    <row r="110" spans="1:21" x14ac:dyDescent="0.3">
      <c r="A110" t="s">
        <v>387</v>
      </c>
      <c r="B110" t="s">
        <v>26</v>
      </c>
      <c r="C110">
        <v>0.32600000000000001</v>
      </c>
      <c r="D110">
        <v>1.44</v>
      </c>
      <c r="E110" s="1">
        <v>0.254</v>
      </c>
      <c r="F110" s="1">
        <v>0.44</v>
      </c>
      <c r="G110" s="1">
        <v>0.30599999999999999</v>
      </c>
      <c r="H110" s="1">
        <v>8.5000000000000006E-2</v>
      </c>
      <c r="I110" s="1">
        <v>0.20300000000000001</v>
      </c>
      <c r="J110">
        <v>25</v>
      </c>
      <c r="K110">
        <v>3.95</v>
      </c>
      <c r="L110">
        <v>357</v>
      </c>
      <c r="M110">
        <v>601</v>
      </c>
      <c r="N110">
        <v>958</v>
      </c>
      <c r="O110" s="1">
        <v>0.437</v>
      </c>
      <c r="P110" s="1">
        <v>0.29599999999999999</v>
      </c>
      <c r="Q110" s="1">
        <v>0.26600000000000001</v>
      </c>
      <c r="R110" s="1">
        <v>0.161</v>
      </c>
      <c r="S110" s="1">
        <v>0.46700000000000003</v>
      </c>
      <c r="T110" s="1">
        <v>0.372</v>
      </c>
      <c r="U110">
        <v>20395</v>
      </c>
    </row>
    <row r="111" spans="1:21" x14ac:dyDescent="0.3">
      <c r="A111" t="s">
        <v>279</v>
      </c>
      <c r="B111" t="s">
        <v>77</v>
      </c>
      <c r="C111">
        <v>0.32600000000000001</v>
      </c>
      <c r="D111">
        <v>1.44</v>
      </c>
      <c r="E111" s="1">
        <v>0.246</v>
      </c>
      <c r="F111" s="1">
        <v>0.44500000000000001</v>
      </c>
      <c r="G111" s="1">
        <v>0.31</v>
      </c>
      <c r="H111" s="1">
        <v>7.9000000000000001E-2</v>
      </c>
      <c r="I111" s="1">
        <v>0.121</v>
      </c>
      <c r="J111">
        <v>120</v>
      </c>
      <c r="K111">
        <v>6.32</v>
      </c>
      <c r="L111">
        <v>1063</v>
      </c>
      <c r="M111">
        <v>1763</v>
      </c>
      <c r="N111">
        <v>2826</v>
      </c>
      <c r="O111" s="1">
        <v>0.373</v>
      </c>
      <c r="P111" s="1">
        <v>0.377</v>
      </c>
      <c r="Q111" s="1">
        <v>0.25</v>
      </c>
      <c r="R111" s="1">
        <v>0.16500000000000001</v>
      </c>
      <c r="S111" s="1">
        <v>0.45200000000000001</v>
      </c>
      <c r="T111" s="1">
        <v>0.38200000000000001</v>
      </c>
      <c r="U111">
        <v>11423</v>
      </c>
    </row>
    <row r="112" spans="1:21" x14ac:dyDescent="0.3">
      <c r="A112" t="s">
        <v>158</v>
      </c>
      <c r="B112" t="s">
        <v>159</v>
      </c>
      <c r="C112">
        <v>0.30299999999999999</v>
      </c>
      <c r="D112">
        <v>1.43</v>
      </c>
      <c r="E112" s="1">
        <v>0.19800000000000001</v>
      </c>
      <c r="F112" s="1">
        <v>0.47299999999999998</v>
      </c>
      <c r="G112" s="1">
        <v>0.33</v>
      </c>
      <c r="H112" s="1">
        <v>0.1</v>
      </c>
      <c r="I112" s="1">
        <v>0.13300000000000001</v>
      </c>
      <c r="J112">
        <v>35</v>
      </c>
      <c r="K112">
        <v>4.66</v>
      </c>
      <c r="L112">
        <v>442</v>
      </c>
      <c r="M112">
        <v>715</v>
      </c>
      <c r="N112">
        <v>1157</v>
      </c>
      <c r="O112" s="1">
        <v>0.40899999999999997</v>
      </c>
      <c r="P112" s="1">
        <v>0.376</v>
      </c>
      <c r="Q112" s="1">
        <v>0.215</v>
      </c>
      <c r="R112" s="1">
        <v>0.156</v>
      </c>
      <c r="S112" s="1">
        <v>0.435</v>
      </c>
      <c r="T112" s="1">
        <v>0.40899999999999997</v>
      </c>
      <c r="U112">
        <v>14814</v>
      </c>
    </row>
    <row r="113" spans="1:21" x14ac:dyDescent="0.3">
      <c r="A113" t="s">
        <v>171</v>
      </c>
      <c r="B113" t="s">
        <v>77</v>
      </c>
      <c r="C113">
        <v>0.315</v>
      </c>
      <c r="D113">
        <v>1.43</v>
      </c>
      <c r="E113" s="1">
        <v>0.19800000000000001</v>
      </c>
      <c r="F113" s="1">
        <v>0.47299999999999998</v>
      </c>
      <c r="G113" s="1">
        <v>0.33</v>
      </c>
      <c r="H113" s="1">
        <v>9.8000000000000004E-2</v>
      </c>
      <c r="I113" s="1">
        <v>0.129</v>
      </c>
      <c r="J113">
        <v>81</v>
      </c>
      <c r="K113">
        <v>5.15</v>
      </c>
      <c r="L113">
        <v>874</v>
      </c>
      <c r="M113">
        <v>1520</v>
      </c>
      <c r="N113">
        <v>2394</v>
      </c>
      <c r="O113" s="1">
        <v>0.42299999999999999</v>
      </c>
      <c r="P113" s="1">
        <v>0.36199999999999999</v>
      </c>
      <c r="Q113" s="1">
        <v>0.215</v>
      </c>
      <c r="R113" s="1">
        <v>0.13400000000000001</v>
      </c>
      <c r="S113" s="1">
        <v>0.501</v>
      </c>
      <c r="T113" s="1">
        <v>0.36399999999999999</v>
      </c>
      <c r="U113">
        <v>4972</v>
      </c>
    </row>
    <row r="114" spans="1:21" x14ac:dyDescent="0.3">
      <c r="A114" t="s">
        <v>391</v>
      </c>
      <c r="B114" t="s">
        <v>62</v>
      </c>
      <c r="C114">
        <v>0.27500000000000002</v>
      </c>
      <c r="D114">
        <v>1.43</v>
      </c>
      <c r="E114" s="1">
        <v>0.27300000000000002</v>
      </c>
      <c r="F114" s="1">
        <v>0.42799999999999999</v>
      </c>
      <c r="G114" s="1">
        <v>0.29899999999999999</v>
      </c>
      <c r="H114" s="1">
        <v>6.9000000000000006E-2</v>
      </c>
      <c r="I114" s="1">
        <v>0.224</v>
      </c>
      <c r="J114">
        <v>35</v>
      </c>
      <c r="K114">
        <v>5.28</v>
      </c>
      <c r="L114">
        <v>393</v>
      </c>
      <c r="M114">
        <v>606</v>
      </c>
      <c r="N114">
        <v>999</v>
      </c>
      <c r="O114" s="1">
        <v>0.45600000000000002</v>
      </c>
      <c r="P114" s="1">
        <v>0.33300000000000002</v>
      </c>
      <c r="Q114" s="1">
        <v>0.21</v>
      </c>
      <c r="R114" s="1">
        <v>9.1999999999999998E-2</v>
      </c>
      <c r="S114" s="1">
        <v>0.48199999999999998</v>
      </c>
      <c r="T114" s="1">
        <v>0.42599999999999999</v>
      </c>
      <c r="U114">
        <v>11713</v>
      </c>
    </row>
    <row r="115" spans="1:21" x14ac:dyDescent="0.3">
      <c r="A115" t="s">
        <v>110</v>
      </c>
      <c r="B115" t="s">
        <v>62</v>
      </c>
      <c r="C115">
        <v>0.253</v>
      </c>
      <c r="D115">
        <v>1.43</v>
      </c>
      <c r="E115" s="1">
        <v>0.19</v>
      </c>
      <c r="F115" s="1">
        <v>0.47599999999999998</v>
      </c>
      <c r="G115" s="1">
        <v>0.33300000000000002</v>
      </c>
      <c r="H115" s="1">
        <v>7.0999999999999994E-2</v>
      </c>
      <c r="I115" s="1">
        <v>0.125</v>
      </c>
      <c r="J115">
        <v>40</v>
      </c>
      <c r="K115">
        <v>5.87</v>
      </c>
      <c r="L115">
        <v>386</v>
      </c>
      <c r="M115">
        <v>635</v>
      </c>
      <c r="N115">
        <v>1021</v>
      </c>
      <c r="O115" s="1">
        <v>0.36099999999999999</v>
      </c>
      <c r="P115" s="1">
        <v>0.34300000000000003</v>
      </c>
      <c r="Q115" s="1">
        <v>0.29599999999999999</v>
      </c>
      <c r="R115" s="1">
        <v>0.16</v>
      </c>
      <c r="S115" s="1">
        <v>0.432</v>
      </c>
      <c r="T115" s="1">
        <v>0.40799999999999997</v>
      </c>
      <c r="U115">
        <v>13360</v>
      </c>
    </row>
    <row r="116" spans="1:21" x14ac:dyDescent="0.3">
      <c r="A116" t="s">
        <v>224</v>
      </c>
      <c r="B116" t="s">
        <v>58</v>
      </c>
      <c r="C116">
        <v>0.30099999999999999</v>
      </c>
      <c r="D116">
        <v>1.43</v>
      </c>
      <c r="E116" s="1">
        <v>0.19800000000000001</v>
      </c>
      <c r="F116" s="1">
        <v>0.47099999999999997</v>
      </c>
      <c r="G116" s="1">
        <v>0.33</v>
      </c>
      <c r="H116" s="1">
        <v>6.5000000000000002E-2</v>
      </c>
      <c r="I116" s="1">
        <v>0.17399999999999999</v>
      </c>
      <c r="J116">
        <v>84</v>
      </c>
      <c r="K116">
        <v>4.72</v>
      </c>
      <c r="L116">
        <v>963</v>
      </c>
      <c r="M116">
        <v>1739</v>
      </c>
      <c r="N116">
        <v>2702</v>
      </c>
      <c r="O116" s="1">
        <v>0.38</v>
      </c>
      <c r="P116" s="1">
        <v>0.35099999999999998</v>
      </c>
      <c r="Q116" s="1">
        <v>0.26900000000000002</v>
      </c>
      <c r="R116" s="1">
        <v>0.17100000000000001</v>
      </c>
      <c r="S116" s="1">
        <v>0.46300000000000002</v>
      </c>
      <c r="T116" s="1">
        <v>0.36499999999999999</v>
      </c>
      <c r="U116">
        <v>13361</v>
      </c>
    </row>
    <row r="117" spans="1:21" x14ac:dyDescent="0.3">
      <c r="A117" t="s">
        <v>359</v>
      </c>
      <c r="B117" t="s">
        <v>159</v>
      </c>
      <c r="C117">
        <v>0.34399999999999997</v>
      </c>
      <c r="D117">
        <v>1.42</v>
      </c>
      <c r="E117" s="1">
        <v>0.188</v>
      </c>
      <c r="F117" s="1">
        <v>0.47699999999999998</v>
      </c>
      <c r="G117" s="1">
        <v>0.33500000000000002</v>
      </c>
      <c r="H117" s="1">
        <v>6.0999999999999999E-2</v>
      </c>
      <c r="I117" s="1">
        <v>0.13600000000000001</v>
      </c>
      <c r="J117">
        <v>15</v>
      </c>
      <c r="K117">
        <v>2.34</v>
      </c>
      <c r="L117">
        <v>422</v>
      </c>
      <c r="M117">
        <v>688</v>
      </c>
      <c r="N117">
        <v>1110</v>
      </c>
      <c r="O117" s="1">
        <v>0.313</v>
      </c>
      <c r="P117" s="1">
        <v>0.38900000000000001</v>
      </c>
      <c r="Q117" s="1">
        <v>0.29799999999999999</v>
      </c>
      <c r="R117" s="1">
        <v>0.17199999999999999</v>
      </c>
      <c r="S117" s="1">
        <v>0.379</v>
      </c>
      <c r="T117" s="1">
        <v>0.44900000000000001</v>
      </c>
      <c r="U117">
        <v>19677</v>
      </c>
    </row>
    <row r="118" spans="1:21" x14ac:dyDescent="0.3">
      <c r="A118" t="s">
        <v>206</v>
      </c>
      <c r="B118" t="s">
        <v>48</v>
      </c>
      <c r="C118">
        <v>0.313</v>
      </c>
      <c r="D118">
        <v>1.42</v>
      </c>
      <c r="E118" s="1">
        <v>0.23599999999999999</v>
      </c>
      <c r="F118" s="1">
        <v>0.44800000000000001</v>
      </c>
      <c r="G118" s="1">
        <v>0.315</v>
      </c>
      <c r="H118" s="1">
        <v>1.9E-2</v>
      </c>
      <c r="I118" s="1">
        <v>9.6000000000000002E-2</v>
      </c>
      <c r="J118">
        <v>31</v>
      </c>
      <c r="K118">
        <v>5.04</v>
      </c>
      <c r="L118">
        <v>350</v>
      </c>
      <c r="M118">
        <v>573</v>
      </c>
      <c r="N118">
        <v>923</v>
      </c>
      <c r="O118" s="1">
        <v>0.41199999999999998</v>
      </c>
      <c r="P118" s="1">
        <v>0.33900000000000002</v>
      </c>
      <c r="Q118" s="1">
        <v>0.248</v>
      </c>
      <c r="R118" s="1">
        <v>0.188</v>
      </c>
      <c r="S118" s="1">
        <v>0.47299999999999998</v>
      </c>
      <c r="T118" s="1">
        <v>0.33900000000000002</v>
      </c>
      <c r="U118">
        <v>7947</v>
      </c>
    </row>
    <row r="119" spans="1:21" x14ac:dyDescent="0.3">
      <c r="A119" t="s">
        <v>342</v>
      </c>
      <c r="B119" t="s">
        <v>93</v>
      </c>
      <c r="C119">
        <v>0.34499999999999997</v>
      </c>
      <c r="D119">
        <v>1.42</v>
      </c>
      <c r="E119" s="1">
        <v>0.24199999999999999</v>
      </c>
      <c r="F119" s="1">
        <v>0.44400000000000001</v>
      </c>
      <c r="G119" s="1">
        <v>0.313</v>
      </c>
      <c r="H119" s="1">
        <v>0.14499999999999999</v>
      </c>
      <c r="I119" s="1">
        <v>0.113</v>
      </c>
      <c r="J119">
        <v>42</v>
      </c>
      <c r="K119">
        <v>5.91</v>
      </c>
      <c r="L119">
        <v>443</v>
      </c>
      <c r="M119">
        <v>695</v>
      </c>
      <c r="N119">
        <v>1138</v>
      </c>
      <c r="O119" s="1">
        <v>0.38800000000000001</v>
      </c>
      <c r="P119" s="1">
        <v>0.36799999999999999</v>
      </c>
      <c r="Q119" s="1">
        <v>0.24399999999999999</v>
      </c>
      <c r="R119" s="1">
        <v>0.20899999999999999</v>
      </c>
      <c r="S119" s="1">
        <v>0.47299999999999998</v>
      </c>
      <c r="T119" s="1">
        <v>0.318</v>
      </c>
      <c r="U119">
        <v>12972</v>
      </c>
    </row>
    <row r="120" spans="1:21" x14ac:dyDescent="0.3">
      <c r="A120" t="s">
        <v>278</v>
      </c>
      <c r="B120" t="s">
        <v>48</v>
      </c>
      <c r="C120">
        <v>0.28000000000000003</v>
      </c>
      <c r="D120">
        <v>1.42</v>
      </c>
      <c r="E120" s="1">
        <v>0.17299999999999999</v>
      </c>
      <c r="F120" s="1">
        <v>0.48499999999999999</v>
      </c>
      <c r="G120" s="1">
        <v>0.34200000000000003</v>
      </c>
      <c r="H120" s="1">
        <v>5.7000000000000002E-2</v>
      </c>
      <c r="I120" s="1">
        <v>0.12</v>
      </c>
      <c r="J120">
        <v>115</v>
      </c>
      <c r="K120">
        <v>6.9</v>
      </c>
      <c r="L120">
        <v>981</v>
      </c>
      <c r="M120">
        <v>1530</v>
      </c>
      <c r="N120">
        <v>2511</v>
      </c>
      <c r="O120" s="1">
        <v>0.36099999999999999</v>
      </c>
      <c r="P120" s="1">
        <v>0.36699999999999999</v>
      </c>
      <c r="Q120" s="1">
        <v>0.27300000000000002</v>
      </c>
      <c r="R120" s="1">
        <v>0.14199999999999999</v>
      </c>
      <c r="S120" s="1">
        <v>0.48299999999999998</v>
      </c>
      <c r="T120" s="1">
        <v>0.376</v>
      </c>
      <c r="U120">
        <v>8782</v>
      </c>
    </row>
    <row r="121" spans="1:21" x14ac:dyDescent="0.3">
      <c r="A121" t="s">
        <v>386</v>
      </c>
      <c r="B121" t="s">
        <v>46</v>
      </c>
      <c r="C121">
        <v>0.308</v>
      </c>
      <c r="D121">
        <v>1.42</v>
      </c>
      <c r="E121" s="1">
        <v>0.20599999999999999</v>
      </c>
      <c r="F121" s="1">
        <v>0.46600000000000003</v>
      </c>
      <c r="G121" s="1">
        <v>0.32900000000000001</v>
      </c>
      <c r="H121" s="1">
        <v>7.8E-2</v>
      </c>
      <c r="I121" s="1">
        <v>0.217</v>
      </c>
      <c r="J121">
        <v>68</v>
      </c>
      <c r="K121">
        <v>5.87</v>
      </c>
      <c r="L121">
        <v>641</v>
      </c>
      <c r="M121">
        <v>1139</v>
      </c>
      <c r="N121">
        <v>1780</v>
      </c>
      <c r="O121" s="1">
        <v>0.46500000000000002</v>
      </c>
      <c r="P121" s="1">
        <v>0.34799999999999998</v>
      </c>
      <c r="Q121" s="1">
        <v>0.187</v>
      </c>
      <c r="R121" s="1">
        <v>0.156</v>
      </c>
      <c r="S121" s="1">
        <v>0.439</v>
      </c>
      <c r="T121" s="1">
        <v>0.40500000000000003</v>
      </c>
      <c r="U121">
        <v>16256</v>
      </c>
    </row>
    <row r="122" spans="1:21" x14ac:dyDescent="0.3">
      <c r="A122" t="s">
        <v>44</v>
      </c>
      <c r="B122" t="s">
        <v>40</v>
      </c>
      <c r="C122">
        <v>0.28899999999999998</v>
      </c>
      <c r="D122">
        <v>1.42</v>
      </c>
      <c r="E122" s="1">
        <v>0.28100000000000003</v>
      </c>
      <c r="F122" s="1">
        <v>0.42099999999999999</v>
      </c>
      <c r="G122" s="1">
        <v>0.29799999999999999</v>
      </c>
      <c r="H122" s="1">
        <v>0.16700000000000001</v>
      </c>
      <c r="I122" s="1">
        <v>8.3000000000000004E-2</v>
      </c>
      <c r="J122">
        <v>8</v>
      </c>
      <c r="K122">
        <v>1.26</v>
      </c>
      <c r="L122">
        <v>350</v>
      </c>
      <c r="M122">
        <v>639</v>
      </c>
      <c r="N122">
        <v>989</v>
      </c>
      <c r="O122" s="1">
        <v>0.42299999999999999</v>
      </c>
      <c r="P122" s="1">
        <v>0.33300000000000002</v>
      </c>
      <c r="Q122" s="1">
        <v>0.24399999999999999</v>
      </c>
      <c r="R122" s="1">
        <v>0.187</v>
      </c>
      <c r="S122" s="1">
        <v>0.47199999999999998</v>
      </c>
      <c r="T122" s="1">
        <v>0.34100000000000003</v>
      </c>
      <c r="U122">
        <v>10233</v>
      </c>
    </row>
    <row r="123" spans="1:21" x14ac:dyDescent="0.3">
      <c r="A123" t="s">
        <v>134</v>
      </c>
      <c r="B123" t="s">
        <v>71</v>
      </c>
      <c r="C123">
        <v>0.27700000000000002</v>
      </c>
      <c r="D123">
        <v>1.42</v>
      </c>
      <c r="E123" s="1">
        <v>0.24099999999999999</v>
      </c>
      <c r="F123" s="1">
        <v>0.44500000000000001</v>
      </c>
      <c r="G123" s="1">
        <v>0.314</v>
      </c>
      <c r="H123" s="1">
        <v>0.104</v>
      </c>
      <c r="I123" s="1">
        <v>0.11700000000000001</v>
      </c>
      <c r="J123">
        <v>29</v>
      </c>
      <c r="K123">
        <v>2.99</v>
      </c>
      <c r="L123">
        <v>625</v>
      </c>
      <c r="M123">
        <v>876</v>
      </c>
      <c r="N123">
        <v>1501</v>
      </c>
      <c r="O123" s="1">
        <v>0.41799999999999998</v>
      </c>
      <c r="P123" s="1">
        <v>0.38600000000000001</v>
      </c>
      <c r="Q123" s="1">
        <v>0.19500000000000001</v>
      </c>
      <c r="R123" s="1">
        <v>0.14299999999999999</v>
      </c>
      <c r="S123" s="1">
        <v>0.53400000000000003</v>
      </c>
      <c r="T123" s="1">
        <v>0.32300000000000001</v>
      </c>
      <c r="U123">
        <v>7448</v>
      </c>
    </row>
    <row r="124" spans="1:21" x14ac:dyDescent="0.3">
      <c r="A124" t="s">
        <v>378</v>
      </c>
      <c r="B124" t="s">
        <v>193</v>
      </c>
      <c r="C124">
        <v>0.309</v>
      </c>
      <c r="D124">
        <v>1.4</v>
      </c>
      <c r="E124" s="1">
        <v>0.17399999999999999</v>
      </c>
      <c r="F124" s="1">
        <v>0.48099999999999998</v>
      </c>
      <c r="G124" s="1">
        <v>0.34499999999999997</v>
      </c>
      <c r="H124" s="1">
        <v>8.5999999999999993E-2</v>
      </c>
      <c r="I124" s="1">
        <v>0.21</v>
      </c>
      <c r="J124">
        <v>41</v>
      </c>
      <c r="K124">
        <v>5.15</v>
      </c>
      <c r="L124">
        <v>449</v>
      </c>
      <c r="M124">
        <v>767</v>
      </c>
      <c r="N124">
        <v>1216</v>
      </c>
      <c r="O124" s="1">
        <v>0.51900000000000002</v>
      </c>
      <c r="P124" s="1">
        <v>0.35</v>
      </c>
      <c r="Q124" s="1">
        <v>0.13100000000000001</v>
      </c>
      <c r="R124" s="1">
        <v>0.13900000000000001</v>
      </c>
      <c r="S124" s="1">
        <v>0.45600000000000002</v>
      </c>
      <c r="T124" s="1">
        <v>0.40500000000000003</v>
      </c>
      <c r="U124">
        <v>4772</v>
      </c>
    </row>
    <row r="125" spans="1:21" x14ac:dyDescent="0.3">
      <c r="A125" t="s">
        <v>149</v>
      </c>
      <c r="B125" t="s">
        <v>71</v>
      </c>
      <c r="C125">
        <v>0.32</v>
      </c>
      <c r="D125">
        <v>1.39</v>
      </c>
      <c r="E125" s="1">
        <v>0.23400000000000001</v>
      </c>
      <c r="F125" s="1">
        <v>0.44600000000000001</v>
      </c>
      <c r="G125" s="1">
        <v>0.32100000000000001</v>
      </c>
      <c r="H125" s="1">
        <v>0.05</v>
      </c>
      <c r="I125" s="1">
        <v>0.12</v>
      </c>
      <c r="J125">
        <v>91</v>
      </c>
      <c r="K125">
        <v>6.73</v>
      </c>
      <c r="L125">
        <v>652</v>
      </c>
      <c r="M125">
        <v>1327</v>
      </c>
      <c r="N125">
        <v>1979</v>
      </c>
      <c r="O125" s="1">
        <v>0.34300000000000003</v>
      </c>
      <c r="P125" s="1">
        <v>0.36799999999999999</v>
      </c>
      <c r="Q125" s="1">
        <v>0.28899999999999998</v>
      </c>
      <c r="R125" s="1">
        <v>0.19700000000000001</v>
      </c>
      <c r="S125" s="1">
        <v>0.438</v>
      </c>
      <c r="T125" s="1">
        <v>0.36499999999999999</v>
      </c>
      <c r="U125">
        <v>16162</v>
      </c>
    </row>
    <row r="126" spans="1:21" x14ac:dyDescent="0.3">
      <c r="A126" t="s">
        <v>230</v>
      </c>
      <c r="B126" t="s">
        <v>48</v>
      </c>
      <c r="C126">
        <v>0.29499999999999998</v>
      </c>
      <c r="D126">
        <v>1.39</v>
      </c>
      <c r="E126" s="1">
        <v>0.19400000000000001</v>
      </c>
      <c r="F126" s="1">
        <v>0.46800000000000003</v>
      </c>
      <c r="G126" s="1">
        <v>0.33800000000000002</v>
      </c>
      <c r="H126" s="1">
        <v>8.4000000000000005E-2</v>
      </c>
      <c r="I126" s="1">
        <v>0.182</v>
      </c>
      <c r="J126">
        <v>122</v>
      </c>
      <c r="K126">
        <v>5.57</v>
      </c>
      <c r="L126">
        <v>949</v>
      </c>
      <c r="M126">
        <v>2026</v>
      </c>
      <c r="N126">
        <v>2975</v>
      </c>
      <c r="O126" s="1">
        <v>0.42499999999999999</v>
      </c>
      <c r="P126" s="1">
        <v>0.36099999999999999</v>
      </c>
      <c r="Q126" s="1">
        <v>0.215</v>
      </c>
      <c r="R126" s="1">
        <v>0.14299999999999999</v>
      </c>
      <c r="S126" s="1">
        <v>0.44600000000000001</v>
      </c>
      <c r="T126" s="1">
        <v>0.41099999999999998</v>
      </c>
      <c r="U126">
        <v>10130</v>
      </c>
    </row>
    <row r="127" spans="1:21" x14ac:dyDescent="0.3">
      <c r="A127" t="s">
        <v>25</v>
      </c>
      <c r="B127" t="s">
        <v>26</v>
      </c>
      <c r="C127">
        <v>0.32500000000000001</v>
      </c>
      <c r="D127">
        <v>1.38</v>
      </c>
      <c r="E127" s="1">
        <v>0.17399999999999999</v>
      </c>
      <c r="F127" s="1">
        <v>0.47899999999999998</v>
      </c>
      <c r="G127" s="1">
        <v>0.34699999999999998</v>
      </c>
      <c r="H127" s="1">
        <v>7.0999999999999994E-2</v>
      </c>
      <c r="I127" s="1">
        <v>4.8000000000000001E-2</v>
      </c>
      <c r="J127">
        <v>1</v>
      </c>
      <c r="K127">
        <v>0.15</v>
      </c>
      <c r="L127">
        <v>344</v>
      </c>
      <c r="M127">
        <v>677</v>
      </c>
      <c r="N127">
        <v>1021</v>
      </c>
      <c r="O127" s="1">
        <v>0.42599999999999999</v>
      </c>
      <c r="P127" s="1">
        <v>0.33600000000000002</v>
      </c>
      <c r="Q127" s="1">
        <v>0.23799999999999999</v>
      </c>
      <c r="R127" s="1">
        <v>0.189</v>
      </c>
      <c r="S127" s="1">
        <v>0.38500000000000001</v>
      </c>
      <c r="T127" s="1">
        <v>0.42599999999999999</v>
      </c>
      <c r="U127">
        <v>9073</v>
      </c>
    </row>
    <row r="128" spans="1:21" x14ac:dyDescent="0.3">
      <c r="A128" t="s">
        <v>141</v>
      </c>
      <c r="B128" t="s">
        <v>98</v>
      </c>
      <c r="C128">
        <v>0.249</v>
      </c>
      <c r="D128">
        <v>1.38</v>
      </c>
      <c r="E128" s="1">
        <v>0.16900000000000001</v>
      </c>
      <c r="F128" s="1">
        <v>0.48099999999999998</v>
      </c>
      <c r="G128" s="1">
        <v>0.35</v>
      </c>
      <c r="H128" s="1">
        <v>9.4E-2</v>
      </c>
      <c r="I128" s="1">
        <v>0.16500000000000001</v>
      </c>
      <c r="J128">
        <v>50</v>
      </c>
      <c r="K128">
        <v>5.4</v>
      </c>
      <c r="L128">
        <v>473</v>
      </c>
      <c r="M128">
        <v>852</v>
      </c>
      <c r="N128">
        <v>1325</v>
      </c>
      <c r="O128" s="1">
        <v>0.49399999999999999</v>
      </c>
      <c r="P128" s="1">
        <v>0.32</v>
      </c>
      <c r="Q128" s="1">
        <v>0.186</v>
      </c>
      <c r="R128" s="1">
        <v>0.13400000000000001</v>
      </c>
      <c r="S128" s="1">
        <v>0.44500000000000001</v>
      </c>
      <c r="T128" s="1">
        <v>0.42099999999999999</v>
      </c>
      <c r="U128">
        <v>18333</v>
      </c>
    </row>
    <row r="129" spans="1:21" x14ac:dyDescent="0.3">
      <c r="A129" t="s">
        <v>91</v>
      </c>
      <c r="B129" t="s">
        <v>89</v>
      </c>
      <c r="C129">
        <v>0.26900000000000002</v>
      </c>
      <c r="D129">
        <v>1.38</v>
      </c>
      <c r="E129" s="1">
        <v>0.23300000000000001</v>
      </c>
      <c r="F129" s="1">
        <v>0.44400000000000001</v>
      </c>
      <c r="G129" s="1">
        <v>0.32300000000000001</v>
      </c>
      <c r="H129" s="1">
        <v>6.9000000000000006E-2</v>
      </c>
      <c r="I129" s="1">
        <v>0.125</v>
      </c>
      <c r="J129">
        <v>41</v>
      </c>
      <c r="K129">
        <v>4.43</v>
      </c>
      <c r="L129">
        <v>494</v>
      </c>
      <c r="M129">
        <v>841</v>
      </c>
      <c r="N129">
        <v>1335</v>
      </c>
      <c r="O129" s="1">
        <v>0.373</v>
      </c>
      <c r="P129" s="1">
        <v>0.32</v>
      </c>
      <c r="Q129" s="1">
        <v>0.307</v>
      </c>
      <c r="R129" s="1">
        <v>0.17100000000000001</v>
      </c>
      <c r="S129" s="1">
        <v>0.5</v>
      </c>
      <c r="T129" s="1">
        <v>0.32900000000000001</v>
      </c>
      <c r="U129">
        <v>14843</v>
      </c>
    </row>
    <row r="130" spans="1:21" x14ac:dyDescent="0.3">
      <c r="A130" t="s">
        <v>337</v>
      </c>
      <c r="B130" t="s">
        <v>95</v>
      </c>
      <c r="C130">
        <v>0.309</v>
      </c>
      <c r="D130">
        <v>1.37</v>
      </c>
      <c r="E130" s="1">
        <v>0.252</v>
      </c>
      <c r="F130" s="1">
        <v>0.433</v>
      </c>
      <c r="G130" s="1">
        <v>0.316</v>
      </c>
      <c r="H130" s="1">
        <v>0.09</v>
      </c>
      <c r="I130" s="1">
        <v>0.22500000000000001</v>
      </c>
      <c r="J130">
        <v>44</v>
      </c>
      <c r="K130">
        <v>4.2300000000000004</v>
      </c>
      <c r="L130">
        <v>602</v>
      </c>
      <c r="M130">
        <v>1017</v>
      </c>
      <c r="N130">
        <v>1619</v>
      </c>
      <c r="O130" s="1">
        <v>0.38800000000000001</v>
      </c>
      <c r="P130" s="1">
        <v>0.32900000000000001</v>
      </c>
      <c r="Q130" s="1">
        <v>0.28399999999999997</v>
      </c>
      <c r="R130" s="1">
        <v>0.187</v>
      </c>
      <c r="S130" s="1">
        <v>0.41499999999999998</v>
      </c>
      <c r="T130" s="1">
        <v>0.39800000000000002</v>
      </c>
      <c r="U130">
        <v>15454</v>
      </c>
    </row>
    <row r="131" spans="1:21" x14ac:dyDescent="0.3">
      <c r="A131" t="s">
        <v>207</v>
      </c>
      <c r="B131" t="s">
        <v>159</v>
      </c>
      <c r="C131">
        <v>0.28599999999999998</v>
      </c>
      <c r="D131">
        <v>1.37</v>
      </c>
      <c r="E131" s="1">
        <v>0.20100000000000001</v>
      </c>
      <c r="F131" s="1">
        <v>0.46200000000000002</v>
      </c>
      <c r="G131" s="1">
        <v>0.33800000000000002</v>
      </c>
      <c r="H131" s="1">
        <v>0.114</v>
      </c>
      <c r="I131" s="1">
        <v>0.13900000000000001</v>
      </c>
      <c r="J131">
        <v>28</v>
      </c>
      <c r="K131">
        <v>3.16</v>
      </c>
      <c r="L131">
        <v>516</v>
      </c>
      <c r="M131">
        <v>807</v>
      </c>
      <c r="N131">
        <v>1323</v>
      </c>
      <c r="O131" s="1">
        <v>0.437</v>
      </c>
      <c r="P131" s="1">
        <v>0.34899999999999998</v>
      </c>
      <c r="Q131" s="1">
        <v>0.214</v>
      </c>
      <c r="R131" s="1">
        <v>0.21</v>
      </c>
      <c r="S131" s="1">
        <v>0.378</v>
      </c>
      <c r="T131" s="1">
        <v>0.41199999999999998</v>
      </c>
      <c r="U131">
        <v>12575</v>
      </c>
    </row>
    <row r="132" spans="1:21" x14ac:dyDescent="0.3">
      <c r="A132" t="s">
        <v>377</v>
      </c>
      <c r="B132" t="s">
        <v>127</v>
      </c>
      <c r="C132">
        <v>0.314</v>
      </c>
      <c r="D132">
        <v>1.37</v>
      </c>
      <c r="E132" s="1">
        <v>0.19700000000000001</v>
      </c>
      <c r="F132" s="1">
        <v>0.46400000000000002</v>
      </c>
      <c r="G132" s="1">
        <v>0.33900000000000002</v>
      </c>
      <c r="H132" s="1">
        <v>3.7999999999999999E-2</v>
      </c>
      <c r="I132" s="1">
        <v>0.20599999999999999</v>
      </c>
      <c r="J132">
        <v>71</v>
      </c>
      <c r="K132">
        <v>5.17</v>
      </c>
      <c r="L132">
        <v>774</v>
      </c>
      <c r="M132">
        <v>1286</v>
      </c>
      <c r="N132">
        <v>2060</v>
      </c>
      <c r="O132" s="1">
        <v>0.39300000000000002</v>
      </c>
      <c r="P132" s="1">
        <v>0.35399999999999998</v>
      </c>
      <c r="Q132" s="1">
        <v>0.253</v>
      </c>
      <c r="R132" s="1">
        <v>0.14000000000000001</v>
      </c>
      <c r="S132" s="1">
        <v>0.46800000000000003</v>
      </c>
      <c r="T132" s="1">
        <v>0.39300000000000002</v>
      </c>
      <c r="U132">
        <v>14527</v>
      </c>
    </row>
    <row r="133" spans="1:21" x14ac:dyDescent="0.3">
      <c r="A133" t="s">
        <v>96</v>
      </c>
      <c r="B133" t="s">
        <v>48</v>
      </c>
      <c r="C133">
        <v>0.27100000000000002</v>
      </c>
      <c r="D133">
        <v>1.36</v>
      </c>
      <c r="E133" s="1">
        <v>0.217</v>
      </c>
      <c r="F133" s="1">
        <v>0.45200000000000001</v>
      </c>
      <c r="G133" s="1">
        <v>0.33100000000000002</v>
      </c>
      <c r="H133" s="1">
        <v>6.3E-2</v>
      </c>
      <c r="I133" s="1">
        <v>0.109</v>
      </c>
      <c r="J133">
        <v>133</v>
      </c>
      <c r="K133">
        <v>5.74</v>
      </c>
      <c r="L133">
        <v>1081</v>
      </c>
      <c r="M133">
        <v>2032</v>
      </c>
      <c r="N133">
        <v>3113</v>
      </c>
      <c r="O133" s="1">
        <v>0.38200000000000001</v>
      </c>
      <c r="P133" s="1">
        <v>0.36199999999999999</v>
      </c>
      <c r="Q133" s="1">
        <v>0.25600000000000001</v>
      </c>
      <c r="R133" s="1">
        <v>0.17499999999999999</v>
      </c>
      <c r="S133" s="1">
        <v>0.46300000000000002</v>
      </c>
      <c r="T133" s="1">
        <v>0.36199999999999999</v>
      </c>
      <c r="U133">
        <v>1943</v>
      </c>
    </row>
    <row r="134" spans="1:21" x14ac:dyDescent="0.3">
      <c r="A134" t="s">
        <v>360</v>
      </c>
      <c r="B134" t="s">
        <v>43</v>
      </c>
      <c r="C134">
        <v>0.32600000000000001</v>
      </c>
      <c r="D134">
        <v>1.36</v>
      </c>
      <c r="E134" s="1">
        <v>0.20699999999999999</v>
      </c>
      <c r="F134" s="1">
        <v>0.45700000000000002</v>
      </c>
      <c r="G134" s="1">
        <v>0.33700000000000002</v>
      </c>
      <c r="H134" s="1">
        <v>0.14299999999999999</v>
      </c>
      <c r="I134" s="1">
        <v>0.214</v>
      </c>
      <c r="J134">
        <v>35</v>
      </c>
      <c r="K134">
        <v>4.32</v>
      </c>
      <c r="L134">
        <v>543</v>
      </c>
      <c r="M134">
        <v>821</v>
      </c>
      <c r="N134">
        <v>1364</v>
      </c>
      <c r="O134" s="1">
        <v>0.38500000000000001</v>
      </c>
      <c r="P134" s="1">
        <v>0.36099999999999999</v>
      </c>
      <c r="Q134" s="1">
        <v>0.255</v>
      </c>
      <c r="R134" s="1">
        <v>0.17799999999999999</v>
      </c>
      <c r="S134" s="1">
        <v>0.51900000000000002</v>
      </c>
      <c r="T134" s="1">
        <v>0.30299999999999999</v>
      </c>
      <c r="U134">
        <v>18525</v>
      </c>
    </row>
    <row r="135" spans="1:21" x14ac:dyDescent="0.3">
      <c r="A135" t="s">
        <v>326</v>
      </c>
      <c r="B135" t="s">
        <v>46</v>
      </c>
      <c r="C135">
        <v>0.25700000000000001</v>
      </c>
      <c r="D135">
        <v>1.35</v>
      </c>
      <c r="E135" s="1">
        <v>0.247</v>
      </c>
      <c r="F135" s="1">
        <v>0.433</v>
      </c>
      <c r="G135" s="1">
        <v>0.32</v>
      </c>
      <c r="H135" s="1">
        <v>0.129</v>
      </c>
      <c r="I135" s="1">
        <v>0.17699999999999999</v>
      </c>
      <c r="J135">
        <v>17</v>
      </c>
      <c r="K135">
        <v>2.4300000000000002</v>
      </c>
      <c r="L135">
        <v>457</v>
      </c>
      <c r="M135">
        <v>688</v>
      </c>
      <c r="N135">
        <v>1145</v>
      </c>
      <c r="O135" s="1">
        <v>0.42899999999999999</v>
      </c>
      <c r="P135" s="1">
        <v>0.33300000000000002</v>
      </c>
      <c r="Q135" s="1">
        <v>0.23699999999999999</v>
      </c>
      <c r="R135" s="1">
        <v>0.17199999999999999</v>
      </c>
      <c r="S135" s="1">
        <v>0.46</v>
      </c>
      <c r="T135" s="1">
        <v>0.36899999999999999</v>
      </c>
      <c r="U135">
        <v>14663</v>
      </c>
    </row>
    <row r="136" spans="1:21" x14ac:dyDescent="0.3">
      <c r="A136" t="s">
        <v>189</v>
      </c>
      <c r="B136" t="s">
        <v>77</v>
      </c>
      <c r="C136">
        <v>0.26600000000000001</v>
      </c>
      <c r="D136">
        <v>1.35</v>
      </c>
      <c r="E136" s="1">
        <v>0.20899999999999999</v>
      </c>
      <c r="F136" s="1">
        <v>0.45500000000000002</v>
      </c>
      <c r="G136" s="1">
        <v>0.33600000000000002</v>
      </c>
      <c r="H136" s="1">
        <v>3.4000000000000002E-2</v>
      </c>
      <c r="I136" s="1">
        <v>0.22800000000000001</v>
      </c>
      <c r="J136">
        <v>92</v>
      </c>
      <c r="K136">
        <v>4.63</v>
      </c>
      <c r="L136">
        <v>969</v>
      </c>
      <c r="M136">
        <v>1879</v>
      </c>
      <c r="N136">
        <v>2848</v>
      </c>
      <c r="O136" s="1">
        <v>0.44400000000000001</v>
      </c>
      <c r="P136" s="1">
        <v>0.33300000000000002</v>
      </c>
      <c r="Q136" s="1">
        <v>0.223</v>
      </c>
      <c r="R136" s="1">
        <v>0.14499999999999999</v>
      </c>
      <c r="S136" s="1">
        <v>0.54300000000000004</v>
      </c>
      <c r="T136" s="1">
        <v>0.313</v>
      </c>
      <c r="U136">
        <v>13074</v>
      </c>
    </row>
    <row r="137" spans="1:21" x14ac:dyDescent="0.3">
      <c r="A137" t="s">
        <v>368</v>
      </c>
      <c r="B137" t="s">
        <v>62</v>
      </c>
      <c r="C137">
        <v>0.28299999999999997</v>
      </c>
      <c r="D137">
        <v>1.35</v>
      </c>
      <c r="E137" s="1">
        <v>0.20200000000000001</v>
      </c>
      <c r="F137" s="1">
        <v>0.45900000000000002</v>
      </c>
      <c r="G137" s="1">
        <v>0.33900000000000002</v>
      </c>
      <c r="H137" s="1">
        <v>1.7999999999999999E-2</v>
      </c>
      <c r="I137" s="1">
        <v>0.22500000000000001</v>
      </c>
      <c r="J137">
        <v>37</v>
      </c>
      <c r="K137">
        <v>3.25</v>
      </c>
      <c r="L137">
        <v>681</v>
      </c>
      <c r="M137">
        <v>1107</v>
      </c>
      <c r="N137">
        <v>1788</v>
      </c>
      <c r="O137" s="1">
        <v>0.52300000000000002</v>
      </c>
      <c r="P137" s="1">
        <v>0.307</v>
      </c>
      <c r="Q137" s="1">
        <v>0.17</v>
      </c>
      <c r="R137" s="1">
        <v>0.161</v>
      </c>
      <c r="S137" s="1">
        <v>0.38600000000000001</v>
      </c>
      <c r="T137" s="1">
        <v>0.45300000000000001</v>
      </c>
      <c r="U137">
        <v>6249</v>
      </c>
    </row>
    <row r="138" spans="1:21" x14ac:dyDescent="0.3">
      <c r="A138" t="s">
        <v>191</v>
      </c>
      <c r="B138" t="s">
        <v>62</v>
      </c>
      <c r="C138">
        <v>0.32300000000000001</v>
      </c>
      <c r="D138">
        <v>1.34</v>
      </c>
      <c r="E138" s="1">
        <v>0.20300000000000001</v>
      </c>
      <c r="F138" s="1">
        <v>0.45700000000000002</v>
      </c>
      <c r="G138" s="1">
        <v>0.34</v>
      </c>
      <c r="H138" s="1">
        <v>0.11899999999999999</v>
      </c>
      <c r="I138" s="1">
        <v>0.11899999999999999</v>
      </c>
      <c r="J138">
        <v>51</v>
      </c>
      <c r="K138">
        <v>6.35</v>
      </c>
      <c r="L138">
        <v>431</v>
      </c>
      <c r="M138">
        <v>794</v>
      </c>
      <c r="N138">
        <v>1225</v>
      </c>
      <c r="O138" s="1">
        <v>0.35</v>
      </c>
      <c r="P138" s="1">
        <v>0.27900000000000003</v>
      </c>
      <c r="Q138" s="1">
        <v>0.371</v>
      </c>
      <c r="R138" s="1">
        <v>0.13200000000000001</v>
      </c>
      <c r="S138" s="1">
        <v>0.39100000000000001</v>
      </c>
      <c r="T138" s="1">
        <v>0.47699999999999998</v>
      </c>
      <c r="U138">
        <v>14719</v>
      </c>
    </row>
    <row r="139" spans="1:21" x14ac:dyDescent="0.3">
      <c r="A139" t="s">
        <v>339</v>
      </c>
      <c r="B139" t="s">
        <v>83</v>
      </c>
      <c r="C139">
        <v>0.32200000000000001</v>
      </c>
      <c r="D139">
        <v>1.34</v>
      </c>
      <c r="E139" s="1">
        <v>0.28100000000000003</v>
      </c>
      <c r="F139" s="1">
        <v>0.41199999999999998</v>
      </c>
      <c r="G139" s="1">
        <v>0.307</v>
      </c>
      <c r="H139" s="1">
        <v>0.13800000000000001</v>
      </c>
      <c r="I139" s="1">
        <v>0.13800000000000001</v>
      </c>
      <c r="J139">
        <v>46</v>
      </c>
      <c r="K139">
        <v>4.3099999999999996</v>
      </c>
      <c r="L139">
        <v>597</v>
      </c>
      <c r="M139">
        <v>990</v>
      </c>
      <c r="N139">
        <v>1587</v>
      </c>
      <c r="O139" s="1">
        <v>0.42299999999999999</v>
      </c>
      <c r="P139" s="1">
        <v>0.34699999999999998</v>
      </c>
      <c r="Q139" s="1">
        <v>0.23</v>
      </c>
      <c r="R139" s="1">
        <v>0.17699999999999999</v>
      </c>
      <c r="S139" s="1">
        <v>0.42299999999999999</v>
      </c>
      <c r="T139" s="1">
        <v>0.40100000000000002</v>
      </c>
      <c r="U139">
        <v>19453</v>
      </c>
    </row>
    <row r="140" spans="1:21" x14ac:dyDescent="0.3">
      <c r="A140" t="s">
        <v>101</v>
      </c>
      <c r="B140" t="s">
        <v>102</v>
      </c>
      <c r="C140">
        <v>0.248</v>
      </c>
      <c r="D140">
        <v>1.33</v>
      </c>
      <c r="E140" s="1">
        <v>0.17899999999999999</v>
      </c>
      <c r="F140" s="1">
        <v>0.46899999999999997</v>
      </c>
      <c r="G140" s="1">
        <v>0.35199999999999998</v>
      </c>
      <c r="H140" s="1">
        <v>5.8999999999999997E-2</v>
      </c>
      <c r="I140" s="1">
        <v>7.8E-2</v>
      </c>
      <c r="J140">
        <v>29</v>
      </c>
      <c r="K140">
        <v>5.15</v>
      </c>
      <c r="L140">
        <v>268</v>
      </c>
      <c r="M140">
        <v>491</v>
      </c>
      <c r="N140">
        <v>759</v>
      </c>
      <c r="O140" s="1">
        <v>0.38900000000000001</v>
      </c>
      <c r="P140" s="1">
        <v>0.40899999999999997</v>
      </c>
      <c r="Q140" s="1">
        <v>0.20100000000000001</v>
      </c>
      <c r="R140" s="1">
        <v>0.16800000000000001</v>
      </c>
      <c r="S140" s="1">
        <v>0.48299999999999998</v>
      </c>
      <c r="T140" s="1">
        <v>0.34899999999999998</v>
      </c>
      <c r="U140">
        <v>18282</v>
      </c>
    </row>
    <row r="141" spans="1:21" x14ac:dyDescent="0.3">
      <c r="A141" t="s">
        <v>47</v>
      </c>
      <c r="B141" t="s">
        <v>48</v>
      </c>
      <c r="C141">
        <v>0.23799999999999999</v>
      </c>
      <c r="D141">
        <v>1.33</v>
      </c>
      <c r="E141" s="1">
        <v>0.187</v>
      </c>
      <c r="F141" s="1">
        <v>0.46400000000000002</v>
      </c>
      <c r="G141" s="1">
        <v>0.34899999999999998</v>
      </c>
      <c r="H141" s="1">
        <v>0.10299999999999999</v>
      </c>
      <c r="I141" s="1">
        <v>0.13800000000000001</v>
      </c>
      <c r="J141">
        <v>14</v>
      </c>
      <c r="K141">
        <v>2.0099999999999998</v>
      </c>
      <c r="L141">
        <v>326</v>
      </c>
      <c r="M141">
        <v>623</v>
      </c>
      <c r="N141">
        <v>949</v>
      </c>
      <c r="O141" s="1">
        <v>0.38100000000000001</v>
      </c>
      <c r="P141" s="1">
        <v>0.38700000000000001</v>
      </c>
      <c r="Q141" s="1">
        <v>0.23200000000000001</v>
      </c>
      <c r="R141" s="1">
        <v>0.13700000000000001</v>
      </c>
      <c r="S141" s="1">
        <v>0.49399999999999999</v>
      </c>
      <c r="T141" s="1">
        <v>0.36899999999999999</v>
      </c>
      <c r="U141">
        <v>10756</v>
      </c>
    </row>
    <row r="142" spans="1:21" x14ac:dyDescent="0.3">
      <c r="A142" t="s">
        <v>261</v>
      </c>
      <c r="B142" t="s">
        <v>48</v>
      </c>
      <c r="C142">
        <v>0.28000000000000003</v>
      </c>
      <c r="D142">
        <v>1.32</v>
      </c>
      <c r="E142" s="1">
        <v>0.19600000000000001</v>
      </c>
      <c r="F142" s="1">
        <v>0.45800000000000002</v>
      </c>
      <c r="G142" s="1">
        <v>0.34599999999999997</v>
      </c>
      <c r="H142" s="1">
        <v>0.151</v>
      </c>
      <c r="I142" s="1">
        <v>0.22600000000000001</v>
      </c>
      <c r="J142">
        <v>27</v>
      </c>
      <c r="K142">
        <v>4.5599999999999996</v>
      </c>
      <c r="L142">
        <v>375</v>
      </c>
      <c r="M142">
        <v>566</v>
      </c>
      <c r="N142">
        <v>941</v>
      </c>
      <c r="O142" s="1">
        <v>0.44500000000000001</v>
      </c>
      <c r="P142" s="1">
        <v>0.27700000000000002</v>
      </c>
      <c r="Q142" s="1">
        <v>0.27700000000000002</v>
      </c>
      <c r="R142" s="1">
        <v>0.161</v>
      </c>
      <c r="S142" s="1">
        <v>0.432</v>
      </c>
      <c r="T142" s="1">
        <v>0.40600000000000003</v>
      </c>
      <c r="U142">
        <v>7466</v>
      </c>
    </row>
    <row r="143" spans="1:21" x14ac:dyDescent="0.3">
      <c r="A143" t="s">
        <v>395</v>
      </c>
      <c r="B143" t="s">
        <v>43</v>
      </c>
      <c r="C143">
        <v>0.32100000000000001</v>
      </c>
      <c r="D143">
        <v>1.31</v>
      </c>
      <c r="E143" s="1">
        <v>0.26100000000000001</v>
      </c>
      <c r="F143" s="1">
        <v>0.41899999999999998</v>
      </c>
      <c r="G143" s="1">
        <v>0.32</v>
      </c>
      <c r="H143" s="1">
        <v>9.1999999999999998E-2</v>
      </c>
      <c r="I143" s="1">
        <v>0.185</v>
      </c>
      <c r="J143">
        <v>31</v>
      </c>
      <c r="K143">
        <v>4.76</v>
      </c>
      <c r="L143">
        <v>376</v>
      </c>
      <c r="M143">
        <v>643</v>
      </c>
      <c r="N143">
        <v>1019</v>
      </c>
      <c r="O143" s="1">
        <v>0.41799999999999998</v>
      </c>
      <c r="P143" s="1">
        <v>0.32200000000000001</v>
      </c>
      <c r="Q143" s="1">
        <v>0.26</v>
      </c>
      <c r="R143" s="1">
        <v>0.159</v>
      </c>
      <c r="S143" s="1">
        <v>0.52400000000000002</v>
      </c>
      <c r="T143" s="1">
        <v>0.317</v>
      </c>
      <c r="U143">
        <v>14825</v>
      </c>
    </row>
    <row r="144" spans="1:21" x14ac:dyDescent="0.3">
      <c r="A144" t="s">
        <v>321</v>
      </c>
      <c r="B144" t="s">
        <v>30</v>
      </c>
      <c r="C144">
        <v>0.309</v>
      </c>
      <c r="D144">
        <v>1.31</v>
      </c>
      <c r="E144" s="1">
        <v>0.21299999999999999</v>
      </c>
      <c r="F144" s="1">
        <v>0.44600000000000001</v>
      </c>
      <c r="G144" s="1">
        <v>0.34100000000000003</v>
      </c>
      <c r="H144" s="1">
        <v>0.105</v>
      </c>
      <c r="I144" s="1">
        <v>0.13200000000000001</v>
      </c>
      <c r="J144">
        <v>54</v>
      </c>
      <c r="K144">
        <v>4.29</v>
      </c>
      <c r="L144">
        <v>768</v>
      </c>
      <c r="M144">
        <v>1233</v>
      </c>
      <c r="N144">
        <v>2001</v>
      </c>
      <c r="O144" s="1">
        <v>0.34899999999999998</v>
      </c>
      <c r="P144" s="1">
        <v>0.36299999999999999</v>
      </c>
      <c r="Q144" s="1">
        <v>0.28799999999999998</v>
      </c>
      <c r="R144" s="1">
        <v>0.17699999999999999</v>
      </c>
      <c r="S144" s="1">
        <v>0.439</v>
      </c>
      <c r="T144" s="1">
        <v>0.38400000000000001</v>
      </c>
      <c r="U144">
        <v>15291</v>
      </c>
    </row>
    <row r="145" spans="1:21" x14ac:dyDescent="0.3">
      <c r="A145" t="s">
        <v>265</v>
      </c>
      <c r="B145" t="s">
        <v>48</v>
      </c>
      <c r="C145">
        <v>0.30099999999999999</v>
      </c>
      <c r="D145">
        <v>1.3</v>
      </c>
      <c r="E145" s="1">
        <v>0.217</v>
      </c>
      <c r="F145" s="1">
        <v>0.443</v>
      </c>
      <c r="G145" s="1">
        <v>0.34</v>
      </c>
      <c r="H145" s="1">
        <v>0.11600000000000001</v>
      </c>
      <c r="I145" s="1">
        <v>0.128</v>
      </c>
      <c r="J145">
        <v>117</v>
      </c>
      <c r="K145">
        <v>6.45</v>
      </c>
      <c r="L145">
        <v>1003</v>
      </c>
      <c r="M145">
        <v>1833</v>
      </c>
      <c r="N145">
        <v>2836</v>
      </c>
      <c r="O145" s="1">
        <v>0.39600000000000002</v>
      </c>
      <c r="P145" s="1">
        <v>0.33900000000000002</v>
      </c>
      <c r="Q145" s="1">
        <v>0.26500000000000001</v>
      </c>
      <c r="R145" s="1">
        <v>0.14599999999999999</v>
      </c>
      <c r="S145" s="1">
        <v>0.42499999999999999</v>
      </c>
      <c r="T145" s="1">
        <v>0.42899999999999999</v>
      </c>
      <c r="U145">
        <v>8362</v>
      </c>
    </row>
    <row r="146" spans="1:21" x14ac:dyDescent="0.3">
      <c r="A146" t="s">
        <v>277</v>
      </c>
      <c r="B146" t="s">
        <v>58</v>
      </c>
      <c r="C146">
        <v>0.315</v>
      </c>
      <c r="D146">
        <v>1.3</v>
      </c>
      <c r="E146" s="1">
        <v>0.216</v>
      </c>
      <c r="F146" s="1">
        <v>0.443</v>
      </c>
      <c r="G146" s="1">
        <v>0.34100000000000003</v>
      </c>
      <c r="H146" s="1">
        <v>9.5000000000000001E-2</v>
      </c>
      <c r="I146" s="1">
        <v>0.111</v>
      </c>
      <c r="J146">
        <v>26</v>
      </c>
      <c r="K146">
        <v>3.68</v>
      </c>
      <c r="L146">
        <v>397</v>
      </c>
      <c r="M146">
        <v>675</v>
      </c>
      <c r="N146">
        <v>1072</v>
      </c>
      <c r="O146" s="1">
        <v>0.35599999999999998</v>
      </c>
      <c r="P146" s="1">
        <v>0.36199999999999999</v>
      </c>
      <c r="Q146" s="1">
        <v>0.28199999999999997</v>
      </c>
      <c r="R146" s="1">
        <v>0.218</v>
      </c>
      <c r="S146" s="1">
        <v>0.46300000000000002</v>
      </c>
      <c r="T146" s="1">
        <v>0.31900000000000001</v>
      </c>
      <c r="U146">
        <v>13696</v>
      </c>
    </row>
    <row r="147" spans="1:21" x14ac:dyDescent="0.3">
      <c r="A147" t="s">
        <v>220</v>
      </c>
      <c r="B147" t="s">
        <v>26</v>
      </c>
      <c r="C147">
        <v>0.27100000000000002</v>
      </c>
      <c r="D147">
        <v>1.3</v>
      </c>
      <c r="E147" s="1">
        <v>0.17</v>
      </c>
      <c r="F147" s="1">
        <v>0.47</v>
      </c>
      <c r="G147" s="1">
        <v>0.36099999999999999</v>
      </c>
      <c r="H147" s="1">
        <v>8.4000000000000005E-2</v>
      </c>
      <c r="I147" s="1">
        <v>0.13900000000000001</v>
      </c>
      <c r="J147">
        <v>77</v>
      </c>
      <c r="K147">
        <v>4.2300000000000004</v>
      </c>
      <c r="L147">
        <v>982</v>
      </c>
      <c r="M147">
        <v>1661</v>
      </c>
      <c r="N147">
        <v>2643</v>
      </c>
      <c r="O147" s="1">
        <v>0.33400000000000002</v>
      </c>
      <c r="P147" s="1">
        <v>0.4</v>
      </c>
      <c r="Q147" s="1">
        <v>0.26600000000000001</v>
      </c>
      <c r="R147" s="1">
        <v>0.17399999999999999</v>
      </c>
      <c r="S147" s="1">
        <v>0.45500000000000002</v>
      </c>
      <c r="T147" s="1">
        <v>0.37</v>
      </c>
      <c r="U147">
        <v>19320</v>
      </c>
    </row>
    <row r="148" spans="1:21" x14ac:dyDescent="0.3">
      <c r="A148" t="s">
        <v>315</v>
      </c>
      <c r="B148" t="s">
        <v>83</v>
      </c>
      <c r="C148">
        <v>0.312</v>
      </c>
      <c r="D148">
        <v>1.3</v>
      </c>
      <c r="E148" s="1">
        <v>0.223</v>
      </c>
      <c r="F148" s="1">
        <v>0.439</v>
      </c>
      <c r="G148" s="1">
        <v>0.33800000000000002</v>
      </c>
      <c r="H148" s="1">
        <v>3.3000000000000002E-2</v>
      </c>
      <c r="I148" s="1">
        <v>0.183</v>
      </c>
      <c r="J148">
        <v>49</v>
      </c>
      <c r="K148">
        <v>3.77</v>
      </c>
      <c r="L148">
        <v>765</v>
      </c>
      <c r="M148">
        <v>1263</v>
      </c>
      <c r="N148">
        <v>2028</v>
      </c>
      <c r="O148" s="1">
        <v>0.40699999999999997</v>
      </c>
      <c r="P148" s="1">
        <v>0.34799999999999998</v>
      </c>
      <c r="Q148" s="1">
        <v>0.245</v>
      </c>
      <c r="R148" s="1">
        <v>0.125</v>
      </c>
      <c r="S148" s="1">
        <v>0.40899999999999997</v>
      </c>
      <c r="T148" s="1">
        <v>0.46500000000000002</v>
      </c>
      <c r="U148">
        <v>16981</v>
      </c>
    </row>
    <row r="149" spans="1:21" x14ac:dyDescent="0.3">
      <c r="A149" t="s">
        <v>178</v>
      </c>
      <c r="B149" t="s">
        <v>32</v>
      </c>
      <c r="C149">
        <v>0.246</v>
      </c>
      <c r="D149">
        <v>1.3</v>
      </c>
      <c r="E149" s="1">
        <v>0.23400000000000001</v>
      </c>
      <c r="F149" s="1">
        <v>0.433</v>
      </c>
      <c r="G149" s="1">
        <v>0.33300000000000002</v>
      </c>
      <c r="H149" s="1">
        <v>0.13400000000000001</v>
      </c>
      <c r="I149" s="1">
        <v>0.18099999999999999</v>
      </c>
      <c r="J149">
        <v>58</v>
      </c>
      <c r="K149">
        <v>3.92</v>
      </c>
      <c r="L149">
        <v>698</v>
      </c>
      <c r="M149">
        <v>1287</v>
      </c>
      <c r="N149">
        <v>1985</v>
      </c>
      <c r="O149" s="1">
        <v>0.39200000000000002</v>
      </c>
      <c r="P149" s="1">
        <v>0.40300000000000002</v>
      </c>
      <c r="Q149" s="1">
        <v>0.20499999999999999</v>
      </c>
      <c r="R149" s="1">
        <v>0.182</v>
      </c>
      <c r="S149" s="1">
        <v>0.48299999999999998</v>
      </c>
      <c r="T149" s="1">
        <v>0.33500000000000002</v>
      </c>
      <c r="U149">
        <v>16401</v>
      </c>
    </row>
    <row r="150" spans="1:21" x14ac:dyDescent="0.3">
      <c r="A150" t="s">
        <v>248</v>
      </c>
      <c r="B150" t="s">
        <v>77</v>
      </c>
      <c r="C150">
        <v>0.34699999999999998</v>
      </c>
      <c r="D150">
        <v>1.3</v>
      </c>
      <c r="E150" s="1">
        <v>0.23300000000000001</v>
      </c>
      <c r="F150" s="1">
        <v>0.433</v>
      </c>
      <c r="G150" s="1">
        <v>0.33400000000000002</v>
      </c>
      <c r="H150" s="1">
        <v>0.09</v>
      </c>
      <c r="I150" s="1">
        <v>0.14599999999999999</v>
      </c>
      <c r="J150">
        <v>132</v>
      </c>
      <c r="K150">
        <v>6.92</v>
      </c>
      <c r="L150">
        <v>1139</v>
      </c>
      <c r="M150">
        <v>1904</v>
      </c>
      <c r="N150">
        <v>3043</v>
      </c>
      <c r="O150" s="1">
        <v>0.41899999999999998</v>
      </c>
      <c r="P150" s="1">
        <v>0.35799999999999998</v>
      </c>
      <c r="Q150" s="1">
        <v>0.223</v>
      </c>
      <c r="R150" s="1">
        <v>0.159</v>
      </c>
      <c r="S150" s="1">
        <v>0.45600000000000002</v>
      </c>
      <c r="T150" s="1">
        <v>0.38600000000000001</v>
      </c>
      <c r="U150">
        <v>4930</v>
      </c>
    </row>
    <row r="151" spans="1:21" x14ac:dyDescent="0.3">
      <c r="A151" t="s">
        <v>308</v>
      </c>
      <c r="B151" t="s">
        <v>34</v>
      </c>
      <c r="C151">
        <v>0.30599999999999999</v>
      </c>
      <c r="D151">
        <v>1.29</v>
      </c>
      <c r="E151" s="1">
        <v>0.24099999999999999</v>
      </c>
      <c r="F151" s="1">
        <v>0.42799999999999999</v>
      </c>
      <c r="G151" s="1">
        <v>0.33100000000000002</v>
      </c>
      <c r="H151" s="1">
        <v>0.127</v>
      </c>
      <c r="I151" s="1">
        <v>0.16400000000000001</v>
      </c>
      <c r="J151">
        <v>22</v>
      </c>
      <c r="K151">
        <v>3.38</v>
      </c>
      <c r="L151">
        <v>379</v>
      </c>
      <c r="M151">
        <v>644</v>
      </c>
      <c r="N151">
        <v>1023</v>
      </c>
      <c r="O151" s="1">
        <v>0.48499999999999999</v>
      </c>
      <c r="P151" s="1">
        <v>0.27200000000000002</v>
      </c>
      <c r="Q151" s="1">
        <v>0.24299999999999999</v>
      </c>
      <c r="R151" s="1">
        <v>0.183</v>
      </c>
      <c r="S151" s="1">
        <v>0.45</v>
      </c>
      <c r="T151" s="1">
        <v>0.36699999999999999</v>
      </c>
      <c r="U151">
        <v>12572</v>
      </c>
    </row>
    <row r="152" spans="1:21" x14ac:dyDescent="0.3">
      <c r="A152" t="s">
        <v>214</v>
      </c>
      <c r="B152" t="s">
        <v>95</v>
      </c>
      <c r="C152">
        <v>0.29099999999999998</v>
      </c>
      <c r="D152">
        <v>1.29</v>
      </c>
      <c r="E152" s="1">
        <v>0.21099999999999999</v>
      </c>
      <c r="F152" s="1">
        <v>0.44400000000000001</v>
      </c>
      <c r="G152" s="1">
        <v>0.34499999999999997</v>
      </c>
      <c r="H152" s="1">
        <v>8.5999999999999993E-2</v>
      </c>
      <c r="I152" s="1">
        <v>0.16</v>
      </c>
      <c r="J152">
        <v>90</v>
      </c>
      <c r="K152">
        <v>4.96</v>
      </c>
      <c r="L152">
        <v>884</v>
      </c>
      <c r="M152">
        <v>1687</v>
      </c>
      <c r="N152">
        <v>2571</v>
      </c>
      <c r="O152" s="1">
        <v>0.40799999999999997</v>
      </c>
      <c r="P152" s="1">
        <v>0.34499999999999997</v>
      </c>
      <c r="Q152" s="1">
        <v>0.247</v>
      </c>
      <c r="R152" s="1">
        <v>0.161</v>
      </c>
      <c r="S152" s="1">
        <v>0.46</v>
      </c>
      <c r="T152" s="1">
        <v>0.379</v>
      </c>
      <c r="U152">
        <v>13774</v>
      </c>
    </row>
    <row r="153" spans="1:21" x14ac:dyDescent="0.3">
      <c r="A153" t="s">
        <v>269</v>
      </c>
      <c r="B153" t="s">
        <v>36</v>
      </c>
      <c r="C153">
        <v>0.25800000000000001</v>
      </c>
      <c r="D153">
        <v>1.28</v>
      </c>
      <c r="E153" s="1">
        <v>0.159</v>
      </c>
      <c r="F153" s="1">
        <v>0.47299999999999998</v>
      </c>
      <c r="G153" s="1">
        <v>0.36799999999999999</v>
      </c>
      <c r="H153" s="1">
        <v>7.8E-2</v>
      </c>
      <c r="I153" s="1">
        <v>0.17599999999999999</v>
      </c>
      <c r="J153">
        <v>45</v>
      </c>
      <c r="K153">
        <v>4.2300000000000004</v>
      </c>
      <c r="L153">
        <v>488</v>
      </c>
      <c r="M153">
        <v>939</v>
      </c>
      <c r="N153">
        <v>1427</v>
      </c>
      <c r="O153" s="1">
        <v>0.45300000000000001</v>
      </c>
      <c r="P153" s="1">
        <v>0.317</v>
      </c>
      <c r="Q153" s="1">
        <v>0.23</v>
      </c>
      <c r="R153" s="1">
        <v>0.158</v>
      </c>
      <c r="S153" s="1">
        <v>0.496</v>
      </c>
      <c r="T153" s="1">
        <v>0.34499999999999997</v>
      </c>
      <c r="U153">
        <v>12778</v>
      </c>
    </row>
    <row r="154" spans="1:21" x14ac:dyDescent="0.3">
      <c r="A154" t="s">
        <v>57</v>
      </c>
      <c r="B154" t="s">
        <v>58</v>
      </c>
      <c r="C154">
        <v>0.28199999999999997</v>
      </c>
      <c r="D154">
        <v>1.28</v>
      </c>
      <c r="E154" s="1">
        <v>0.21099999999999999</v>
      </c>
      <c r="F154" s="1">
        <v>0.44400000000000001</v>
      </c>
      <c r="G154" s="1">
        <v>0.34599999999999997</v>
      </c>
      <c r="H154" s="1">
        <v>0.14199999999999999</v>
      </c>
      <c r="I154" s="1">
        <v>0.112</v>
      </c>
      <c r="J154">
        <v>92</v>
      </c>
      <c r="K154">
        <v>4.0599999999999996</v>
      </c>
      <c r="L154">
        <v>1075</v>
      </c>
      <c r="M154">
        <v>2222</v>
      </c>
      <c r="N154">
        <v>3297</v>
      </c>
      <c r="O154" s="1">
        <v>0.38600000000000001</v>
      </c>
      <c r="P154" s="1">
        <v>0.33100000000000002</v>
      </c>
      <c r="Q154" s="1">
        <v>0.28299999999999997</v>
      </c>
      <c r="R154" s="1">
        <v>0.219</v>
      </c>
      <c r="S154" s="1">
        <v>0.48399999999999999</v>
      </c>
      <c r="T154" s="1">
        <v>0.29699999999999999</v>
      </c>
      <c r="U154">
        <v>10954</v>
      </c>
    </row>
    <row r="155" spans="1:21" x14ac:dyDescent="0.3">
      <c r="A155" t="s">
        <v>349</v>
      </c>
      <c r="B155" t="s">
        <v>83</v>
      </c>
      <c r="C155">
        <v>0.28199999999999997</v>
      </c>
      <c r="D155">
        <v>1.28</v>
      </c>
      <c r="E155" s="1">
        <v>0.22500000000000001</v>
      </c>
      <c r="F155" s="1">
        <v>0.435</v>
      </c>
      <c r="G155" s="1">
        <v>0.34</v>
      </c>
      <c r="H155" s="1">
        <v>8.2000000000000003E-2</v>
      </c>
      <c r="I155" s="1">
        <v>0.191</v>
      </c>
      <c r="J155">
        <v>32</v>
      </c>
      <c r="K155">
        <v>2.91</v>
      </c>
      <c r="L155">
        <v>635</v>
      </c>
      <c r="M155">
        <v>1033</v>
      </c>
      <c r="N155">
        <v>1668</v>
      </c>
      <c r="O155" s="1">
        <v>0.42399999999999999</v>
      </c>
      <c r="P155" s="1">
        <v>0.32700000000000001</v>
      </c>
      <c r="Q155" s="1">
        <v>0.248</v>
      </c>
      <c r="R155" s="1">
        <v>0.13300000000000001</v>
      </c>
      <c r="S155" s="1">
        <v>0.442</v>
      </c>
      <c r="T155" s="1">
        <v>0.42399999999999999</v>
      </c>
      <c r="U155">
        <v>14509</v>
      </c>
    </row>
    <row r="156" spans="1:21" x14ac:dyDescent="0.3">
      <c r="A156" t="s">
        <v>94</v>
      </c>
      <c r="B156" t="s">
        <v>95</v>
      </c>
      <c r="C156">
        <v>0.24</v>
      </c>
      <c r="D156">
        <v>1.27</v>
      </c>
      <c r="E156" s="1">
        <v>0.188</v>
      </c>
      <c r="F156" s="1">
        <v>0.45500000000000002</v>
      </c>
      <c r="G156" s="1">
        <v>0.35699999999999998</v>
      </c>
      <c r="H156" s="1">
        <v>0.109</v>
      </c>
      <c r="I156" s="1">
        <v>0.182</v>
      </c>
      <c r="J156">
        <v>22</v>
      </c>
      <c r="K156">
        <v>2.93</v>
      </c>
      <c r="L156">
        <v>409</v>
      </c>
      <c r="M156">
        <v>717</v>
      </c>
      <c r="N156">
        <v>1126</v>
      </c>
      <c r="O156" s="1">
        <v>0.48699999999999999</v>
      </c>
      <c r="P156" s="1">
        <v>0.314</v>
      </c>
      <c r="Q156" s="1">
        <v>0.19900000000000001</v>
      </c>
      <c r="R156" s="1">
        <v>0.19900000000000001</v>
      </c>
      <c r="S156" s="1">
        <v>0.38500000000000001</v>
      </c>
      <c r="T156" s="1">
        <v>0.41699999999999998</v>
      </c>
      <c r="U156">
        <v>11804</v>
      </c>
    </row>
    <row r="157" spans="1:21" x14ac:dyDescent="0.3">
      <c r="A157" t="s">
        <v>259</v>
      </c>
      <c r="B157" t="s">
        <v>93</v>
      </c>
      <c r="C157">
        <v>0.32600000000000001</v>
      </c>
      <c r="D157">
        <v>1.27</v>
      </c>
      <c r="E157" s="1">
        <v>0.27200000000000002</v>
      </c>
      <c r="F157" s="1">
        <v>0.40799999999999997</v>
      </c>
      <c r="G157" s="1">
        <v>0.32100000000000001</v>
      </c>
      <c r="H157" s="1">
        <v>6.8000000000000005E-2</v>
      </c>
      <c r="I157" s="1">
        <v>8.5000000000000006E-2</v>
      </c>
      <c r="J157">
        <v>64</v>
      </c>
      <c r="K157">
        <v>8.07</v>
      </c>
      <c r="L157">
        <v>428</v>
      </c>
      <c r="M157">
        <v>782</v>
      </c>
      <c r="N157">
        <v>1210</v>
      </c>
      <c r="O157" s="1">
        <v>0.35499999999999998</v>
      </c>
      <c r="P157" s="1">
        <v>0.33900000000000002</v>
      </c>
      <c r="Q157" s="1">
        <v>0.30599999999999999</v>
      </c>
      <c r="R157" s="1">
        <v>0.156</v>
      </c>
      <c r="S157" s="1">
        <v>0.46800000000000003</v>
      </c>
      <c r="T157" s="1">
        <v>0.376</v>
      </c>
      <c r="U157">
        <v>15855</v>
      </c>
    </row>
    <row r="158" spans="1:21" x14ac:dyDescent="0.3">
      <c r="A158" t="s">
        <v>204</v>
      </c>
      <c r="B158" t="s">
        <v>32</v>
      </c>
      <c r="C158">
        <v>0.35699999999999998</v>
      </c>
      <c r="D158">
        <v>1.26</v>
      </c>
      <c r="E158" s="1">
        <v>0.2</v>
      </c>
      <c r="F158" s="1">
        <v>0.44600000000000001</v>
      </c>
      <c r="G158" s="1">
        <v>0.35399999999999998</v>
      </c>
      <c r="H158" s="1">
        <v>0.109</v>
      </c>
      <c r="I158" s="1">
        <v>6.5000000000000002E-2</v>
      </c>
      <c r="J158">
        <v>30</v>
      </c>
      <c r="K158">
        <v>5.29</v>
      </c>
      <c r="L158">
        <v>351</v>
      </c>
      <c r="M158">
        <v>574</v>
      </c>
      <c r="N158">
        <v>925</v>
      </c>
      <c r="O158" s="1">
        <v>0.32800000000000001</v>
      </c>
      <c r="P158" s="1">
        <v>0.42</v>
      </c>
      <c r="Q158" s="1">
        <v>0.252</v>
      </c>
      <c r="R158" s="1">
        <v>0.20599999999999999</v>
      </c>
      <c r="S158" s="1">
        <v>0.45800000000000002</v>
      </c>
      <c r="T158" s="1">
        <v>0.33600000000000002</v>
      </c>
      <c r="U158">
        <v>9866</v>
      </c>
    </row>
    <row r="159" spans="1:21" x14ac:dyDescent="0.3">
      <c r="A159" t="s">
        <v>242</v>
      </c>
      <c r="B159" t="s">
        <v>30</v>
      </c>
      <c r="C159">
        <v>0.29899999999999999</v>
      </c>
      <c r="D159">
        <v>1.26</v>
      </c>
      <c r="E159" s="1">
        <v>0.20200000000000001</v>
      </c>
      <c r="F159" s="1">
        <v>0.44500000000000001</v>
      </c>
      <c r="G159" s="1">
        <v>0.35399999999999998</v>
      </c>
      <c r="H159" s="1">
        <v>7.8E-2</v>
      </c>
      <c r="I159" s="1">
        <v>0.11700000000000001</v>
      </c>
      <c r="J159">
        <v>100</v>
      </c>
      <c r="K159">
        <v>5.28</v>
      </c>
      <c r="L159">
        <v>852</v>
      </c>
      <c r="M159">
        <v>1805</v>
      </c>
      <c r="N159">
        <v>2657</v>
      </c>
      <c r="O159" s="1">
        <v>0.438</v>
      </c>
      <c r="P159" s="1">
        <v>0.34</v>
      </c>
      <c r="Q159" s="1">
        <v>0.223</v>
      </c>
      <c r="R159" s="1">
        <v>0.189</v>
      </c>
      <c r="S159" s="1">
        <v>0.439</v>
      </c>
      <c r="T159" s="1">
        <v>0.371</v>
      </c>
      <c r="U159">
        <v>12970</v>
      </c>
    </row>
    <row r="160" spans="1:21" x14ac:dyDescent="0.3">
      <c r="A160" t="s">
        <v>287</v>
      </c>
      <c r="B160" t="s">
        <v>98</v>
      </c>
      <c r="C160">
        <v>0.314</v>
      </c>
      <c r="D160">
        <v>1.25</v>
      </c>
      <c r="E160" s="1">
        <v>0.20100000000000001</v>
      </c>
      <c r="F160" s="1">
        <v>0.44400000000000001</v>
      </c>
      <c r="G160" s="1">
        <v>0.35399999999999998</v>
      </c>
      <c r="H160" s="1">
        <v>0.13700000000000001</v>
      </c>
      <c r="I160" s="1">
        <v>0.13700000000000001</v>
      </c>
      <c r="J160">
        <v>34</v>
      </c>
      <c r="K160">
        <v>5.77</v>
      </c>
      <c r="L160">
        <v>337</v>
      </c>
      <c r="M160">
        <v>597</v>
      </c>
      <c r="N160">
        <v>934</v>
      </c>
      <c r="O160" s="1">
        <v>0.442</v>
      </c>
      <c r="P160" s="1">
        <v>0.28599999999999998</v>
      </c>
      <c r="Q160" s="1">
        <v>0.27200000000000002</v>
      </c>
      <c r="R160" s="1">
        <v>0.19700000000000001</v>
      </c>
      <c r="S160" s="1">
        <v>0.41499999999999998</v>
      </c>
      <c r="T160" s="1">
        <v>0.38800000000000001</v>
      </c>
      <c r="U160">
        <v>19756</v>
      </c>
    </row>
    <row r="161" spans="1:21" x14ac:dyDescent="0.3">
      <c r="A161" t="s">
        <v>114</v>
      </c>
      <c r="B161" t="s">
        <v>56</v>
      </c>
      <c r="C161">
        <v>0.29599999999999999</v>
      </c>
      <c r="D161">
        <v>1.25</v>
      </c>
      <c r="E161" s="1">
        <v>0.21099999999999999</v>
      </c>
      <c r="F161" s="1">
        <v>0.439</v>
      </c>
      <c r="G161" s="1">
        <v>0.35</v>
      </c>
      <c r="H161" s="1">
        <v>0.114</v>
      </c>
      <c r="I161" s="1">
        <v>0.161</v>
      </c>
      <c r="J161">
        <v>120</v>
      </c>
      <c r="K161">
        <v>5.04</v>
      </c>
      <c r="L161">
        <v>1124</v>
      </c>
      <c r="M161">
        <v>2208</v>
      </c>
      <c r="N161">
        <v>3332</v>
      </c>
      <c r="O161" s="1">
        <v>0.39400000000000002</v>
      </c>
      <c r="P161" s="1">
        <v>0.34799999999999998</v>
      </c>
      <c r="Q161" s="1">
        <v>0.25800000000000001</v>
      </c>
      <c r="R161" s="1">
        <v>0.13400000000000001</v>
      </c>
      <c r="S161" s="1">
        <v>0.44</v>
      </c>
      <c r="T161" s="1">
        <v>0.42599999999999999</v>
      </c>
      <c r="U161">
        <v>19427</v>
      </c>
    </row>
    <row r="162" spans="1:21" x14ac:dyDescent="0.3">
      <c r="A162" t="s">
        <v>388</v>
      </c>
      <c r="B162" t="s">
        <v>159</v>
      </c>
      <c r="C162">
        <v>0.33900000000000002</v>
      </c>
      <c r="D162">
        <v>1.25</v>
      </c>
      <c r="E162" s="1">
        <v>0.245</v>
      </c>
      <c r="F162" s="1">
        <v>0.41899999999999998</v>
      </c>
      <c r="G162" s="1">
        <v>0.33600000000000002</v>
      </c>
      <c r="H162" s="1">
        <v>9.2999999999999999E-2</v>
      </c>
      <c r="I162" s="1">
        <v>0.14699999999999999</v>
      </c>
      <c r="J162">
        <v>43</v>
      </c>
      <c r="K162">
        <v>3.46</v>
      </c>
      <c r="L162">
        <v>653</v>
      </c>
      <c r="M162">
        <v>1213</v>
      </c>
      <c r="N162">
        <v>1866</v>
      </c>
      <c r="O162" s="1">
        <v>0.45</v>
      </c>
      <c r="P162" s="1">
        <v>0.29399999999999998</v>
      </c>
      <c r="Q162" s="1">
        <v>0.25600000000000001</v>
      </c>
      <c r="R162" s="1">
        <v>0.13600000000000001</v>
      </c>
      <c r="S162" s="1">
        <v>0.437</v>
      </c>
      <c r="T162" s="1">
        <v>0.42699999999999999</v>
      </c>
      <c r="U162">
        <v>4505</v>
      </c>
    </row>
    <row r="163" spans="1:21" x14ac:dyDescent="0.3">
      <c r="A163" t="s">
        <v>340</v>
      </c>
      <c r="B163" t="s">
        <v>193</v>
      </c>
      <c r="C163">
        <v>0.31</v>
      </c>
      <c r="D163">
        <v>1.24</v>
      </c>
      <c r="E163" s="1">
        <v>0.20599999999999999</v>
      </c>
      <c r="F163" s="1">
        <v>0.44</v>
      </c>
      <c r="G163" s="1">
        <v>0.35399999999999998</v>
      </c>
      <c r="H163" s="1">
        <v>0.12</v>
      </c>
      <c r="I163" s="1">
        <v>0.188</v>
      </c>
      <c r="J163">
        <v>94</v>
      </c>
      <c r="K163">
        <v>5.23</v>
      </c>
      <c r="L163">
        <v>978</v>
      </c>
      <c r="M163">
        <v>1743</v>
      </c>
      <c r="N163">
        <v>2721</v>
      </c>
      <c r="O163" s="1">
        <v>0.40600000000000003</v>
      </c>
      <c r="P163" s="1">
        <v>0.29899999999999999</v>
      </c>
      <c r="Q163" s="1">
        <v>0.29499999999999998</v>
      </c>
      <c r="R163" s="1">
        <v>0.18</v>
      </c>
      <c r="S163" s="1">
        <v>0.443</v>
      </c>
      <c r="T163" s="1">
        <v>0.377</v>
      </c>
      <c r="U163">
        <v>20633</v>
      </c>
    </row>
    <row r="164" spans="1:21" x14ac:dyDescent="0.3">
      <c r="A164" t="s">
        <v>320</v>
      </c>
      <c r="B164" t="s">
        <v>26</v>
      </c>
      <c r="C164">
        <v>0.29499999999999998</v>
      </c>
      <c r="D164">
        <v>1.24</v>
      </c>
      <c r="E164" s="1">
        <v>0.215</v>
      </c>
      <c r="F164" s="1">
        <v>0.435</v>
      </c>
      <c r="G164" s="1">
        <v>0.35</v>
      </c>
      <c r="H164" s="1">
        <v>5.3999999999999999E-2</v>
      </c>
      <c r="I164" s="1">
        <v>0.13500000000000001</v>
      </c>
      <c r="J164">
        <v>60</v>
      </c>
      <c r="K164">
        <v>5.24</v>
      </c>
      <c r="L164">
        <v>663</v>
      </c>
      <c r="M164">
        <v>1118</v>
      </c>
      <c r="N164">
        <v>1781</v>
      </c>
      <c r="O164" s="1">
        <v>0.42699999999999999</v>
      </c>
      <c r="P164" s="1">
        <v>0.313</v>
      </c>
      <c r="Q164" s="1">
        <v>0.26</v>
      </c>
      <c r="R164" s="1">
        <v>0.155</v>
      </c>
      <c r="S164" s="1">
        <v>0.43</v>
      </c>
      <c r="T164" s="1">
        <v>0.41499999999999998</v>
      </c>
      <c r="U164">
        <v>19312</v>
      </c>
    </row>
    <row r="165" spans="1:21" x14ac:dyDescent="0.3">
      <c r="A165" t="s">
        <v>181</v>
      </c>
      <c r="B165" t="s">
        <v>102</v>
      </c>
      <c r="C165">
        <v>0.27100000000000002</v>
      </c>
      <c r="D165">
        <v>1.24</v>
      </c>
      <c r="E165" s="1">
        <v>0.19500000000000001</v>
      </c>
      <c r="F165" s="1">
        <v>0.44600000000000001</v>
      </c>
      <c r="G165" s="1">
        <v>0.35899999999999999</v>
      </c>
      <c r="H165" s="1">
        <v>0.108</v>
      </c>
      <c r="I165" s="1">
        <v>0.108</v>
      </c>
      <c r="J165">
        <v>67</v>
      </c>
      <c r="K165">
        <v>3.06</v>
      </c>
      <c r="L165">
        <v>1093</v>
      </c>
      <c r="M165">
        <v>1998</v>
      </c>
      <c r="N165">
        <v>3091</v>
      </c>
      <c r="O165" s="1">
        <v>0.40600000000000003</v>
      </c>
      <c r="P165" s="1">
        <v>0.35099999999999998</v>
      </c>
      <c r="Q165" s="1">
        <v>0.24199999999999999</v>
      </c>
      <c r="R165" s="1">
        <v>0.19700000000000001</v>
      </c>
      <c r="S165" s="1">
        <v>0.45700000000000002</v>
      </c>
      <c r="T165" s="1">
        <v>0.34599999999999997</v>
      </c>
      <c r="U165">
        <v>18684</v>
      </c>
    </row>
    <row r="166" spans="1:21" x14ac:dyDescent="0.3">
      <c r="A166" t="s">
        <v>348</v>
      </c>
      <c r="B166" t="s">
        <v>146</v>
      </c>
      <c r="C166">
        <v>0.27300000000000002</v>
      </c>
      <c r="D166">
        <v>1.23</v>
      </c>
      <c r="E166" s="1">
        <v>0.154</v>
      </c>
      <c r="F166" s="1">
        <v>0.46700000000000003</v>
      </c>
      <c r="G166" s="1">
        <v>0.379</v>
      </c>
      <c r="H166" s="1">
        <v>2.8000000000000001E-2</v>
      </c>
      <c r="I166" s="1">
        <v>0.2</v>
      </c>
      <c r="J166">
        <v>49</v>
      </c>
      <c r="K166">
        <v>3.98</v>
      </c>
      <c r="L166">
        <v>643</v>
      </c>
      <c r="M166">
        <v>1172</v>
      </c>
      <c r="N166">
        <v>1815</v>
      </c>
      <c r="O166" s="1">
        <v>0.46899999999999997</v>
      </c>
      <c r="P166" s="1">
        <v>0.29199999999999998</v>
      </c>
      <c r="Q166" s="1">
        <v>0.24</v>
      </c>
      <c r="R166" s="1">
        <v>0.14299999999999999</v>
      </c>
      <c r="S166" s="1">
        <v>0.497</v>
      </c>
      <c r="T166" s="1">
        <v>0.35899999999999999</v>
      </c>
      <c r="U166">
        <v>12938</v>
      </c>
    </row>
    <row r="167" spans="1:21" x14ac:dyDescent="0.3">
      <c r="A167" t="s">
        <v>218</v>
      </c>
      <c r="B167" t="s">
        <v>83</v>
      </c>
      <c r="C167">
        <v>0.28699999999999998</v>
      </c>
      <c r="D167">
        <v>1.23</v>
      </c>
      <c r="E167" s="1">
        <v>0.20499999999999999</v>
      </c>
      <c r="F167" s="1">
        <v>0.439</v>
      </c>
      <c r="G167" s="1">
        <v>0.35699999999999998</v>
      </c>
      <c r="H167" s="1">
        <v>0.115</v>
      </c>
      <c r="I167" s="1">
        <v>0.14799999999999999</v>
      </c>
      <c r="J167">
        <v>18</v>
      </c>
      <c r="K167">
        <v>3</v>
      </c>
      <c r="L167">
        <v>264</v>
      </c>
      <c r="M167">
        <v>549</v>
      </c>
      <c r="N167">
        <v>813</v>
      </c>
      <c r="O167" s="1">
        <v>0.30599999999999999</v>
      </c>
      <c r="P167" s="1">
        <v>0.42799999999999999</v>
      </c>
      <c r="Q167" s="1">
        <v>0.26600000000000001</v>
      </c>
      <c r="R167" s="1">
        <v>0.22500000000000001</v>
      </c>
      <c r="S167" s="1">
        <v>0.41599999999999998</v>
      </c>
      <c r="T167" s="1">
        <v>0.35799999999999998</v>
      </c>
      <c r="U167">
        <v>3132</v>
      </c>
    </row>
    <row r="168" spans="1:21" x14ac:dyDescent="0.3">
      <c r="A168" t="s">
        <v>369</v>
      </c>
      <c r="B168" t="s">
        <v>38</v>
      </c>
      <c r="C168">
        <v>0.315</v>
      </c>
      <c r="D168">
        <v>1.23</v>
      </c>
      <c r="E168" s="1">
        <v>0.192</v>
      </c>
      <c r="F168" s="1">
        <v>0.44600000000000001</v>
      </c>
      <c r="G168" s="1">
        <v>0.36299999999999999</v>
      </c>
      <c r="H168" s="1">
        <v>4.2999999999999997E-2</v>
      </c>
      <c r="I168" s="1">
        <v>0.22900000000000001</v>
      </c>
      <c r="J168">
        <v>46</v>
      </c>
      <c r="K168">
        <v>6.12</v>
      </c>
      <c r="L168">
        <v>480</v>
      </c>
      <c r="M168">
        <v>784</v>
      </c>
      <c r="N168">
        <v>1264</v>
      </c>
      <c r="O168" s="1">
        <v>0.371</v>
      </c>
      <c r="P168" s="1">
        <v>0.34</v>
      </c>
      <c r="Q168" s="1">
        <v>0.28899999999999998</v>
      </c>
      <c r="R168" s="1">
        <v>0.155</v>
      </c>
      <c r="S168" s="1">
        <v>0.47399999999999998</v>
      </c>
      <c r="T168" s="1">
        <v>0.371</v>
      </c>
      <c r="U168">
        <v>9132</v>
      </c>
    </row>
    <row r="169" spans="1:21" x14ac:dyDescent="0.3">
      <c r="A169" t="s">
        <v>84</v>
      </c>
      <c r="B169" t="s">
        <v>43</v>
      </c>
      <c r="C169">
        <v>0.215</v>
      </c>
      <c r="D169">
        <v>1.23</v>
      </c>
      <c r="E169" s="1">
        <v>0.17899999999999999</v>
      </c>
      <c r="F169" s="1">
        <v>0.45200000000000001</v>
      </c>
      <c r="G169" s="1">
        <v>0.36899999999999999</v>
      </c>
      <c r="H169" s="1">
        <v>1.6E-2</v>
      </c>
      <c r="I169" s="1">
        <v>0.113</v>
      </c>
      <c r="J169">
        <v>18</v>
      </c>
      <c r="K169">
        <v>2.66</v>
      </c>
      <c r="L169">
        <v>364</v>
      </c>
      <c r="M169">
        <v>611</v>
      </c>
      <c r="N169">
        <v>975</v>
      </c>
      <c r="O169" s="1">
        <v>0.44700000000000001</v>
      </c>
      <c r="P169" s="1">
        <v>0.35299999999999998</v>
      </c>
      <c r="Q169" s="1">
        <v>0.2</v>
      </c>
      <c r="R169" s="1">
        <v>8.7999999999999995E-2</v>
      </c>
      <c r="S169" s="1">
        <v>0.53500000000000003</v>
      </c>
      <c r="T169" s="1">
        <v>0.376</v>
      </c>
      <c r="U169">
        <v>6661</v>
      </c>
    </row>
    <row r="170" spans="1:21" x14ac:dyDescent="0.3">
      <c r="A170" t="s">
        <v>112</v>
      </c>
      <c r="B170" t="s">
        <v>53</v>
      </c>
      <c r="C170">
        <v>0.28999999999999998</v>
      </c>
      <c r="D170">
        <v>1.23</v>
      </c>
      <c r="E170" s="1">
        <v>0.22500000000000001</v>
      </c>
      <c r="F170" s="1">
        <v>0.42699999999999999</v>
      </c>
      <c r="G170" s="1">
        <v>0.34799999999999998</v>
      </c>
      <c r="H170" s="1">
        <v>6.0999999999999999E-2</v>
      </c>
      <c r="I170" s="1">
        <v>0.122</v>
      </c>
      <c r="J170">
        <v>123</v>
      </c>
      <c r="K170">
        <v>6.07</v>
      </c>
      <c r="L170">
        <v>899</v>
      </c>
      <c r="M170">
        <v>1939</v>
      </c>
      <c r="N170">
        <v>2838</v>
      </c>
      <c r="O170" s="1">
        <v>0.34300000000000003</v>
      </c>
      <c r="P170" s="1">
        <v>0.38100000000000001</v>
      </c>
      <c r="Q170" s="1">
        <v>0.27600000000000002</v>
      </c>
      <c r="R170" s="1">
        <v>0.14000000000000001</v>
      </c>
      <c r="S170" s="1">
        <v>0.441</v>
      </c>
      <c r="T170" s="1">
        <v>0.41799999999999998</v>
      </c>
      <c r="U170">
        <v>19374</v>
      </c>
    </row>
    <row r="171" spans="1:21" x14ac:dyDescent="0.3">
      <c r="A171" t="s">
        <v>187</v>
      </c>
      <c r="B171" t="s">
        <v>58</v>
      </c>
      <c r="C171">
        <v>0.311</v>
      </c>
      <c r="D171">
        <v>1.22</v>
      </c>
      <c r="E171" s="1">
        <v>0.214</v>
      </c>
      <c r="F171" s="1">
        <v>0.432</v>
      </c>
      <c r="G171" s="1">
        <v>0.35299999999999998</v>
      </c>
      <c r="H171" s="1">
        <v>0.109</v>
      </c>
      <c r="I171" s="1">
        <v>0.109</v>
      </c>
      <c r="J171">
        <v>112</v>
      </c>
      <c r="K171">
        <v>5.16</v>
      </c>
      <c r="L171">
        <v>1039</v>
      </c>
      <c r="M171">
        <v>2120</v>
      </c>
      <c r="N171">
        <v>3159</v>
      </c>
      <c r="O171" s="1">
        <v>0.39500000000000002</v>
      </c>
      <c r="P171" s="1">
        <v>0.307</v>
      </c>
      <c r="Q171" s="1">
        <v>0.29799999999999999</v>
      </c>
      <c r="R171" s="1">
        <v>0.193</v>
      </c>
      <c r="S171" s="1">
        <v>0.49299999999999999</v>
      </c>
      <c r="T171" s="1">
        <v>0.314</v>
      </c>
      <c r="U171">
        <v>10310</v>
      </c>
    </row>
    <row r="172" spans="1:21" x14ac:dyDescent="0.3">
      <c r="A172" t="s">
        <v>382</v>
      </c>
      <c r="B172" t="s">
        <v>36</v>
      </c>
      <c r="C172">
        <v>0.31900000000000001</v>
      </c>
      <c r="D172">
        <v>1.22</v>
      </c>
      <c r="E172" s="1">
        <v>0.184</v>
      </c>
      <c r="F172" s="1">
        <v>0.44900000000000001</v>
      </c>
      <c r="G172" s="1">
        <v>0.36699999999999999</v>
      </c>
      <c r="H172" s="1">
        <v>8.3000000000000004E-2</v>
      </c>
      <c r="I172" s="1">
        <v>0.18099999999999999</v>
      </c>
      <c r="J172">
        <v>28</v>
      </c>
      <c r="K172">
        <v>4.2699999999999996</v>
      </c>
      <c r="L172">
        <v>329</v>
      </c>
      <c r="M172">
        <v>634</v>
      </c>
      <c r="N172">
        <v>963</v>
      </c>
      <c r="O172" s="1">
        <v>0.41599999999999998</v>
      </c>
      <c r="P172" s="1">
        <v>0.33500000000000002</v>
      </c>
      <c r="Q172" s="1">
        <v>0.249</v>
      </c>
      <c r="R172" s="1">
        <v>0.23899999999999999</v>
      </c>
      <c r="S172" s="1">
        <v>0.376</v>
      </c>
      <c r="T172" s="1">
        <v>0.38600000000000001</v>
      </c>
      <c r="U172">
        <v>3543</v>
      </c>
    </row>
    <row r="173" spans="1:21" x14ac:dyDescent="0.3">
      <c r="A173" t="s">
        <v>324</v>
      </c>
      <c r="B173" t="s">
        <v>127</v>
      </c>
      <c r="C173">
        <v>0.318</v>
      </c>
      <c r="D173">
        <v>1.22</v>
      </c>
      <c r="E173" s="1">
        <v>0.22900000000000001</v>
      </c>
      <c r="F173" s="1">
        <v>0.42399999999999999</v>
      </c>
      <c r="G173" s="1">
        <v>0.34699999999999998</v>
      </c>
      <c r="H173" s="1">
        <v>6.5000000000000002E-2</v>
      </c>
      <c r="I173" s="1">
        <v>0.16700000000000001</v>
      </c>
      <c r="J173">
        <v>90</v>
      </c>
      <c r="K173">
        <v>4.62</v>
      </c>
      <c r="L173">
        <v>1075</v>
      </c>
      <c r="M173">
        <v>1851</v>
      </c>
      <c r="N173">
        <v>2926</v>
      </c>
      <c r="O173" s="1">
        <v>0.439</v>
      </c>
      <c r="P173" s="1">
        <v>0.34100000000000003</v>
      </c>
      <c r="Q173" s="1">
        <v>0.22</v>
      </c>
      <c r="R173" s="1">
        <v>0.125</v>
      </c>
      <c r="S173" s="1">
        <v>0.44900000000000001</v>
      </c>
      <c r="T173" s="1">
        <v>0.42599999999999999</v>
      </c>
      <c r="U173">
        <v>13619</v>
      </c>
    </row>
    <row r="174" spans="1:21" x14ac:dyDescent="0.3">
      <c r="A174" t="s">
        <v>213</v>
      </c>
      <c r="B174" t="s">
        <v>32</v>
      </c>
      <c r="C174">
        <v>0.26400000000000001</v>
      </c>
      <c r="D174">
        <v>1.22</v>
      </c>
      <c r="E174" s="1">
        <v>0.20300000000000001</v>
      </c>
      <c r="F174" s="1">
        <v>0.438</v>
      </c>
      <c r="G174" s="1">
        <v>0.35899999999999999</v>
      </c>
      <c r="H174" s="1">
        <v>0.109</v>
      </c>
      <c r="I174" s="1">
        <v>0.10199999999999999</v>
      </c>
      <c r="J174">
        <v>71</v>
      </c>
      <c r="K174">
        <v>4.51</v>
      </c>
      <c r="L174">
        <v>680</v>
      </c>
      <c r="M174">
        <v>1377</v>
      </c>
      <c r="N174">
        <v>2057</v>
      </c>
      <c r="O174" s="1">
        <v>0.38700000000000001</v>
      </c>
      <c r="P174" s="1">
        <v>0.35299999999999998</v>
      </c>
      <c r="Q174" s="1">
        <v>0.26</v>
      </c>
      <c r="R174" s="1">
        <v>0.185</v>
      </c>
      <c r="S174" s="1">
        <v>0.50700000000000001</v>
      </c>
      <c r="T174" s="1">
        <v>0.308</v>
      </c>
      <c r="U174">
        <v>16502</v>
      </c>
    </row>
    <row r="175" spans="1:21" x14ac:dyDescent="0.3">
      <c r="A175" t="s">
        <v>298</v>
      </c>
      <c r="B175" t="s">
        <v>143</v>
      </c>
      <c r="C175">
        <v>0.31</v>
      </c>
      <c r="D175">
        <v>1.21</v>
      </c>
      <c r="E175" s="1">
        <v>0.24199999999999999</v>
      </c>
      <c r="F175" s="1">
        <v>0.41499999999999998</v>
      </c>
      <c r="G175" s="1">
        <v>0.34300000000000003</v>
      </c>
      <c r="H175" s="1">
        <v>9.9000000000000005E-2</v>
      </c>
      <c r="I175" s="1">
        <v>0.14799999999999999</v>
      </c>
      <c r="J175">
        <v>45</v>
      </c>
      <c r="K175">
        <v>5.19</v>
      </c>
      <c r="L175">
        <v>484</v>
      </c>
      <c r="M175">
        <v>823</v>
      </c>
      <c r="N175">
        <v>1307</v>
      </c>
      <c r="O175" s="1">
        <v>0.36599999999999999</v>
      </c>
      <c r="P175" s="1">
        <v>0.378</v>
      </c>
      <c r="Q175" s="1">
        <v>0.25600000000000001</v>
      </c>
      <c r="R175" s="1">
        <v>0.16</v>
      </c>
      <c r="S175" s="1">
        <v>0.42</v>
      </c>
      <c r="T175" s="1">
        <v>0.42</v>
      </c>
      <c r="U175">
        <v>5448</v>
      </c>
    </row>
    <row r="176" spans="1:21" x14ac:dyDescent="0.3">
      <c r="A176" t="s">
        <v>367</v>
      </c>
      <c r="B176" t="s">
        <v>48</v>
      </c>
      <c r="C176">
        <v>0.29699999999999999</v>
      </c>
      <c r="D176">
        <v>1.21</v>
      </c>
      <c r="E176" s="1">
        <v>0.21299999999999999</v>
      </c>
      <c r="F176" s="1">
        <v>0.43</v>
      </c>
      <c r="G176" s="1">
        <v>0.35699999999999998</v>
      </c>
      <c r="H176" s="1">
        <v>8.7999999999999995E-2</v>
      </c>
      <c r="I176" s="1">
        <v>0.13700000000000001</v>
      </c>
      <c r="J176">
        <v>54</v>
      </c>
      <c r="K176">
        <v>5.28</v>
      </c>
      <c r="L176">
        <v>586</v>
      </c>
      <c r="M176">
        <v>962</v>
      </c>
      <c r="N176">
        <v>1548</v>
      </c>
      <c r="O176" s="1">
        <v>0.439</v>
      </c>
      <c r="P176" s="1">
        <v>0.32900000000000001</v>
      </c>
      <c r="Q176" s="1">
        <v>0.23200000000000001</v>
      </c>
      <c r="R176" s="1">
        <v>0.16300000000000001</v>
      </c>
      <c r="S176" s="1">
        <v>0.45</v>
      </c>
      <c r="T176" s="1">
        <v>0.38800000000000001</v>
      </c>
      <c r="U176">
        <v>14862</v>
      </c>
    </row>
    <row r="177" spans="1:21" x14ac:dyDescent="0.3">
      <c r="A177" t="s">
        <v>266</v>
      </c>
      <c r="B177" t="s">
        <v>62</v>
      </c>
      <c r="C177">
        <v>0.25600000000000001</v>
      </c>
      <c r="D177">
        <v>1.2</v>
      </c>
      <c r="E177" s="1">
        <v>0.223</v>
      </c>
      <c r="F177" s="1">
        <v>0.42399999999999999</v>
      </c>
      <c r="G177" s="1">
        <v>0.35199999999999998</v>
      </c>
      <c r="H177" s="1">
        <v>6.5000000000000002E-2</v>
      </c>
      <c r="I177" s="1">
        <v>0.17199999999999999</v>
      </c>
      <c r="J177">
        <v>49</v>
      </c>
      <c r="K177">
        <v>4.58</v>
      </c>
      <c r="L177">
        <v>595</v>
      </c>
      <c r="M177">
        <v>975</v>
      </c>
      <c r="N177">
        <v>1570</v>
      </c>
      <c r="O177" s="1">
        <v>0.47699999999999998</v>
      </c>
      <c r="P177" s="1">
        <v>0.316</v>
      </c>
      <c r="Q177" s="1">
        <v>0.20699999999999999</v>
      </c>
      <c r="R177" s="1">
        <v>0.13500000000000001</v>
      </c>
      <c r="S177" s="1">
        <v>0.44700000000000001</v>
      </c>
      <c r="T177" s="1">
        <v>0.41699999999999998</v>
      </c>
      <c r="U177">
        <v>13403</v>
      </c>
    </row>
    <row r="178" spans="1:21" x14ac:dyDescent="0.3">
      <c r="A178" t="s">
        <v>126</v>
      </c>
      <c r="B178" t="s">
        <v>127</v>
      </c>
      <c r="C178">
        <v>0.34300000000000003</v>
      </c>
      <c r="D178">
        <v>1.19</v>
      </c>
      <c r="E178" s="1">
        <v>0.18099999999999999</v>
      </c>
      <c r="F178" s="1">
        <v>0.44400000000000001</v>
      </c>
      <c r="G178" s="1">
        <v>0.374</v>
      </c>
      <c r="H178" s="1">
        <v>0.125</v>
      </c>
      <c r="I178" s="1">
        <v>9.4E-2</v>
      </c>
      <c r="J178">
        <v>11</v>
      </c>
      <c r="K178">
        <v>1.56</v>
      </c>
      <c r="L178">
        <v>377</v>
      </c>
      <c r="M178">
        <v>719</v>
      </c>
      <c r="N178">
        <v>1096</v>
      </c>
      <c r="O178" s="1">
        <v>0.36</v>
      </c>
      <c r="P178" s="1">
        <v>0.309</v>
      </c>
      <c r="Q178" s="1">
        <v>0.33100000000000002</v>
      </c>
      <c r="R178" s="1">
        <v>0.16</v>
      </c>
      <c r="S178" s="1">
        <v>0.50900000000000001</v>
      </c>
      <c r="T178" s="1">
        <v>0.33100000000000002</v>
      </c>
      <c r="U178">
        <v>6986</v>
      </c>
    </row>
    <row r="179" spans="1:21" x14ac:dyDescent="0.3">
      <c r="A179" t="s">
        <v>240</v>
      </c>
      <c r="B179" t="s">
        <v>38</v>
      </c>
      <c r="C179">
        <v>0.309</v>
      </c>
      <c r="D179">
        <v>1.19</v>
      </c>
      <c r="E179" s="1">
        <v>0.21099999999999999</v>
      </c>
      <c r="F179" s="1">
        <v>0.42799999999999999</v>
      </c>
      <c r="G179" s="1">
        <v>0.36099999999999999</v>
      </c>
      <c r="H179" s="1">
        <v>8.8999999999999996E-2</v>
      </c>
      <c r="I179" s="1">
        <v>0.19500000000000001</v>
      </c>
      <c r="J179">
        <v>64</v>
      </c>
      <c r="K179">
        <v>3.91</v>
      </c>
      <c r="L179">
        <v>824</v>
      </c>
      <c r="M179">
        <v>1642</v>
      </c>
      <c r="N179">
        <v>2466</v>
      </c>
      <c r="O179" s="1">
        <v>0.41899999999999998</v>
      </c>
      <c r="P179" s="1">
        <v>0.32800000000000001</v>
      </c>
      <c r="Q179" s="1">
        <v>0.253</v>
      </c>
      <c r="R179" s="1">
        <v>0.16900000000000001</v>
      </c>
      <c r="S179" s="1">
        <v>0.47099999999999997</v>
      </c>
      <c r="T179" s="1">
        <v>0.36</v>
      </c>
      <c r="U179">
        <v>10603</v>
      </c>
    </row>
    <row r="180" spans="1:21" x14ac:dyDescent="0.3">
      <c r="A180" t="s">
        <v>131</v>
      </c>
      <c r="B180" t="s">
        <v>77</v>
      </c>
      <c r="C180">
        <v>0.28699999999999998</v>
      </c>
      <c r="D180">
        <v>1.19</v>
      </c>
      <c r="E180" s="1">
        <v>0.23899999999999999</v>
      </c>
      <c r="F180" s="1">
        <v>0.41299999999999998</v>
      </c>
      <c r="G180" s="1">
        <v>0.34799999999999998</v>
      </c>
      <c r="H180" s="1">
        <v>9.9000000000000005E-2</v>
      </c>
      <c r="I180" s="1">
        <v>0.104</v>
      </c>
      <c r="J180">
        <v>91</v>
      </c>
      <c r="K180">
        <v>4.63</v>
      </c>
      <c r="L180">
        <v>858</v>
      </c>
      <c r="M180">
        <v>1840</v>
      </c>
      <c r="N180">
        <v>2698</v>
      </c>
      <c r="O180" s="1">
        <v>0.38100000000000001</v>
      </c>
      <c r="P180" s="1">
        <v>0.36799999999999999</v>
      </c>
      <c r="Q180" s="1">
        <v>0.251</v>
      </c>
      <c r="R180" s="1">
        <v>0.19700000000000001</v>
      </c>
      <c r="S180" s="1">
        <v>0.46500000000000002</v>
      </c>
      <c r="T180" s="1">
        <v>0.33800000000000002</v>
      </c>
      <c r="U180">
        <v>12049</v>
      </c>
    </row>
    <row r="181" spans="1:21" x14ac:dyDescent="0.3">
      <c r="A181" t="s">
        <v>82</v>
      </c>
      <c r="B181" t="s">
        <v>83</v>
      </c>
      <c r="C181">
        <v>0.27700000000000002</v>
      </c>
      <c r="D181">
        <v>1.18</v>
      </c>
      <c r="E181" s="1">
        <v>0.22500000000000001</v>
      </c>
      <c r="F181" s="1">
        <v>0.42</v>
      </c>
      <c r="G181" s="1">
        <v>0.35499999999999998</v>
      </c>
      <c r="H181" s="1">
        <v>6.0999999999999999E-2</v>
      </c>
      <c r="I181" s="1">
        <v>0.20399999999999999</v>
      </c>
      <c r="J181">
        <v>15</v>
      </c>
      <c r="K181">
        <v>2.0699999999999998</v>
      </c>
      <c r="L181">
        <v>354</v>
      </c>
      <c r="M181">
        <v>689</v>
      </c>
      <c r="N181">
        <v>1043</v>
      </c>
      <c r="O181" s="1">
        <v>0.41399999999999998</v>
      </c>
      <c r="P181" s="1">
        <v>0.314</v>
      </c>
      <c r="Q181" s="1">
        <v>0.27100000000000002</v>
      </c>
      <c r="R181" s="1">
        <v>0.157</v>
      </c>
      <c r="S181" s="1">
        <v>0.45</v>
      </c>
      <c r="T181" s="1">
        <v>0.39300000000000002</v>
      </c>
      <c r="U181">
        <v>8048</v>
      </c>
    </row>
    <row r="182" spans="1:21" x14ac:dyDescent="0.3">
      <c r="A182" t="s">
        <v>241</v>
      </c>
      <c r="B182" t="s">
        <v>98</v>
      </c>
      <c r="C182">
        <v>0.29199999999999998</v>
      </c>
      <c r="D182">
        <v>1.18</v>
      </c>
      <c r="E182" s="1">
        <v>0.224</v>
      </c>
      <c r="F182" s="1">
        <v>0.42</v>
      </c>
      <c r="G182" s="1">
        <v>0.35599999999999998</v>
      </c>
      <c r="H182" s="1">
        <v>6.6000000000000003E-2</v>
      </c>
      <c r="I182" s="1">
        <v>0.14799999999999999</v>
      </c>
      <c r="J182">
        <v>99</v>
      </c>
      <c r="K182">
        <v>4.8600000000000003</v>
      </c>
      <c r="L182">
        <v>1064</v>
      </c>
      <c r="M182">
        <v>1898</v>
      </c>
      <c r="N182">
        <v>2962</v>
      </c>
      <c r="O182" s="1">
        <v>0.45700000000000002</v>
      </c>
      <c r="P182" s="1">
        <v>0.31</v>
      </c>
      <c r="Q182" s="1">
        <v>0.23300000000000001</v>
      </c>
      <c r="R182" s="1">
        <v>0.127</v>
      </c>
      <c r="S182" s="1">
        <v>0.44600000000000001</v>
      </c>
      <c r="T182" s="1">
        <v>0.42699999999999999</v>
      </c>
      <c r="U182">
        <v>11156</v>
      </c>
    </row>
    <row r="183" spans="1:21" x14ac:dyDescent="0.3">
      <c r="A183" t="s">
        <v>344</v>
      </c>
      <c r="B183" t="s">
        <v>48</v>
      </c>
      <c r="C183">
        <v>0.34899999999999998</v>
      </c>
      <c r="D183">
        <v>1.17</v>
      </c>
      <c r="E183" s="1">
        <v>0.26400000000000001</v>
      </c>
      <c r="F183" s="1">
        <v>0.39700000000000002</v>
      </c>
      <c r="G183" s="1">
        <v>0.33900000000000002</v>
      </c>
      <c r="H183" s="1">
        <v>9.9000000000000005E-2</v>
      </c>
      <c r="I183" s="1">
        <v>0.16</v>
      </c>
      <c r="J183">
        <v>49</v>
      </c>
      <c r="K183">
        <v>5.8</v>
      </c>
      <c r="L183">
        <v>505</v>
      </c>
      <c r="M183">
        <v>858</v>
      </c>
      <c r="N183">
        <v>1363</v>
      </c>
      <c r="O183" s="1">
        <v>0.33600000000000002</v>
      </c>
      <c r="P183" s="1">
        <v>0.38600000000000001</v>
      </c>
      <c r="Q183" s="1">
        <v>0.27800000000000002</v>
      </c>
      <c r="R183" s="1">
        <v>0.17399999999999999</v>
      </c>
      <c r="S183" s="1">
        <v>0.44800000000000001</v>
      </c>
      <c r="T183" s="1">
        <v>0.378</v>
      </c>
      <c r="U183">
        <v>13761</v>
      </c>
    </row>
    <row r="184" spans="1:21" x14ac:dyDescent="0.3">
      <c r="A184" t="s">
        <v>253</v>
      </c>
      <c r="B184" t="s">
        <v>159</v>
      </c>
      <c r="C184">
        <v>0.309</v>
      </c>
      <c r="D184">
        <v>1.17</v>
      </c>
      <c r="E184" s="1">
        <v>0.21099999999999999</v>
      </c>
      <c r="F184" s="1">
        <v>0.42599999999999999</v>
      </c>
      <c r="G184" s="1">
        <v>0.36399999999999999</v>
      </c>
      <c r="H184" s="1">
        <v>6.9000000000000006E-2</v>
      </c>
      <c r="I184" s="1">
        <v>0.157</v>
      </c>
      <c r="J184">
        <v>67</v>
      </c>
      <c r="K184">
        <v>4.18</v>
      </c>
      <c r="L184">
        <v>828</v>
      </c>
      <c r="M184">
        <v>1533</v>
      </c>
      <c r="N184">
        <v>2361</v>
      </c>
      <c r="O184" s="1">
        <v>0.4</v>
      </c>
      <c r="P184" s="1">
        <v>0.34499999999999997</v>
      </c>
      <c r="Q184" s="1">
        <v>0.255</v>
      </c>
      <c r="R184" s="1">
        <v>0.13500000000000001</v>
      </c>
      <c r="S184" s="1">
        <v>0.48099999999999998</v>
      </c>
      <c r="T184" s="1">
        <v>0.38400000000000001</v>
      </c>
      <c r="U184">
        <v>13475</v>
      </c>
    </row>
    <row r="185" spans="1:21" x14ac:dyDescent="0.3">
      <c r="A185" t="s">
        <v>243</v>
      </c>
      <c r="B185" t="s">
        <v>83</v>
      </c>
      <c r="C185">
        <v>0.27600000000000002</v>
      </c>
      <c r="D185">
        <v>1.1599999999999999</v>
      </c>
      <c r="E185" s="1">
        <v>0.19700000000000001</v>
      </c>
      <c r="F185" s="1">
        <v>0.43099999999999999</v>
      </c>
      <c r="G185" s="1">
        <v>0.372</v>
      </c>
      <c r="H185" s="1">
        <v>0.17599999999999999</v>
      </c>
      <c r="I185" s="1">
        <v>7.8E-2</v>
      </c>
      <c r="J185">
        <v>27</v>
      </c>
      <c r="K185">
        <v>4.6100000000000003</v>
      </c>
      <c r="L185">
        <v>315</v>
      </c>
      <c r="M185">
        <v>599</v>
      </c>
      <c r="N185">
        <v>914</v>
      </c>
      <c r="O185" s="1">
        <v>0.34100000000000003</v>
      </c>
      <c r="P185" s="1">
        <v>0.39100000000000001</v>
      </c>
      <c r="Q185" s="1">
        <v>0.26800000000000002</v>
      </c>
      <c r="R185" s="1">
        <v>0.254</v>
      </c>
      <c r="S185" s="1">
        <v>0.35499999999999998</v>
      </c>
      <c r="T185" s="1">
        <v>0.39100000000000001</v>
      </c>
      <c r="U185">
        <v>15046</v>
      </c>
    </row>
    <row r="186" spans="1:21" x14ac:dyDescent="0.3">
      <c r="A186" t="s">
        <v>275</v>
      </c>
      <c r="B186" t="s">
        <v>43</v>
      </c>
      <c r="C186">
        <v>0.26</v>
      </c>
      <c r="D186">
        <v>1.1499999999999999</v>
      </c>
      <c r="E186" s="1">
        <v>0.21099999999999999</v>
      </c>
      <c r="F186" s="1">
        <v>0.42299999999999999</v>
      </c>
      <c r="G186" s="1">
        <v>0.36599999999999999</v>
      </c>
      <c r="H186" s="1">
        <v>7.0000000000000007E-2</v>
      </c>
      <c r="I186" s="1">
        <v>0.21099999999999999</v>
      </c>
      <c r="J186">
        <v>19</v>
      </c>
      <c r="K186">
        <v>2.5299999999999998</v>
      </c>
      <c r="L186">
        <v>370</v>
      </c>
      <c r="M186">
        <v>683</v>
      </c>
      <c r="N186">
        <v>1053</v>
      </c>
      <c r="O186" s="1">
        <v>0.48499999999999999</v>
      </c>
      <c r="P186" s="1">
        <v>0.30099999999999999</v>
      </c>
      <c r="Q186" s="1">
        <v>0.214</v>
      </c>
      <c r="R186" s="1">
        <v>0.184</v>
      </c>
      <c r="S186" s="1">
        <v>0.46400000000000002</v>
      </c>
      <c r="T186" s="1">
        <v>0.35199999999999998</v>
      </c>
      <c r="U186">
        <v>11528</v>
      </c>
    </row>
    <row r="187" spans="1:21" x14ac:dyDescent="0.3">
      <c r="A187" t="s">
        <v>226</v>
      </c>
      <c r="B187" t="s">
        <v>38</v>
      </c>
      <c r="C187">
        <v>0.33600000000000002</v>
      </c>
      <c r="D187">
        <v>1.1499999999999999</v>
      </c>
      <c r="E187" s="1">
        <v>0.23499999999999999</v>
      </c>
      <c r="F187" s="1">
        <v>0.41</v>
      </c>
      <c r="G187" s="1">
        <v>0.35499999999999998</v>
      </c>
      <c r="H187" s="1">
        <v>0.115</v>
      </c>
      <c r="I187" s="1">
        <v>0.14399999999999999</v>
      </c>
      <c r="J187">
        <v>68</v>
      </c>
      <c r="K187">
        <v>5.7</v>
      </c>
      <c r="L187">
        <v>642</v>
      </c>
      <c r="M187">
        <v>1220</v>
      </c>
      <c r="N187">
        <v>1862</v>
      </c>
      <c r="O187" s="1">
        <v>0.42399999999999999</v>
      </c>
      <c r="P187" s="1">
        <v>0.32900000000000001</v>
      </c>
      <c r="Q187" s="1">
        <v>0.247</v>
      </c>
      <c r="R187" s="1">
        <v>0.19700000000000001</v>
      </c>
      <c r="S187" s="1">
        <v>0.434</v>
      </c>
      <c r="T187" s="1">
        <v>0.36899999999999999</v>
      </c>
      <c r="U187">
        <v>3184</v>
      </c>
    </row>
    <row r="188" spans="1:21" x14ac:dyDescent="0.3">
      <c r="A188" t="s">
        <v>350</v>
      </c>
      <c r="B188" t="s">
        <v>48</v>
      </c>
      <c r="C188">
        <v>0.28999999999999998</v>
      </c>
      <c r="D188">
        <v>1.1499999999999999</v>
      </c>
      <c r="E188" s="1">
        <v>0.182</v>
      </c>
      <c r="F188" s="1">
        <v>0.438</v>
      </c>
      <c r="G188" s="1">
        <v>0.38100000000000001</v>
      </c>
      <c r="H188" s="1">
        <v>7.4999999999999997E-2</v>
      </c>
      <c r="I188" s="1">
        <v>0.157</v>
      </c>
      <c r="J188">
        <v>50</v>
      </c>
      <c r="K188">
        <v>4.09</v>
      </c>
      <c r="L188">
        <v>707</v>
      </c>
      <c r="M188">
        <v>1192</v>
      </c>
      <c r="N188">
        <v>1899</v>
      </c>
      <c r="O188" s="1">
        <v>0.41299999999999998</v>
      </c>
      <c r="P188" s="1">
        <v>0.35399999999999998</v>
      </c>
      <c r="Q188" s="1">
        <v>0.23300000000000001</v>
      </c>
      <c r="R188" s="1">
        <v>0.16900000000000001</v>
      </c>
      <c r="S188" s="1">
        <v>0.46300000000000002</v>
      </c>
      <c r="T188" s="1">
        <v>0.36799999999999999</v>
      </c>
      <c r="U188">
        <v>12272</v>
      </c>
    </row>
    <row r="189" spans="1:21" x14ac:dyDescent="0.3">
      <c r="A189" t="s">
        <v>29</v>
      </c>
      <c r="B189" t="s">
        <v>30</v>
      </c>
      <c r="C189">
        <v>0.30599999999999999</v>
      </c>
      <c r="D189">
        <v>1.1499999999999999</v>
      </c>
      <c r="E189" s="1">
        <v>0.21099999999999999</v>
      </c>
      <c r="F189" s="1">
        <v>0.42199999999999999</v>
      </c>
      <c r="G189" s="1">
        <v>0.36699999999999999</v>
      </c>
      <c r="H189" s="1">
        <v>4.2999999999999997E-2</v>
      </c>
      <c r="I189" s="1">
        <v>0.106</v>
      </c>
      <c r="J189">
        <v>17</v>
      </c>
      <c r="K189">
        <v>2.5499999999999998</v>
      </c>
      <c r="L189">
        <v>299</v>
      </c>
      <c r="M189">
        <v>660</v>
      </c>
      <c r="N189">
        <v>959</v>
      </c>
      <c r="O189" s="1">
        <v>0.33300000000000002</v>
      </c>
      <c r="P189" s="1">
        <v>0.33300000000000002</v>
      </c>
      <c r="Q189" s="1">
        <v>0.33300000000000002</v>
      </c>
      <c r="R189" s="1">
        <v>0.19400000000000001</v>
      </c>
      <c r="S189" s="1">
        <v>0.442</v>
      </c>
      <c r="T189" s="1">
        <v>0.36399999999999999</v>
      </c>
      <c r="U189">
        <v>12076</v>
      </c>
    </row>
    <row r="190" spans="1:21" x14ac:dyDescent="0.3">
      <c r="A190" t="s">
        <v>325</v>
      </c>
      <c r="B190" t="s">
        <v>34</v>
      </c>
      <c r="C190">
        <v>0.316</v>
      </c>
      <c r="D190">
        <v>1.1499999999999999</v>
      </c>
      <c r="E190" s="1">
        <v>0.156</v>
      </c>
      <c r="F190" s="1">
        <v>0.45100000000000001</v>
      </c>
      <c r="G190" s="1">
        <v>0.39300000000000002</v>
      </c>
      <c r="H190" s="1">
        <v>0.13200000000000001</v>
      </c>
      <c r="I190" s="1">
        <v>0.10299999999999999</v>
      </c>
      <c r="J190">
        <v>28</v>
      </c>
      <c r="K190">
        <v>4.2</v>
      </c>
      <c r="L190">
        <v>367</v>
      </c>
      <c r="M190">
        <v>620</v>
      </c>
      <c r="N190">
        <v>987</v>
      </c>
      <c r="O190" s="1">
        <v>0.40400000000000003</v>
      </c>
      <c r="P190" s="1">
        <v>0.28100000000000003</v>
      </c>
      <c r="Q190" s="1">
        <v>0.315</v>
      </c>
      <c r="R190" s="1">
        <v>0.219</v>
      </c>
      <c r="S190" s="1">
        <v>0.42699999999999999</v>
      </c>
      <c r="T190" s="1">
        <v>0.35399999999999998</v>
      </c>
      <c r="U190">
        <v>15043</v>
      </c>
    </row>
    <row r="191" spans="1:21" x14ac:dyDescent="0.3">
      <c r="A191" t="s">
        <v>80</v>
      </c>
      <c r="B191" t="s">
        <v>56</v>
      </c>
      <c r="C191">
        <v>0.30599999999999999</v>
      </c>
      <c r="D191">
        <v>1.1499999999999999</v>
      </c>
      <c r="E191" s="1">
        <v>0.23499999999999999</v>
      </c>
      <c r="F191" s="1">
        <v>0.40799999999999997</v>
      </c>
      <c r="G191" s="1">
        <v>0.35599999999999998</v>
      </c>
      <c r="H191" s="1">
        <v>9.7000000000000003E-2</v>
      </c>
      <c r="I191" s="1">
        <v>9.7000000000000003E-2</v>
      </c>
      <c r="J191">
        <v>83</v>
      </c>
      <c r="K191">
        <v>5.93</v>
      </c>
      <c r="L191">
        <v>764</v>
      </c>
      <c r="M191">
        <v>1326</v>
      </c>
      <c r="N191">
        <v>2090</v>
      </c>
      <c r="O191" s="1">
        <v>0.42299999999999999</v>
      </c>
      <c r="P191" s="1">
        <v>0.33</v>
      </c>
      <c r="Q191" s="1">
        <v>0.247</v>
      </c>
      <c r="R191" s="1">
        <v>0.19900000000000001</v>
      </c>
      <c r="S191" s="1">
        <v>0.47099999999999997</v>
      </c>
      <c r="T191" s="1">
        <v>0.33</v>
      </c>
      <c r="U191">
        <v>12808</v>
      </c>
    </row>
    <row r="192" spans="1:21" x14ac:dyDescent="0.3">
      <c r="A192" t="s">
        <v>396</v>
      </c>
      <c r="B192" t="s">
        <v>48</v>
      </c>
      <c r="C192">
        <v>0.36299999999999999</v>
      </c>
      <c r="D192">
        <v>1.1399999999999999</v>
      </c>
      <c r="E192" s="1">
        <v>0.20399999999999999</v>
      </c>
      <c r="F192" s="1">
        <v>0.42399999999999999</v>
      </c>
      <c r="G192" s="1">
        <v>0.371</v>
      </c>
      <c r="H192" s="1">
        <v>7.6999999999999999E-2</v>
      </c>
      <c r="I192" s="1">
        <v>0.253</v>
      </c>
      <c r="J192">
        <v>46</v>
      </c>
      <c r="K192">
        <v>6.12</v>
      </c>
      <c r="L192">
        <v>521</v>
      </c>
      <c r="M192">
        <v>794</v>
      </c>
      <c r="N192">
        <v>1315</v>
      </c>
      <c r="O192" s="1">
        <v>0.45800000000000002</v>
      </c>
      <c r="P192" s="1">
        <v>0.36899999999999999</v>
      </c>
      <c r="Q192" s="1">
        <v>0.17299999999999999</v>
      </c>
      <c r="R192" s="1">
        <v>0.13300000000000001</v>
      </c>
      <c r="S192" s="1">
        <v>0.39800000000000002</v>
      </c>
      <c r="T192" s="1">
        <v>0.47</v>
      </c>
      <c r="U192">
        <v>1841</v>
      </c>
    </row>
    <row r="193" spans="1:21" x14ac:dyDescent="0.3">
      <c r="A193" t="s">
        <v>139</v>
      </c>
      <c r="B193" t="s">
        <v>71</v>
      </c>
      <c r="C193">
        <v>0.218</v>
      </c>
      <c r="D193">
        <v>1.1299999999999999</v>
      </c>
      <c r="E193" s="1">
        <v>0.18099999999999999</v>
      </c>
      <c r="F193" s="1">
        <v>0.434</v>
      </c>
      <c r="G193" s="1">
        <v>0.38500000000000001</v>
      </c>
      <c r="H193" s="1">
        <v>0.153</v>
      </c>
      <c r="I193" s="1">
        <v>0.129</v>
      </c>
      <c r="J193">
        <v>35</v>
      </c>
      <c r="K193">
        <v>3.76</v>
      </c>
      <c r="L193">
        <v>534</v>
      </c>
      <c r="M193">
        <v>858</v>
      </c>
      <c r="N193">
        <v>1392</v>
      </c>
      <c r="O193" s="1">
        <v>0.38800000000000001</v>
      </c>
      <c r="P193" s="1">
        <v>0.36599999999999999</v>
      </c>
      <c r="Q193" s="1">
        <v>0.247</v>
      </c>
      <c r="R193" s="1">
        <v>0.17599999999999999</v>
      </c>
      <c r="S193" s="1">
        <v>0.441</v>
      </c>
      <c r="T193" s="1">
        <v>0.38300000000000001</v>
      </c>
      <c r="U193">
        <v>5702</v>
      </c>
    </row>
    <row r="194" spans="1:21" x14ac:dyDescent="0.3">
      <c r="A194" t="s">
        <v>153</v>
      </c>
      <c r="B194" t="s">
        <v>66</v>
      </c>
      <c r="C194">
        <v>0.29899999999999999</v>
      </c>
      <c r="D194">
        <v>1.1200000000000001</v>
      </c>
      <c r="E194" s="1">
        <v>0.20499999999999999</v>
      </c>
      <c r="F194" s="1">
        <v>0.42099999999999999</v>
      </c>
      <c r="G194" s="1">
        <v>0.374</v>
      </c>
      <c r="H194" s="1">
        <v>0.129</v>
      </c>
      <c r="I194" s="1">
        <v>0.12</v>
      </c>
      <c r="J194">
        <v>135</v>
      </c>
      <c r="K194">
        <v>6.06</v>
      </c>
      <c r="L194">
        <v>1019</v>
      </c>
      <c r="M194">
        <v>2113</v>
      </c>
      <c r="N194">
        <v>3132</v>
      </c>
      <c r="O194" s="1">
        <v>0.41699999999999998</v>
      </c>
      <c r="P194" s="1">
        <v>0.315</v>
      </c>
      <c r="Q194" s="1">
        <v>0.26700000000000002</v>
      </c>
      <c r="R194" s="1">
        <v>0.19400000000000001</v>
      </c>
      <c r="S194" s="1">
        <v>0.443</v>
      </c>
      <c r="T194" s="1">
        <v>0.36299999999999999</v>
      </c>
      <c r="U194">
        <v>14168</v>
      </c>
    </row>
    <row r="195" spans="1:21" x14ac:dyDescent="0.3">
      <c r="A195" t="s">
        <v>327</v>
      </c>
      <c r="B195" t="s">
        <v>56</v>
      </c>
      <c r="C195">
        <v>0.35399999999999998</v>
      </c>
      <c r="D195">
        <v>1.1200000000000001</v>
      </c>
      <c r="E195" s="1">
        <v>0.22900000000000001</v>
      </c>
      <c r="F195" s="1">
        <v>0.40799999999999997</v>
      </c>
      <c r="G195" s="1">
        <v>0.36299999999999999</v>
      </c>
      <c r="H195" s="1">
        <v>7.3999999999999996E-2</v>
      </c>
      <c r="I195" s="1">
        <v>0.222</v>
      </c>
      <c r="J195">
        <v>40</v>
      </c>
      <c r="K195">
        <v>4.5</v>
      </c>
      <c r="L195">
        <v>419</v>
      </c>
      <c r="M195">
        <v>855</v>
      </c>
      <c r="N195">
        <v>1274</v>
      </c>
      <c r="O195" s="1">
        <v>0.47099999999999997</v>
      </c>
      <c r="P195" s="1">
        <v>0.313</v>
      </c>
      <c r="Q195" s="1">
        <v>0.216</v>
      </c>
      <c r="R195" s="1">
        <v>0.159</v>
      </c>
      <c r="S195" s="1">
        <v>0.441</v>
      </c>
      <c r="T195" s="1">
        <v>0.40100000000000002</v>
      </c>
      <c r="U195">
        <v>6632</v>
      </c>
    </row>
    <row r="196" spans="1:21" x14ac:dyDescent="0.3">
      <c r="A196" t="s">
        <v>183</v>
      </c>
      <c r="B196" t="s">
        <v>89</v>
      </c>
      <c r="C196">
        <v>0.27300000000000002</v>
      </c>
      <c r="D196">
        <v>1.1200000000000001</v>
      </c>
      <c r="E196" s="1">
        <v>0.188</v>
      </c>
      <c r="F196" s="1">
        <v>0.42899999999999999</v>
      </c>
      <c r="G196" s="1">
        <v>0.38200000000000001</v>
      </c>
      <c r="H196" s="1">
        <v>0.106</v>
      </c>
      <c r="I196" s="1">
        <v>0.16200000000000001</v>
      </c>
      <c r="J196">
        <v>75</v>
      </c>
      <c r="K196">
        <v>4.05</v>
      </c>
      <c r="L196">
        <v>956</v>
      </c>
      <c r="M196">
        <v>1712</v>
      </c>
      <c r="N196">
        <v>2668</v>
      </c>
      <c r="O196" s="1">
        <v>0.38200000000000001</v>
      </c>
      <c r="P196" s="1">
        <v>0.38</v>
      </c>
      <c r="Q196" s="1">
        <v>0.23699999999999999</v>
      </c>
      <c r="R196" s="1">
        <v>0.17199999999999999</v>
      </c>
      <c r="S196" s="1">
        <v>0.42199999999999999</v>
      </c>
      <c r="T196" s="1">
        <v>0.40500000000000003</v>
      </c>
      <c r="U196">
        <v>13050</v>
      </c>
    </row>
    <row r="197" spans="1:21" x14ac:dyDescent="0.3">
      <c r="A197" t="s">
        <v>341</v>
      </c>
      <c r="B197" t="s">
        <v>48</v>
      </c>
      <c r="C197">
        <v>0.36299999999999999</v>
      </c>
      <c r="D197">
        <v>1.1200000000000001</v>
      </c>
      <c r="E197" s="1">
        <v>0.25700000000000001</v>
      </c>
      <c r="F197" s="1">
        <v>0.39200000000000002</v>
      </c>
      <c r="G197" s="1">
        <v>0.35099999999999998</v>
      </c>
      <c r="H197" s="1">
        <v>0.13500000000000001</v>
      </c>
      <c r="I197" s="1">
        <v>7.6999999999999999E-2</v>
      </c>
      <c r="J197">
        <v>25</v>
      </c>
      <c r="K197">
        <v>4.1399999999999997</v>
      </c>
      <c r="L197">
        <v>370</v>
      </c>
      <c r="M197">
        <v>627</v>
      </c>
      <c r="N197">
        <v>997</v>
      </c>
      <c r="O197" s="1">
        <v>0.36699999999999999</v>
      </c>
      <c r="P197" s="1">
        <v>0.34</v>
      </c>
      <c r="Q197" s="1">
        <v>0.29299999999999998</v>
      </c>
      <c r="R197" s="1">
        <v>0.16700000000000001</v>
      </c>
      <c r="S197" s="1">
        <v>0.48699999999999999</v>
      </c>
      <c r="T197" s="1">
        <v>0.34699999999999998</v>
      </c>
      <c r="U197">
        <v>6627</v>
      </c>
    </row>
    <row r="198" spans="1:21" x14ac:dyDescent="0.3">
      <c r="A198" t="s">
        <v>140</v>
      </c>
      <c r="B198" t="s">
        <v>71</v>
      </c>
      <c r="C198">
        <v>0.27200000000000002</v>
      </c>
      <c r="D198">
        <v>1.1000000000000001</v>
      </c>
      <c r="E198" s="1">
        <v>0.23599999999999999</v>
      </c>
      <c r="F198" s="1">
        <v>0.40100000000000002</v>
      </c>
      <c r="G198" s="1">
        <v>0.36299999999999999</v>
      </c>
      <c r="H198" s="1">
        <v>6.6000000000000003E-2</v>
      </c>
      <c r="I198" s="1">
        <v>0.11</v>
      </c>
      <c r="J198">
        <v>80</v>
      </c>
      <c r="K198">
        <v>4.51</v>
      </c>
      <c r="L198">
        <v>1045</v>
      </c>
      <c r="M198">
        <v>1635</v>
      </c>
      <c r="N198">
        <v>2680</v>
      </c>
      <c r="O198" s="1">
        <v>0.38800000000000001</v>
      </c>
      <c r="P198" s="1">
        <v>0.35499999999999998</v>
      </c>
      <c r="Q198" s="1">
        <v>0.25800000000000001</v>
      </c>
      <c r="R198" s="1">
        <v>0.151</v>
      </c>
      <c r="S198" s="1">
        <v>0.46700000000000003</v>
      </c>
      <c r="T198" s="1">
        <v>0.38200000000000001</v>
      </c>
      <c r="U198">
        <v>13183</v>
      </c>
    </row>
    <row r="199" spans="1:21" x14ac:dyDescent="0.3">
      <c r="A199" t="s">
        <v>394</v>
      </c>
      <c r="B199" t="s">
        <v>48</v>
      </c>
      <c r="C199">
        <v>0.379</v>
      </c>
      <c r="D199">
        <v>1.1000000000000001</v>
      </c>
      <c r="E199" s="1">
        <v>0.214</v>
      </c>
      <c r="F199" s="1">
        <v>0.41199999999999998</v>
      </c>
      <c r="G199" s="1">
        <v>0.374</v>
      </c>
      <c r="H199" s="1">
        <v>8.7999999999999995E-2</v>
      </c>
      <c r="I199" s="1">
        <v>0.16200000000000001</v>
      </c>
      <c r="J199">
        <v>28</v>
      </c>
      <c r="K199">
        <v>4.53</v>
      </c>
      <c r="L199">
        <v>382</v>
      </c>
      <c r="M199">
        <v>645</v>
      </c>
      <c r="N199">
        <v>1027</v>
      </c>
      <c r="O199" s="1">
        <v>0.41499999999999998</v>
      </c>
      <c r="P199" s="1">
        <v>0.31900000000000001</v>
      </c>
      <c r="Q199" s="1">
        <v>0.26600000000000001</v>
      </c>
      <c r="R199" s="1">
        <v>0.186</v>
      </c>
      <c r="S199" s="1">
        <v>0.42</v>
      </c>
      <c r="T199" s="1">
        <v>0.39400000000000002</v>
      </c>
      <c r="U199">
        <v>11694</v>
      </c>
    </row>
    <row r="200" spans="1:21" x14ac:dyDescent="0.3">
      <c r="A200" t="s">
        <v>292</v>
      </c>
      <c r="B200" t="s">
        <v>146</v>
      </c>
      <c r="C200">
        <v>0.29699999999999999</v>
      </c>
      <c r="D200">
        <v>1.1000000000000001</v>
      </c>
      <c r="E200" s="1">
        <v>0.20899999999999999</v>
      </c>
      <c r="F200" s="1">
        <v>0.41499999999999998</v>
      </c>
      <c r="G200" s="1">
        <v>0.377</v>
      </c>
      <c r="H200" s="1">
        <v>0.113</v>
      </c>
      <c r="I200" s="1">
        <v>0.16400000000000001</v>
      </c>
      <c r="J200">
        <v>93</v>
      </c>
      <c r="K200">
        <v>5.18</v>
      </c>
      <c r="L200">
        <v>971</v>
      </c>
      <c r="M200">
        <v>1807</v>
      </c>
      <c r="N200">
        <v>2778</v>
      </c>
      <c r="O200" s="1">
        <v>0.46600000000000003</v>
      </c>
      <c r="P200" s="1">
        <v>0.31</v>
      </c>
      <c r="Q200" s="1">
        <v>0.224</v>
      </c>
      <c r="R200" s="1">
        <v>0.16700000000000001</v>
      </c>
      <c r="S200" s="1">
        <v>0.52100000000000002</v>
      </c>
      <c r="T200" s="1">
        <v>0.312</v>
      </c>
      <c r="U200">
        <v>12917</v>
      </c>
    </row>
    <row r="201" spans="1:21" x14ac:dyDescent="0.3">
      <c r="A201" t="s">
        <v>172</v>
      </c>
      <c r="B201" t="s">
        <v>34</v>
      </c>
      <c r="C201">
        <v>0.26700000000000002</v>
      </c>
      <c r="D201">
        <v>1.1000000000000001</v>
      </c>
      <c r="E201" s="1">
        <v>0.21</v>
      </c>
      <c r="F201" s="1">
        <v>0.41299999999999998</v>
      </c>
      <c r="G201" s="1">
        <v>0.376</v>
      </c>
      <c r="H201" s="1">
        <v>0.151</v>
      </c>
      <c r="I201" s="1">
        <v>0.13800000000000001</v>
      </c>
      <c r="J201">
        <v>107</v>
      </c>
      <c r="K201">
        <v>6.69</v>
      </c>
      <c r="L201">
        <v>860</v>
      </c>
      <c r="M201">
        <v>1570</v>
      </c>
      <c r="N201">
        <v>2430</v>
      </c>
      <c r="O201" s="1">
        <v>0.38400000000000001</v>
      </c>
      <c r="P201" s="1">
        <v>0.314</v>
      </c>
      <c r="Q201" s="1">
        <v>0.30199999999999999</v>
      </c>
      <c r="R201" s="1">
        <v>0.17</v>
      </c>
      <c r="S201" s="1">
        <v>0.45700000000000002</v>
      </c>
      <c r="T201" s="1">
        <v>0.372</v>
      </c>
      <c r="U201">
        <v>12304</v>
      </c>
    </row>
    <row r="202" spans="1:21" x14ac:dyDescent="0.3">
      <c r="A202" t="s">
        <v>271</v>
      </c>
      <c r="B202" t="s">
        <v>48</v>
      </c>
      <c r="C202">
        <v>0.24399999999999999</v>
      </c>
      <c r="D202">
        <v>1.1000000000000001</v>
      </c>
      <c r="E202" s="1">
        <v>0.22900000000000001</v>
      </c>
      <c r="F202" s="1">
        <v>0.40400000000000003</v>
      </c>
      <c r="G202" s="1">
        <v>0.36699999999999999</v>
      </c>
      <c r="H202" s="1">
        <v>0.115</v>
      </c>
      <c r="I202" s="1">
        <v>9.8000000000000004E-2</v>
      </c>
      <c r="J202">
        <v>26</v>
      </c>
      <c r="K202">
        <v>4.62</v>
      </c>
      <c r="L202">
        <v>231</v>
      </c>
      <c r="M202">
        <v>493</v>
      </c>
      <c r="N202">
        <v>724</v>
      </c>
      <c r="O202" s="1">
        <v>0.38200000000000001</v>
      </c>
      <c r="P202" s="1">
        <v>0.38200000000000001</v>
      </c>
      <c r="Q202" s="1">
        <v>0.23499999999999999</v>
      </c>
      <c r="R202" s="1">
        <v>0.16500000000000001</v>
      </c>
      <c r="S202" s="1">
        <v>0.47599999999999998</v>
      </c>
      <c r="T202" s="1">
        <v>0.35899999999999999</v>
      </c>
      <c r="U202">
        <v>13442</v>
      </c>
    </row>
    <row r="203" spans="1:21" x14ac:dyDescent="0.3">
      <c r="A203" t="s">
        <v>78</v>
      </c>
      <c r="B203" t="s">
        <v>58</v>
      </c>
      <c r="C203">
        <v>0.26500000000000001</v>
      </c>
      <c r="D203">
        <v>1.0900000000000001</v>
      </c>
      <c r="E203" s="1">
        <v>0.17599999999999999</v>
      </c>
      <c r="F203" s="1">
        <v>0.43099999999999999</v>
      </c>
      <c r="G203" s="1">
        <v>0.39400000000000002</v>
      </c>
      <c r="H203" s="1">
        <v>8.1000000000000003E-2</v>
      </c>
      <c r="I203" s="1">
        <v>0.108</v>
      </c>
      <c r="J203">
        <v>46</v>
      </c>
      <c r="K203">
        <v>5.18</v>
      </c>
      <c r="L203">
        <v>426</v>
      </c>
      <c r="M203">
        <v>849</v>
      </c>
      <c r="N203">
        <v>1275</v>
      </c>
      <c r="O203" s="1">
        <v>0.45</v>
      </c>
      <c r="P203" s="1">
        <v>0.307</v>
      </c>
      <c r="Q203" s="1">
        <v>0.24299999999999999</v>
      </c>
      <c r="R203" s="1">
        <v>0.122</v>
      </c>
      <c r="S203" s="1">
        <v>0.55000000000000004</v>
      </c>
      <c r="T203" s="1">
        <v>0.32800000000000001</v>
      </c>
      <c r="U203">
        <v>12447</v>
      </c>
    </row>
    <row r="204" spans="1:21" x14ac:dyDescent="0.3">
      <c r="A204" t="s">
        <v>225</v>
      </c>
      <c r="B204" t="s">
        <v>127</v>
      </c>
      <c r="C204">
        <v>0.33700000000000002</v>
      </c>
      <c r="D204">
        <v>1.0900000000000001</v>
      </c>
      <c r="E204" s="1">
        <v>0.23400000000000001</v>
      </c>
      <c r="F204" s="1">
        <v>0.4</v>
      </c>
      <c r="G204" s="1">
        <v>0.36599999999999999</v>
      </c>
      <c r="H204" s="1">
        <v>4.7E-2</v>
      </c>
      <c r="I204" s="1">
        <v>9.4E-2</v>
      </c>
      <c r="J204">
        <v>25</v>
      </c>
      <c r="K204">
        <v>3.2</v>
      </c>
      <c r="L204">
        <v>481</v>
      </c>
      <c r="M204">
        <v>819</v>
      </c>
      <c r="N204">
        <v>1300</v>
      </c>
      <c r="O204" s="1">
        <v>0.438</v>
      </c>
      <c r="P204" s="1">
        <v>0.315</v>
      </c>
      <c r="Q204" s="1">
        <v>0.247</v>
      </c>
      <c r="R204" s="1">
        <v>0.152</v>
      </c>
      <c r="S204" s="1">
        <v>0.47799999999999998</v>
      </c>
      <c r="T204" s="1">
        <v>0.371</v>
      </c>
      <c r="U204">
        <v>14993</v>
      </c>
    </row>
    <row r="205" spans="1:21" x14ac:dyDescent="0.3">
      <c r="A205" t="s">
        <v>55</v>
      </c>
      <c r="B205" t="s">
        <v>56</v>
      </c>
      <c r="C205">
        <v>0.25</v>
      </c>
      <c r="D205">
        <v>1.08</v>
      </c>
      <c r="E205" s="1">
        <v>0.221</v>
      </c>
      <c r="F205" s="1">
        <v>0.40500000000000003</v>
      </c>
      <c r="G205" s="1">
        <v>0.374</v>
      </c>
      <c r="H205" s="1">
        <v>0.13100000000000001</v>
      </c>
      <c r="I205" s="1">
        <v>6.6000000000000003E-2</v>
      </c>
      <c r="J205">
        <v>19</v>
      </c>
      <c r="K205">
        <v>2.97</v>
      </c>
      <c r="L205">
        <v>332</v>
      </c>
      <c r="M205">
        <v>531</v>
      </c>
      <c r="N205">
        <v>863</v>
      </c>
      <c r="O205" s="1">
        <v>0.36599999999999999</v>
      </c>
      <c r="P205" s="1">
        <v>0.29299999999999998</v>
      </c>
      <c r="Q205" s="1">
        <v>0.34100000000000003</v>
      </c>
      <c r="R205" s="1">
        <v>0.17100000000000001</v>
      </c>
      <c r="S205" s="1">
        <v>0.44500000000000001</v>
      </c>
      <c r="T205" s="1">
        <v>0.38400000000000001</v>
      </c>
      <c r="U205">
        <v>19479</v>
      </c>
    </row>
    <row r="206" spans="1:21" x14ac:dyDescent="0.3">
      <c r="A206" t="s">
        <v>228</v>
      </c>
      <c r="B206" t="s">
        <v>32</v>
      </c>
      <c r="C206">
        <v>0.34300000000000003</v>
      </c>
      <c r="D206">
        <v>1.08</v>
      </c>
      <c r="E206" s="1">
        <v>0.247</v>
      </c>
      <c r="F206" s="1">
        <v>0.39</v>
      </c>
      <c r="G206" s="1">
        <v>0.36299999999999999</v>
      </c>
      <c r="H206" s="1">
        <v>0.14299999999999999</v>
      </c>
      <c r="I206" s="1">
        <v>0.154</v>
      </c>
      <c r="J206">
        <v>43</v>
      </c>
      <c r="K206">
        <v>3.62</v>
      </c>
      <c r="L206">
        <v>679</v>
      </c>
      <c r="M206">
        <v>1212</v>
      </c>
      <c r="N206">
        <v>1891</v>
      </c>
      <c r="O206" s="1">
        <v>0.43099999999999999</v>
      </c>
      <c r="P206" s="1">
        <v>0.27700000000000002</v>
      </c>
      <c r="Q206" s="1">
        <v>0.29199999999999998</v>
      </c>
      <c r="R206" s="1">
        <v>0.186</v>
      </c>
      <c r="S206" s="1">
        <v>0.46600000000000003</v>
      </c>
      <c r="T206" s="1">
        <v>0.34799999999999998</v>
      </c>
      <c r="U206">
        <v>13543</v>
      </c>
    </row>
    <row r="207" spans="1:21" x14ac:dyDescent="0.3">
      <c r="A207" t="s">
        <v>97</v>
      </c>
      <c r="B207" t="s">
        <v>98</v>
      </c>
      <c r="C207">
        <v>0.29199999999999998</v>
      </c>
      <c r="D207">
        <v>1.08</v>
      </c>
      <c r="E207" s="1">
        <v>0.215</v>
      </c>
      <c r="F207" s="1">
        <v>0.40699999999999997</v>
      </c>
      <c r="G207" s="1">
        <v>0.378</v>
      </c>
      <c r="H207" s="1">
        <v>9.1999999999999998E-2</v>
      </c>
      <c r="I207" s="1">
        <v>9.1999999999999998E-2</v>
      </c>
      <c r="J207">
        <v>33</v>
      </c>
      <c r="K207">
        <v>4.62</v>
      </c>
      <c r="L207">
        <v>376</v>
      </c>
      <c r="M207">
        <v>677</v>
      </c>
      <c r="N207">
        <v>1053</v>
      </c>
      <c r="O207" s="1">
        <v>0.374</v>
      </c>
      <c r="P207" s="1">
        <v>0.31</v>
      </c>
      <c r="Q207" s="1">
        <v>0.316</v>
      </c>
      <c r="R207" s="1">
        <v>0.14399999999999999</v>
      </c>
      <c r="S207" s="1">
        <v>0.42</v>
      </c>
      <c r="T207" s="1">
        <v>0.437</v>
      </c>
      <c r="U207">
        <v>16918</v>
      </c>
    </row>
    <row r="208" spans="1:21" x14ac:dyDescent="0.3">
      <c r="A208" t="s">
        <v>192</v>
      </c>
      <c r="B208" t="s">
        <v>193</v>
      </c>
      <c r="C208">
        <v>0.29499999999999998</v>
      </c>
      <c r="D208">
        <v>1.07</v>
      </c>
      <c r="E208" s="1">
        <v>0.21299999999999999</v>
      </c>
      <c r="F208" s="1">
        <v>0.40699999999999997</v>
      </c>
      <c r="G208" s="1">
        <v>0.38</v>
      </c>
      <c r="H208" s="1">
        <v>0.11700000000000001</v>
      </c>
      <c r="I208" s="1">
        <v>9.2999999999999999E-2</v>
      </c>
      <c r="J208">
        <v>137</v>
      </c>
      <c r="K208">
        <v>6.07</v>
      </c>
      <c r="L208">
        <v>1085</v>
      </c>
      <c r="M208">
        <v>2147</v>
      </c>
      <c r="N208">
        <v>3232</v>
      </c>
      <c r="O208" s="1">
        <v>0.40600000000000003</v>
      </c>
      <c r="P208" s="1">
        <v>0.35599999999999998</v>
      </c>
      <c r="Q208" s="1">
        <v>0.23699999999999999</v>
      </c>
      <c r="R208" s="1">
        <v>0.18099999999999999</v>
      </c>
      <c r="S208" s="1">
        <v>0.47599999999999998</v>
      </c>
      <c r="T208" s="1">
        <v>0.34200000000000003</v>
      </c>
      <c r="U208">
        <v>15467</v>
      </c>
    </row>
    <row r="209" spans="1:21" x14ac:dyDescent="0.3">
      <c r="A209" t="s">
        <v>92</v>
      </c>
      <c r="B209" t="s">
        <v>93</v>
      </c>
      <c r="C209">
        <v>0.32100000000000001</v>
      </c>
      <c r="D209">
        <v>1.07</v>
      </c>
      <c r="E209" s="1">
        <v>0.21099999999999999</v>
      </c>
      <c r="F209" s="1">
        <v>0.40799999999999997</v>
      </c>
      <c r="G209" s="1">
        <v>0.38100000000000001</v>
      </c>
      <c r="H209" s="1">
        <v>7.6999999999999999E-2</v>
      </c>
      <c r="I209" s="1">
        <v>0.11600000000000001</v>
      </c>
      <c r="J209">
        <v>91</v>
      </c>
      <c r="K209">
        <v>4.75</v>
      </c>
      <c r="L209">
        <v>858</v>
      </c>
      <c r="M209">
        <v>1912</v>
      </c>
      <c r="N209">
        <v>2770</v>
      </c>
      <c r="O209" s="1">
        <v>0.41299999999999998</v>
      </c>
      <c r="P209" s="1">
        <v>0.313</v>
      </c>
      <c r="Q209" s="1">
        <v>0.27400000000000002</v>
      </c>
      <c r="R209" s="1">
        <v>0.188</v>
      </c>
      <c r="S209" s="1">
        <v>0.45500000000000002</v>
      </c>
      <c r="T209" s="1">
        <v>0.35699999999999998</v>
      </c>
      <c r="U209">
        <v>3137</v>
      </c>
    </row>
    <row r="210" spans="1:21" x14ac:dyDescent="0.3">
      <c r="A210" t="s">
        <v>239</v>
      </c>
      <c r="B210" t="s">
        <v>36</v>
      </c>
      <c r="C210">
        <v>0.27900000000000003</v>
      </c>
      <c r="D210">
        <v>1.07</v>
      </c>
      <c r="E210" s="1">
        <v>0.218</v>
      </c>
      <c r="F210" s="1">
        <v>0.40300000000000002</v>
      </c>
      <c r="G210" s="1">
        <v>0.378</v>
      </c>
      <c r="H210" s="1">
        <v>0.111</v>
      </c>
      <c r="I210" s="1">
        <v>0.13300000000000001</v>
      </c>
      <c r="J210">
        <v>38</v>
      </c>
      <c r="K210">
        <v>4.38</v>
      </c>
      <c r="L210">
        <v>491</v>
      </c>
      <c r="M210">
        <v>842</v>
      </c>
      <c r="N210">
        <v>1333</v>
      </c>
      <c r="O210" s="1">
        <v>0.433</v>
      </c>
      <c r="P210" s="1">
        <v>0.32400000000000001</v>
      </c>
      <c r="Q210" s="1">
        <v>0.24399999999999999</v>
      </c>
      <c r="R210" s="1">
        <v>0.17199999999999999</v>
      </c>
      <c r="S210" s="1">
        <v>0.441</v>
      </c>
      <c r="T210" s="1">
        <v>0.38700000000000001</v>
      </c>
      <c r="U210">
        <v>18318</v>
      </c>
    </row>
    <row r="211" spans="1:21" x14ac:dyDescent="0.3">
      <c r="A211" t="s">
        <v>209</v>
      </c>
      <c r="B211" t="s">
        <v>48</v>
      </c>
      <c r="C211">
        <v>0.32400000000000001</v>
      </c>
      <c r="D211">
        <v>1.06</v>
      </c>
      <c r="E211" s="1">
        <v>0.26400000000000001</v>
      </c>
      <c r="F211" s="1">
        <v>0.379</v>
      </c>
      <c r="G211" s="1">
        <v>0.35699999999999998</v>
      </c>
      <c r="H211" s="1">
        <v>0.1</v>
      </c>
      <c r="I211" s="1">
        <v>0.14000000000000001</v>
      </c>
      <c r="J211">
        <v>22</v>
      </c>
      <c r="K211">
        <v>3.91</v>
      </c>
      <c r="L211">
        <v>313</v>
      </c>
      <c r="M211">
        <v>572</v>
      </c>
      <c r="N211">
        <v>885</v>
      </c>
      <c r="O211" s="1">
        <v>0.39900000000000002</v>
      </c>
      <c r="P211" s="1">
        <v>0.39900000000000002</v>
      </c>
      <c r="Q211" s="1">
        <v>0.20300000000000001</v>
      </c>
      <c r="R211" s="1">
        <v>0.161</v>
      </c>
      <c r="S211" s="1">
        <v>0.434</v>
      </c>
      <c r="T211" s="1">
        <v>0.40600000000000003</v>
      </c>
      <c r="U211">
        <v>3950</v>
      </c>
    </row>
    <row r="212" spans="1:21" x14ac:dyDescent="0.3">
      <c r="A212" t="s">
        <v>201</v>
      </c>
      <c r="B212" t="s">
        <v>53</v>
      </c>
      <c r="C212">
        <v>0.24299999999999999</v>
      </c>
      <c r="D212">
        <v>1.06</v>
      </c>
      <c r="E212" s="1">
        <v>0.21099999999999999</v>
      </c>
      <c r="F212" s="1">
        <v>0.40600000000000003</v>
      </c>
      <c r="G212" s="1">
        <v>0.38300000000000001</v>
      </c>
      <c r="H212" s="1">
        <v>0.113</v>
      </c>
      <c r="I212" s="1">
        <v>0.14599999999999999</v>
      </c>
      <c r="J212">
        <v>95</v>
      </c>
      <c r="K212">
        <v>5.56</v>
      </c>
      <c r="L212">
        <v>834</v>
      </c>
      <c r="M212">
        <v>1599</v>
      </c>
      <c r="N212">
        <v>2433</v>
      </c>
      <c r="O212" s="1">
        <v>0.4</v>
      </c>
      <c r="P212" s="1">
        <v>0.34300000000000003</v>
      </c>
      <c r="Q212" s="1">
        <v>0.25800000000000001</v>
      </c>
      <c r="R212" s="1">
        <v>0.22</v>
      </c>
      <c r="S212" s="1">
        <v>0.45500000000000002</v>
      </c>
      <c r="T212" s="1">
        <v>0.32500000000000001</v>
      </c>
      <c r="U212">
        <v>18498</v>
      </c>
    </row>
    <row r="213" spans="1:21" x14ac:dyDescent="0.3">
      <c r="A213" t="s">
        <v>356</v>
      </c>
      <c r="B213" t="s">
        <v>48</v>
      </c>
      <c r="C213">
        <v>0.34399999999999997</v>
      </c>
      <c r="D213">
        <v>1.06</v>
      </c>
      <c r="E213" s="1">
        <v>0.27100000000000002</v>
      </c>
      <c r="F213" s="1">
        <v>0.375</v>
      </c>
      <c r="G213" s="1">
        <v>0.35399999999999998</v>
      </c>
      <c r="H213" s="1">
        <v>0.11799999999999999</v>
      </c>
      <c r="I213" s="1">
        <v>0.14699999999999999</v>
      </c>
      <c r="J213">
        <v>46</v>
      </c>
      <c r="K213">
        <v>4.05</v>
      </c>
      <c r="L213">
        <v>544</v>
      </c>
      <c r="M213">
        <v>1127</v>
      </c>
      <c r="N213">
        <v>1671</v>
      </c>
      <c r="O213" s="1">
        <v>0.36699999999999999</v>
      </c>
      <c r="P213" s="1">
        <v>0.37</v>
      </c>
      <c r="Q213" s="1">
        <v>0.26300000000000001</v>
      </c>
      <c r="R213" s="1">
        <v>0.14299999999999999</v>
      </c>
      <c r="S213" s="1">
        <v>0.45700000000000002</v>
      </c>
      <c r="T213" s="1">
        <v>0.4</v>
      </c>
      <c r="U213">
        <v>14107</v>
      </c>
    </row>
    <row r="214" spans="1:21" x14ac:dyDescent="0.3">
      <c r="A214" t="s">
        <v>166</v>
      </c>
      <c r="B214" t="s">
        <v>50</v>
      </c>
      <c r="C214">
        <v>0.184</v>
      </c>
      <c r="D214">
        <v>1.05</v>
      </c>
      <c r="E214" s="1">
        <v>0.19900000000000001</v>
      </c>
      <c r="F214" s="1">
        <v>0.41099999999999998</v>
      </c>
      <c r="G214" s="1">
        <v>0.39</v>
      </c>
      <c r="H214" s="1">
        <v>0.123</v>
      </c>
      <c r="I214" s="1">
        <v>0.123</v>
      </c>
      <c r="J214">
        <v>25</v>
      </c>
      <c r="K214">
        <v>4.09</v>
      </c>
      <c r="L214">
        <v>335</v>
      </c>
      <c r="M214">
        <v>554</v>
      </c>
      <c r="N214">
        <v>889</v>
      </c>
      <c r="O214" s="1">
        <v>0.38500000000000001</v>
      </c>
      <c r="P214" s="1">
        <v>0.372</v>
      </c>
      <c r="Q214" s="1">
        <v>0.24299999999999999</v>
      </c>
      <c r="R214" s="1">
        <v>0.16900000000000001</v>
      </c>
      <c r="S214" s="1">
        <v>0.45300000000000001</v>
      </c>
      <c r="T214" s="1">
        <v>0.378</v>
      </c>
      <c r="U214">
        <v>14974</v>
      </c>
    </row>
    <row r="215" spans="1:21" x14ac:dyDescent="0.3">
      <c r="A215" t="s">
        <v>152</v>
      </c>
      <c r="B215" t="s">
        <v>143</v>
      </c>
      <c r="C215">
        <v>0.32200000000000001</v>
      </c>
      <c r="D215">
        <v>1.05</v>
      </c>
      <c r="E215" s="1">
        <v>0.214</v>
      </c>
      <c r="F215" s="1">
        <v>0.40300000000000002</v>
      </c>
      <c r="G215" s="1">
        <v>0.38300000000000001</v>
      </c>
      <c r="H215" s="1">
        <v>0.10299999999999999</v>
      </c>
      <c r="I215" s="1">
        <v>9.9000000000000005E-2</v>
      </c>
      <c r="J215">
        <v>134</v>
      </c>
      <c r="K215">
        <v>5.79</v>
      </c>
      <c r="L215">
        <v>1275</v>
      </c>
      <c r="M215">
        <v>2278</v>
      </c>
      <c r="N215">
        <v>3553</v>
      </c>
      <c r="O215" s="1">
        <v>0.38400000000000001</v>
      </c>
      <c r="P215" s="1">
        <v>0.34</v>
      </c>
      <c r="Q215" s="1">
        <v>0.27600000000000002</v>
      </c>
      <c r="R215" s="1">
        <v>0.157</v>
      </c>
      <c r="S215" s="1">
        <v>0.45400000000000001</v>
      </c>
      <c r="T215" s="1">
        <v>0.39</v>
      </c>
      <c r="U215">
        <v>2520</v>
      </c>
    </row>
    <row r="216" spans="1:21" x14ac:dyDescent="0.3">
      <c r="A216" t="s">
        <v>229</v>
      </c>
      <c r="B216" t="s">
        <v>62</v>
      </c>
      <c r="C216">
        <v>0.29399999999999998</v>
      </c>
      <c r="D216">
        <v>1.05</v>
      </c>
      <c r="E216" s="1">
        <v>0.27700000000000002</v>
      </c>
      <c r="F216" s="1">
        <v>0.371</v>
      </c>
      <c r="G216" s="1">
        <v>0.35299999999999998</v>
      </c>
      <c r="H216" s="1">
        <v>0.13900000000000001</v>
      </c>
      <c r="I216" s="1">
        <v>0.114</v>
      </c>
      <c r="J216">
        <v>37</v>
      </c>
      <c r="K216">
        <v>4.18</v>
      </c>
      <c r="L216">
        <v>507</v>
      </c>
      <c r="M216">
        <v>879</v>
      </c>
      <c r="N216">
        <v>1386</v>
      </c>
      <c r="O216" s="1">
        <v>0.41399999999999998</v>
      </c>
      <c r="P216" s="1">
        <v>0.35199999999999998</v>
      </c>
      <c r="Q216" s="1">
        <v>0.23300000000000001</v>
      </c>
      <c r="R216" s="1">
        <v>0.185</v>
      </c>
      <c r="S216" s="1">
        <v>0.39200000000000002</v>
      </c>
      <c r="T216" s="1">
        <v>0.42299999999999999</v>
      </c>
      <c r="U216">
        <v>10190</v>
      </c>
    </row>
    <row r="217" spans="1:21" x14ac:dyDescent="0.3">
      <c r="A217" t="s">
        <v>246</v>
      </c>
      <c r="B217" t="s">
        <v>26</v>
      </c>
      <c r="C217">
        <v>0.316</v>
      </c>
      <c r="D217">
        <v>1.05</v>
      </c>
      <c r="E217" s="1">
        <v>0.22</v>
      </c>
      <c r="F217" s="1">
        <v>0.39900000000000002</v>
      </c>
      <c r="G217" s="1">
        <v>0.38100000000000001</v>
      </c>
      <c r="H217" s="1">
        <v>0.11700000000000001</v>
      </c>
      <c r="I217" s="1">
        <v>0.11700000000000001</v>
      </c>
      <c r="J217">
        <v>81</v>
      </c>
      <c r="K217">
        <v>4.87</v>
      </c>
      <c r="L217">
        <v>876</v>
      </c>
      <c r="M217">
        <v>1634</v>
      </c>
      <c r="N217">
        <v>2510</v>
      </c>
      <c r="O217" s="1">
        <v>0.38100000000000001</v>
      </c>
      <c r="P217" s="1">
        <v>0.372</v>
      </c>
      <c r="Q217" s="1">
        <v>0.247</v>
      </c>
      <c r="R217" s="1">
        <v>0.17499999999999999</v>
      </c>
      <c r="S217" s="1">
        <v>0.40899999999999997</v>
      </c>
      <c r="T217" s="1">
        <v>0.41599999999999998</v>
      </c>
      <c r="U217">
        <v>19316</v>
      </c>
    </row>
    <row r="218" spans="1:21" x14ac:dyDescent="0.3">
      <c r="A218" t="s">
        <v>65</v>
      </c>
      <c r="B218" t="s">
        <v>66</v>
      </c>
      <c r="C218">
        <v>0.27500000000000002</v>
      </c>
      <c r="D218">
        <v>1.04</v>
      </c>
      <c r="E218" s="1">
        <v>0.254</v>
      </c>
      <c r="F218" s="1">
        <v>0.38100000000000001</v>
      </c>
      <c r="G218" s="1">
        <v>0.36599999999999999</v>
      </c>
      <c r="H218" s="1">
        <v>0.122</v>
      </c>
      <c r="I218" s="1">
        <v>0.16300000000000001</v>
      </c>
      <c r="J218">
        <v>26</v>
      </c>
      <c r="K218">
        <v>4.0599999999999996</v>
      </c>
      <c r="L218">
        <v>335</v>
      </c>
      <c r="M218">
        <v>645</v>
      </c>
      <c r="N218">
        <v>980</v>
      </c>
      <c r="O218" s="1">
        <v>0.39100000000000001</v>
      </c>
      <c r="P218" s="1">
        <v>0.39900000000000002</v>
      </c>
      <c r="Q218" s="1">
        <v>0.21</v>
      </c>
      <c r="R218" s="1">
        <v>0.159</v>
      </c>
      <c r="S218" s="1">
        <v>0.40600000000000003</v>
      </c>
      <c r="T218" s="1">
        <v>0.435</v>
      </c>
      <c r="U218">
        <v>13758</v>
      </c>
    </row>
    <row r="219" spans="1:21" x14ac:dyDescent="0.3">
      <c r="A219" t="s">
        <v>86</v>
      </c>
      <c r="B219" t="s">
        <v>48</v>
      </c>
      <c r="C219">
        <v>0.28399999999999997</v>
      </c>
      <c r="D219">
        <v>1.04</v>
      </c>
      <c r="E219" s="1">
        <v>0.23699999999999999</v>
      </c>
      <c r="F219" s="1">
        <v>0.38900000000000001</v>
      </c>
      <c r="G219" s="1">
        <v>0.374</v>
      </c>
      <c r="H219" s="1">
        <v>2.7E-2</v>
      </c>
      <c r="I219" s="1">
        <v>0.108</v>
      </c>
      <c r="J219">
        <v>30</v>
      </c>
      <c r="K219">
        <v>3.38</v>
      </c>
      <c r="L219">
        <v>492</v>
      </c>
      <c r="M219">
        <v>895</v>
      </c>
      <c r="N219">
        <v>1387</v>
      </c>
      <c r="O219" s="1">
        <v>0.40899999999999997</v>
      </c>
      <c r="P219" s="1">
        <v>0.29299999999999998</v>
      </c>
      <c r="Q219" s="1">
        <v>0.29799999999999999</v>
      </c>
      <c r="R219" s="1">
        <v>0.20200000000000001</v>
      </c>
      <c r="S219" s="1">
        <v>0.39900000000000002</v>
      </c>
      <c r="T219" s="1">
        <v>0.39900000000000002</v>
      </c>
      <c r="U219">
        <v>19291</v>
      </c>
    </row>
    <row r="220" spans="1:21" x14ac:dyDescent="0.3">
      <c r="A220" t="s">
        <v>260</v>
      </c>
      <c r="B220" t="s">
        <v>48</v>
      </c>
      <c r="C220">
        <v>0.26300000000000001</v>
      </c>
      <c r="D220">
        <v>1.03</v>
      </c>
      <c r="E220" s="1">
        <v>0.247</v>
      </c>
      <c r="F220" s="1">
        <v>0.38300000000000001</v>
      </c>
      <c r="G220" s="1">
        <v>0.37</v>
      </c>
      <c r="H220" s="1">
        <v>0.13300000000000001</v>
      </c>
      <c r="I220" s="1">
        <v>0.217</v>
      </c>
      <c r="J220">
        <v>24</v>
      </c>
      <c r="K220">
        <v>3.52</v>
      </c>
      <c r="L220">
        <v>389</v>
      </c>
      <c r="M220">
        <v>631</v>
      </c>
      <c r="N220">
        <v>1020</v>
      </c>
      <c r="O220" s="1">
        <v>0.40600000000000003</v>
      </c>
      <c r="P220" s="1">
        <v>0.35199999999999998</v>
      </c>
      <c r="Q220" s="1">
        <v>0.24199999999999999</v>
      </c>
      <c r="R220" s="1">
        <v>0.16400000000000001</v>
      </c>
      <c r="S220" s="1">
        <v>0.38800000000000001</v>
      </c>
      <c r="T220" s="1">
        <v>0.44800000000000001</v>
      </c>
      <c r="U220">
        <v>5224</v>
      </c>
    </row>
    <row r="221" spans="1:21" x14ac:dyDescent="0.3">
      <c r="A221" t="s">
        <v>170</v>
      </c>
      <c r="B221" t="s">
        <v>66</v>
      </c>
      <c r="C221">
        <v>0.29899999999999999</v>
      </c>
      <c r="D221">
        <v>1.03</v>
      </c>
      <c r="E221" s="1">
        <v>0.24199999999999999</v>
      </c>
      <c r="F221" s="1">
        <v>0.38500000000000001</v>
      </c>
      <c r="G221" s="1">
        <v>0.373</v>
      </c>
      <c r="H221" s="1">
        <v>0.16700000000000001</v>
      </c>
      <c r="I221" s="1">
        <v>0.11700000000000001</v>
      </c>
      <c r="J221">
        <v>53</v>
      </c>
      <c r="K221">
        <v>8.7799999999999994</v>
      </c>
      <c r="L221">
        <v>271</v>
      </c>
      <c r="M221">
        <v>597</v>
      </c>
      <c r="N221">
        <v>868</v>
      </c>
      <c r="O221" s="1">
        <v>0.503</v>
      </c>
      <c r="P221" s="1">
        <v>0.28799999999999998</v>
      </c>
      <c r="Q221" s="1">
        <v>0.20899999999999999</v>
      </c>
      <c r="R221" s="1">
        <v>0.17799999999999999</v>
      </c>
      <c r="S221" s="1">
        <v>0.38</v>
      </c>
      <c r="T221" s="1">
        <v>0.442</v>
      </c>
      <c r="U221">
        <v>12680</v>
      </c>
    </row>
    <row r="222" spans="1:21" x14ac:dyDescent="0.3">
      <c r="A222" t="s">
        <v>81</v>
      </c>
      <c r="B222" t="s">
        <v>50</v>
      </c>
      <c r="C222">
        <v>0.24199999999999999</v>
      </c>
      <c r="D222">
        <v>1.03</v>
      </c>
      <c r="E222" s="1">
        <v>0.222</v>
      </c>
      <c r="F222" s="1">
        <v>0.39500000000000002</v>
      </c>
      <c r="G222" s="1">
        <v>0.38300000000000001</v>
      </c>
      <c r="H222" s="1">
        <v>0.127</v>
      </c>
      <c r="I222" s="1">
        <v>0.13800000000000001</v>
      </c>
      <c r="J222">
        <v>92</v>
      </c>
      <c r="K222">
        <v>4.22</v>
      </c>
      <c r="L222">
        <v>1130</v>
      </c>
      <c r="M222">
        <v>2049</v>
      </c>
      <c r="N222">
        <v>3179</v>
      </c>
      <c r="O222" s="1">
        <v>0.39500000000000002</v>
      </c>
      <c r="P222" s="1">
        <v>0.33200000000000002</v>
      </c>
      <c r="Q222" s="1">
        <v>0.27300000000000002</v>
      </c>
      <c r="R222" s="1">
        <v>0.23599999999999999</v>
      </c>
      <c r="S222" s="1">
        <v>0.38800000000000001</v>
      </c>
      <c r="T222" s="1">
        <v>0.376</v>
      </c>
      <c r="U222">
        <v>17479</v>
      </c>
    </row>
    <row r="223" spans="1:21" x14ac:dyDescent="0.3">
      <c r="A223" t="s">
        <v>333</v>
      </c>
      <c r="B223" t="s">
        <v>62</v>
      </c>
      <c r="C223">
        <v>0.3</v>
      </c>
      <c r="D223">
        <v>1.03</v>
      </c>
      <c r="E223" s="1">
        <v>0.218</v>
      </c>
      <c r="F223" s="1">
        <v>0.39700000000000002</v>
      </c>
      <c r="G223" s="1">
        <v>0.38500000000000001</v>
      </c>
      <c r="H223" s="1">
        <v>5.3999999999999999E-2</v>
      </c>
      <c r="I223" s="1">
        <v>0.19600000000000001</v>
      </c>
      <c r="J223">
        <v>51</v>
      </c>
      <c r="K223">
        <v>6.38</v>
      </c>
      <c r="L223">
        <v>461</v>
      </c>
      <c r="M223">
        <v>813</v>
      </c>
      <c r="N223">
        <v>1274</v>
      </c>
      <c r="O223" s="1">
        <v>0.378</v>
      </c>
      <c r="P223" s="1">
        <v>0.39</v>
      </c>
      <c r="Q223" s="1">
        <v>0.23200000000000001</v>
      </c>
      <c r="R223" s="1">
        <v>0.16200000000000001</v>
      </c>
      <c r="S223" s="1">
        <v>0.39</v>
      </c>
      <c r="T223" s="1">
        <v>0.44800000000000001</v>
      </c>
      <c r="U223">
        <v>18790</v>
      </c>
    </row>
    <row r="224" spans="1:21" x14ac:dyDescent="0.3">
      <c r="A224" t="s">
        <v>299</v>
      </c>
      <c r="B224" t="s">
        <v>48</v>
      </c>
      <c r="C224">
        <v>0.33700000000000002</v>
      </c>
      <c r="D224">
        <v>1.03</v>
      </c>
      <c r="E224" s="1">
        <v>0.23100000000000001</v>
      </c>
      <c r="F224" s="1">
        <v>0.39</v>
      </c>
      <c r="G224" s="1">
        <v>0.379</v>
      </c>
      <c r="H224" s="1">
        <v>0.08</v>
      </c>
      <c r="I224" s="1">
        <v>0.21</v>
      </c>
      <c r="J224">
        <v>50</v>
      </c>
      <c r="K224">
        <v>4.33</v>
      </c>
      <c r="L224">
        <v>708</v>
      </c>
      <c r="M224">
        <v>1248</v>
      </c>
      <c r="N224">
        <v>1956</v>
      </c>
      <c r="O224" s="1">
        <v>0.31900000000000001</v>
      </c>
      <c r="P224" s="1">
        <v>0.35899999999999999</v>
      </c>
      <c r="Q224" s="1">
        <v>0.32200000000000001</v>
      </c>
      <c r="R224" s="1">
        <v>0.14099999999999999</v>
      </c>
      <c r="S224" s="1">
        <v>0.48099999999999998</v>
      </c>
      <c r="T224" s="1">
        <v>0.378</v>
      </c>
      <c r="U224">
        <v>11426</v>
      </c>
    </row>
    <row r="225" spans="1:21" x14ac:dyDescent="0.3">
      <c r="A225" t="s">
        <v>184</v>
      </c>
      <c r="B225" t="s">
        <v>34</v>
      </c>
      <c r="C225">
        <v>0.254</v>
      </c>
      <c r="D225">
        <v>1.03</v>
      </c>
      <c r="E225" s="1">
        <v>0.21299999999999999</v>
      </c>
      <c r="F225" s="1">
        <v>0.39900000000000002</v>
      </c>
      <c r="G225" s="1">
        <v>0.38800000000000001</v>
      </c>
      <c r="H225" s="1">
        <v>0.13800000000000001</v>
      </c>
      <c r="I225" s="1">
        <v>0.13800000000000001</v>
      </c>
      <c r="J225">
        <v>114</v>
      </c>
      <c r="K225">
        <v>5.56</v>
      </c>
      <c r="L225">
        <v>1009</v>
      </c>
      <c r="M225">
        <v>1890</v>
      </c>
      <c r="N225">
        <v>2899</v>
      </c>
      <c r="O225" s="1">
        <v>0.438</v>
      </c>
      <c r="P225" s="1">
        <v>0.30399999999999999</v>
      </c>
      <c r="Q225" s="1">
        <v>0.25800000000000001</v>
      </c>
      <c r="R225" s="1">
        <v>0.17</v>
      </c>
      <c r="S225" s="1">
        <v>0.44</v>
      </c>
      <c r="T225" s="1">
        <v>0.39</v>
      </c>
      <c r="U225">
        <v>7754</v>
      </c>
    </row>
    <row r="226" spans="1:21" x14ac:dyDescent="0.3">
      <c r="A226" t="s">
        <v>304</v>
      </c>
      <c r="B226" t="s">
        <v>40</v>
      </c>
      <c r="C226">
        <v>0.28000000000000003</v>
      </c>
      <c r="D226">
        <v>1.03</v>
      </c>
      <c r="E226" s="1">
        <v>0.215</v>
      </c>
      <c r="F226" s="1">
        <v>0.39800000000000002</v>
      </c>
      <c r="G226" s="1">
        <v>0.38800000000000001</v>
      </c>
      <c r="H226" s="1">
        <v>0.10199999999999999</v>
      </c>
      <c r="I226" s="1">
        <v>0.183</v>
      </c>
      <c r="J226">
        <v>96</v>
      </c>
      <c r="K226">
        <v>5.36</v>
      </c>
      <c r="L226">
        <v>1005</v>
      </c>
      <c r="M226">
        <v>1691</v>
      </c>
      <c r="N226">
        <v>2696</v>
      </c>
      <c r="O226" s="1">
        <v>0.35699999999999998</v>
      </c>
      <c r="P226" s="1">
        <v>0.40899999999999997</v>
      </c>
      <c r="Q226" s="1">
        <v>0.23400000000000001</v>
      </c>
      <c r="R226" s="1">
        <v>0.183</v>
      </c>
      <c r="S226" s="1">
        <v>0.41699999999999998</v>
      </c>
      <c r="T226" s="1">
        <v>0.4</v>
      </c>
      <c r="U226">
        <v>7410</v>
      </c>
    </row>
    <row r="227" spans="1:21" x14ac:dyDescent="0.3">
      <c r="A227" t="s">
        <v>67</v>
      </c>
      <c r="B227" t="s">
        <v>28</v>
      </c>
      <c r="C227">
        <v>0.27500000000000002</v>
      </c>
      <c r="D227">
        <v>1.02</v>
      </c>
      <c r="E227" s="1">
        <v>0.20399999999999999</v>
      </c>
      <c r="F227" s="1">
        <v>0.40300000000000002</v>
      </c>
      <c r="G227" s="1">
        <v>0.39400000000000002</v>
      </c>
      <c r="H227" s="1">
        <v>0.11</v>
      </c>
      <c r="I227" s="1">
        <v>0.16900000000000001</v>
      </c>
      <c r="J227">
        <v>177</v>
      </c>
      <c r="K227">
        <v>7.5</v>
      </c>
      <c r="L227">
        <v>1108</v>
      </c>
      <c r="M227">
        <v>2254</v>
      </c>
      <c r="N227">
        <v>3362</v>
      </c>
      <c r="O227" s="1">
        <v>0.373</v>
      </c>
      <c r="P227" s="1">
        <v>0.34300000000000003</v>
      </c>
      <c r="Q227" s="1">
        <v>0.28399999999999997</v>
      </c>
      <c r="R227" s="1">
        <v>0.193</v>
      </c>
      <c r="S227" s="1">
        <v>0.46800000000000003</v>
      </c>
      <c r="T227" s="1">
        <v>0.33900000000000002</v>
      </c>
      <c r="U227">
        <v>13125</v>
      </c>
    </row>
    <row r="228" spans="1:21" x14ac:dyDescent="0.3">
      <c r="A228" t="s">
        <v>355</v>
      </c>
      <c r="B228" t="s">
        <v>193</v>
      </c>
      <c r="C228">
        <v>0.308</v>
      </c>
      <c r="D228">
        <v>1.02</v>
      </c>
      <c r="E228" s="1">
        <v>0.20699999999999999</v>
      </c>
      <c r="F228" s="1">
        <v>0.4</v>
      </c>
      <c r="G228" s="1">
        <v>0.39300000000000002</v>
      </c>
      <c r="H228" s="1">
        <v>0.107</v>
      </c>
      <c r="I228" s="1">
        <v>0.17599999999999999</v>
      </c>
      <c r="J228">
        <v>74</v>
      </c>
      <c r="K228">
        <v>5.49</v>
      </c>
      <c r="L228">
        <v>683</v>
      </c>
      <c r="M228">
        <v>1272</v>
      </c>
      <c r="N228">
        <v>1955</v>
      </c>
      <c r="O228" s="1">
        <v>0.45100000000000001</v>
      </c>
      <c r="P228" s="1">
        <v>0.309</v>
      </c>
      <c r="Q228" s="1">
        <v>0.24</v>
      </c>
      <c r="R228" s="1">
        <v>0.13500000000000001</v>
      </c>
      <c r="S228" s="1">
        <v>0.51500000000000001</v>
      </c>
      <c r="T228" s="1">
        <v>0.35</v>
      </c>
      <c r="U228">
        <v>5221</v>
      </c>
    </row>
    <row r="229" spans="1:21" x14ac:dyDescent="0.3">
      <c r="A229" t="s">
        <v>173</v>
      </c>
      <c r="B229" t="s">
        <v>56</v>
      </c>
      <c r="C229">
        <v>0.255</v>
      </c>
      <c r="D229">
        <v>1.02</v>
      </c>
      <c r="E229" s="1">
        <v>0.224</v>
      </c>
      <c r="F229" s="1">
        <v>0.39100000000000001</v>
      </c>
      <c r="G229" s="1">
        <v>0.38500000000000001</v>
      </c>
      <c r="H229" s="1">
        <v>9.9000000000000005E-2</v>
      </c>
      <c r="I229" s="1">
        <v>0.14499999999999999</v>
      </c>
      <c r="J229">
        <v>77</v>
      </c>
      <c r="K229">
        <v>5.99</v>
      </c>
      <c r="L229">
        <v>668</v>
      </c>
      <c r="M229">
        <v>1224</v>
      </c>
      <c r="N229">
        <v>1892</v>
      </c>
      <c r="O229" s="1">
        <v>0.38100000000000001</v>
      </c>
      <c r="P229" s="1">
        <v>0.314</v>
      </c>
      <c r="Q229" s="1">
        <v>0.30499999999999999</v>
      </c>
      <c r="R229" s="1">
        <v>0.16300000000000001</v>
      </c>
      <c r="S229" s="1">
        <v>0.45600000000000002</v>
      </c>
      <c r="T229" s="1">
        <v>0.38100000000000001</v>
      </c>
      <c r="U229">
        <v>19979</v>
      </c>
    </row>
    <row r="230" spans="1:21" x14ac:dyDescent="0.3">
      <c r="A230" t="s">
        <v>281</v>
      </c>
      <c r="B230" t="s">
        <v>28</v>
      </c>
      <c r="C230">
        <v>0.26300000000000001</v>
      </c>
      <c r="D230">
        <v>1.01</v>
      </c>
      <c r="E230" s="1">
        <v>0.245</v>
      </c>
      <c r="F230" s="1">
        <v>0.38</v>
      </c>
      <c r="G230" s="1">
        <v>0.375</v>
      </c>
      <c r="H230" s="1">
        <v>6.7000000000000004E-2</v>
      </c>
      <c r="I230" s="1">
        <v>0.16</v>
      </c>
      <c r="J230">
        <v>43</v>
      </c>
      <c r="K230">
        <v>5.18</v>
      </c>
      <c r="L230">
        <v>477</v>
      </c>
      <c r="M230">
        <v>817</v>
      </c>
      <c r="N230">
        <v>1294</v>
      </c>
      <c r="O230" s="1">
        <v>0.38300000000000001</v>
      </c>
      <c r="P230" s="1">
        <v>0.34300000000000003</v>
      </c>
      <c r="Q230" s="1">
        <v>0.27400000000000002</v>
      </c>
      <c r="R230" s="1">
        <v>0.154</v>
      </c>
      <c r="S230" s="1">
        <v>0.46300000000000002</v>
      </c>
      <c r="T230" s="1">
        <v>0.38300000000000001</v>
      </c>
      <c r="U230">
        <v>7531</v>
      </c>
    </row>
    <row r="231" spans="1:21" x14ac:dyDescent="0.3">
      <c r="A231" t="s">
        <v>373</v>
      </c>
      <c r="B231" t="s">
        <v>48</v>
      </c>
      <c r="C231">
        <v>0.27600000000000002</v>
      </c>
      <c r="D231">
        <v>1.01</v>
      </c>
      <c r="E231" s="1">
        <v>0.19400000000000001</v>
      </c>
      <c r="F231" s="1">
        <v>0.40500000000000003</v>
      </c>
      <c r="G231" s="1">
        <v>0.40100000000000002</v>
      </c>
      <c r="H231" s="1">
        <v>7.3999999999999996E-2</v>
      </c>
      <c r="I231" s="1">
        <v>0.21099999999999999</v>
      </c>
      <c r="J231">
        <v>31</v>
      </c>
      <c r="K231">
        <v>3.31</v>
      </c>
      <c r="L231">
        <v>553</v>
      </c>
      <c r="M231">
        <v>934</v>
      </c>
      <c r="N231">
        <v>1487</v>
      </c>
      <c r="O231" s="1">
        <v>0.42</v>
      </c>
      <c r="P231" s="1">
        <v>0.35899999999999999</v>
      </c>
      <c r="Q231" s="1">
        <v>0.22</v>
      </c>
      <c r="R231" s="1">
        <v>0.151</v>
      </c>
      <c r="S231" s="1">
        <v>0.41199999999999998</v>
      </c>
      <c r="T231" s="1">
        <v>0.437</v>
      </c>
      <c r="U231">
        <v>4141</v>
      </c>
    </row>
    <row r="232" spans="1:21" x14ac:dyDescent="0.3">
      <c r="A232" t="s">
        <v>306</v>
      </c>
      <c r="B232" t="s">
        <v>30</v>
      </c>
      <c r="C232">
        <v>0.28299999999999997</v>
      </c>
      <c r="D232">
        <v>1.01</v>
      </c>
      <c r="E232" s="1">
        <v>0.20599999999999999</v>
      </c>
      <c r="F232" s="1">
        <v>0.39900000000000002</v>
      </c>
      <c r="G232" s="1">
        <v>0.39500000000000002</v>
      </c>
      <c r="H232" s="1">
        <v>7.0999999999999994E-2</v>
      </c>
      <c r="I232" s="1">
        <v>0.153</v>
      </c>
      <c r="J232">
        <v>51</v>
      </c>
      <c r="K232">
        <v>6.26</v>
      </c>
      <c r="L232">
        <v>406</v>
      </c>
      <c r="M232">
        <v>743</v>
      </c>
      <c r="N232">
        <v>1149</v>
      </c>
      <c r="O232" s="1">
        <v>0.41299999999999998</v>
      </c>
      <c r="P232" s="1">
        <v>0.32500000000000001</v>
      </c>
      <c r="Q232" s="1">
        <v>0.26200000000000001</v>
      </c>
      <c r="R232" s="1">
        <v>0.183</v>
      </c>
      <c r="S232" s="1">
        <v>0.496</v>
      </c>
      <c r="T232" s="1">
        <v>0.32100000000000001</v>
      </c>
      <c r="U232">
        <v>15821</v>
      </c>
    </row>
    <row r="233" spans="1:21" x14ac:dyDescent="0.3">
      <c r="A233" t="s">
        <v>142</v>
      </c>
      <c r="B233" t="s">
        <v>143</v>
      </c>
      <c r="C233">
        <v>0.28699999999999998</v>
      </c>
      <c r="D233">
        <v>1</v>
      </c>
      <c r="E233" s="1">
        <v>0.19900000000000001</v>
      </c>
      <c r="F233" s="1">
        <v>0.4</v>
      </c>
      <c r="G233" s="1">
        <v>0.4</v>
      </c>
      <c r="H233" s="1">
        <v>0.129</v>
      </c>
      <c r="I233" s="1">
        <v>0.129</v>
      </c>
      <c r="J233">
        <v>114</v>
      </c>
      <c r="K233">
        <v>4.92</v>
      </c>
      <c r="L233">
        <v>1186</v>
      </c>
      <c r="M233">
        <v>2172</v>
      </c>
      <c r="N233">
        <v>3358</v>
      </c>
      <c r="O233" s="1">
        <v>0.46600000000000003</v>
      </c>
      <c r="P233" s="1">
        <v>0.33</v>
      </c>
      <c r="Q233" s="1">
        <v>0.20399999999999999</v>
      </c>
      <c r="R233" s="1">
        <v>0.189</v>
      </c>
      <c r="S233" s="1">
        <v>0.45700000000000002</v>
      </c>
      <c r="T233" s="1">
        <v>0.35399999999999998</v>
      </c>
      <c r="U233">
        <v>10021</v>
      </c>
    </row>
    <row r="234" spans="1:21" x14ac:dyDescent="0.3">
      <c r="A234" t="s">
        <v>234</v>
      </c>
      <c r="B234" t="s">
        <v>98</v>
      </c>
      <c r="C234">
        <v>0.30499999999999999</v>
      </c>
      <c r="D234">
        <v>1</v>
      </c>
      <c r="E234" s="1">
        <v>0.25900000000000001</v>
      </c>
      <c r="F234" s="1">
        <v>0.37</v>
      </c>
      <c r="G234" s="1">
        <v>0.37</v>
      </c>
      <c r="H234" s="1">
        <v>0.1</v>
      </c>
      <c r="I234" s="1">
        <v>0.2</v>
      </c>
      <c r="J234">
        <v>135</v>
      </c>
      <c r="K234">
        <v>6.97</v>
      </c>
      <c r="L234">
        <v>1144</v>
      </c>
      <c r="M234">
        <v>1920</v>
      </c>
      <c r="N234">
        <v>3064</v>
      </c>
      <c r="O234" s="1">
        <v>0.42899999999999999</v>
      </c>
      <c r="P234" s="1">
        <v>0.34100000000000003</v>
      </c>
      <c r="Q234" s="1">
        <v>0.23</v>
      </c>
      <c r="R234" s="1">
        <v>0.16400000000000001</v>
      </c>
      <c r="S234" s="1">
        <v>0.40300000000000002</v>
      </c>
      <c r="T234" s="1">
        <v>0.434</v>
      </c>
      <c r="U234">
        <v>11486</v>
      </c>
    </row>
    <row r="235" spans="1:21" x14ac:dyDescent="0.3">
      <c r="A235" t="s">
        <v>380</v>
      </c>
      <c r="B235" t="s">
        <v>102</v>
      </c>
      <c r="C235">
        <v>0.35099999999999998</v>
      </c>
      <c r="D235">
        <v>1</v>
      </c>
      <c r="E235" s="1">
        <v>0.24199999999999999</v>
      </c>
      <c r="F235" s="1">
        <v>0.379</v>
      </c>
      <c r="G235" s="1">
        <v>0.379</v>
      </c>
      <c r="H235" s="1">
        <v>8.3000000000000004E-2</v>
      </c>
      <c r="I235" s="1">
        <v>0.13900000000000001</v>
      </c>
      <c r="J235">
        <v>19</v>
      </c>
      <c r="K235">
        <v>2.82</v>
      </c>
      <c r="L235">
        <v>382</v>
      </c>
      <c r="M235">
        <v>679</v>
      </c>
      <c r="N235">
        <v>1061</v>
      </c>
      <c r="O235" s="1">
        <v>0.32500000000000001</v>
      </c>
      <c r="P235" s="1">
        <v>0.38100000000000001</v>
      </c>
      <c r="Q235" s="1">
        <v>0.29399999999999998</v>
      </c>
      <c r="R235" s="1">
        <v>0.14699999999999999</v>
      </c>
      <c r="S235" s="1">
        <v>0.45700000000000002</v>
      </c>
      <c r="T235" s="1">
        <v>0.39600000000000002</v>
      </c>
      <c r="U235">
        <v>14457</v>
      </c>
    </row>
    <row r="236" spans="1:21" x14ac:dyDescent="0.3">
      <c r="A236" t="s">
        <v>208</v>
      </c>
      <c r="B236" t="s">
        <v>26</v>
      </c>
      <c r="C236">
        <v>0.311</v>
      </c>
      <c r="D236">
        <v>1</v>
      </c>
      <c r="E236" s="1">
        <v>0.27400000000000002</v>
      </c>
      <c r="F236" s="1">
        <v>0.36299999999999999</v>
      </c>
      <c r="G236" s="1">
        <v>0.36299999999999999</v>
      </c>
      <c r="H236" s="1">
        <v>0.115</v>
      </c>
      <c r="I236" s="1">
        <v>0.19700000000000001</v>
      </c>
      <c r="J236">
        <v>37</v>
      </c>
      <c r="K236">
        <v>4.5599999999999996</v>
      </c>
      <c r="L236">
        <v>439</v>
      </c>
      <c r="M236">
        <v>794</v>
      </c>
      <c r="N236">
        <v>1233</v>
      </c>
      <c r="O236" s="1">
        <v>0.34100000000000003</v>
      </c>
      <c r="P236" s="1">
        <v>0.38200000000000001</v>
      </c>
      <c r="Q236" s="1">
        <v>0.27700000000000002</v>
      </c>
      <c r="R236" s="1">
        <v>0.191</v>
      </c>
      <c r="S236" s="1">
        <v>0.45100000000000001</v>
      </c>
      <c r="T236" s="1">
        <v>0.35799999999999998</v>
      </c>
      <c r="U236">
        <v>17186</v>
      </c>
    </row>
    <row r="237" spans="1:21" x14ac:dyDescent="0.3">
      <c r="A237" t="s">
        <v>363</v>
      </c>
      <c r="B237" t="s">
        <v>143</v>
      </c>
      <c r="C237">
        <v>0.32700000000000001</v>
      </c>
      <c r="D237">
        <v>0.99</v>
      </c>
      <c r="E237" s="1">
        <v>0.19400000000000001</v>
      </c>
      <c r="F237" s="1">
        <v>0.40200000000000002</v>
      </c>
      <c r="G237" s="1">
        <v>0.40400000000000003</v>
      </c>
      <c r="H237" s="1">
        <v>0.108</v>
      </c>
      <c r="I237" s="1">
        <v>0.17399999999999999</v>
      </c>
      <c r="J237">
        <v>63</v>
      </c>
      <c r="K237">
        <v>4.5199999999999996</v>
      </c>
      <c r="L237">
        <v>730</v>
      </c>
      <c r="M237">
        <v>1326</v>
      </c>
      <c r="N237">
        <v>2056</v>
      </c>
      <c r="O237" s="1">
        <v>0.42899999999999999</v>
      </c>
      <c r="P237" s="1">
        <v>0.34499999999999997</v>
      </c>
      <c r="Q237" s="1">
        <v>0.22500000000000001</v>
      </c>
      <c r="R237" s="1">
        <v>0.156</v>
      </c>
      <c r="S237" s="1">
        <v>0.36499999999999999</v>
      </c>
      <c r="T237" s="1">
        <v>0.48</v>
      </c>
      <c r="U237">
        <v>13339</v>
      </c>
    </row>
    <row r="238" spans="1:21" x14ac:dyDescent="0.3">
      <c r="A238" t="s">
        <v>312</v>
      </c>
      <c r="B238" t="s">
        <v>40</v>
      </c>
      <c r="C238">
        <v>0.29099999999999998</v>
      </c>
      <c r="D238">
        <v>0.99</v>
      </c>
      <c r="E238" s="1">
        <v>0.20100000000000001</v>
      </c>
      <c r="F238" s="1">
        <v>0.39800000000000002</v>
      </c>
      <c r="G238" s="1">
        <v>0.40100000000000002</v>
      </c>
      <c r="H238" s="1">
        <v>0.11899999999999999</v>
      </c>
      <c r="I238" s="1">
        <v>0.214</v>
      </c>
      <c r="J238">
        <v>61</v>
      </c>
      <c r="K238">
        <v>5.1100000000000003</v>
      </c>
      <c r="L238">
        <v>624</v>
      </c>
      <c r="M238">
        <v>1105</v>
      </c>
      <c r="N238">
        <v>1729</v>
      </c>
      <c r="O238" s="1">
        <v>0.46500000000000002</v>
      </c>
      <c r="P238" s="1">
        <v>0.318</v>
      </c>
      <c r="Q238" s="1">
        <v>0.217</v>
      </c>
      <c r="R238" s="1">
        <v>0.189</v>
      </c>
      <c r="S238" s="1">
        <v>0.434</v>
      </c>
      <c r="T238" s="1">
        <v>0.377</v>
      </c>
      <c r="U238">
        <v>404</v>
      </c>
    </row>
    <row r="239" spans="1:21" x14ac:dyDescent="0.3">
      <c r="A239" t="s">
        <v>236</v>
      </c>
      <c r="B239" t="s">
        <v>48</v>
      </c>
      <c r="C239">
        <v>0.32200000000000001</v>
      </c>
      <c r="D239">
        <v>0.99</v>
      </c>
      <c r="E239" s="1">
        <v>0.27100000000000002</v>
      </c>
      <c r="F239" s="1">
        <v>0.36199999999999999</v>
      </c>
      <c r="G239" s="1">
        <v>0.36599999999999999</v>
      </c>
      <c r="H239" s="1">
        <v>9.4E-2</v>
      </c>
      <c r="I239" s="1">
        <v>0.155</v>
      </c>
      <c r="J239">
        <v>108</v>
      </c>
      <c r="K239">
        <v>5.88</v>
      </c>
      <c r="L239">
        <v>1147</v>
      </c>
      <c r="M239">
        <v>1845</v>
      </c>
      <c r="N239">
        <v>2992</v>
      </c>
      <c r="O239" s="1">
        <v>0.39300000000000002</v>
      </c>
      <c r="P239" s="1">
        <v>0.34100000000000003</v>
      </c>
      <c r="Q239" s="1">
        <v>0.26700000000000002</v>
      </c>
      <c r="R239" s="1">
        <v>0.152</v>
      </c>
      <c r="S239" s="1">
        <v>0.47899999999999998</v>
      </c>
      <c r="T239" s="1">
        <v>0.36899999999999999</v>
      </c>
      <c r="U239">
        <v>8753</v>
      </c>
    </row>
    <row r="240" spans="1:21" x14ac:dyDescent="0.3">
      <c r="A240" t="s">
        <v>63</v>
      </c>
      <c r="B240" t="s">
        <v>53</v>
      </c>
      <c r="C240">
        <v>0.25700000000000001</v>
      </c>
      <c r="D240">
        <v>0.99</v>
      </c>
      <c r="E240" s="1">
        <v>0.221</v>
      </c>
      <c r="F240" s="1">
        <v>0.38700000000000001</v>
      </c>
      <c r="G240" s="1">
        <v>0.39200000000000002</v>
      </c>
      <c r="H240" s="1">
        <v>0.15</v>
      </c>
      <c r="I240" s="1">
        <v>8.7999999999999995E-2</v>
      </c>
      <c r="J240">
        <v>48</v>
      </c>
      <c r="K240">
        <v>5.42</v>
      </c>
      <c r="L240">
        <v>479</v>
      </c>
      <c r="M240">
        <v>865</v>
      </c>
      <c r="N240">
        <v>1344</v>
      </c>
      <c r="O240" s="1">
        <v>0.34899999999999998</v>
      </c>
      <c r="P240" s="1">
        <v>0.36799999999999999</v>
      </c>
      <c r="Q240" s="1">
        <v>0.28199999999999997</v>
      </c>
      <c r="R240" s="1">
        <v>0.23400000000000001</v>
      </c>
      <c r="S240" s="1">
        <v>0.41099999999999998</v>
      </c>
      <c r="T240" s="1">
        <v>0.35399999999999998</v>
      </c>
      <c r="U240">
        <v>14765</v>
      </c>
    </row>
    <row r="241" spans="1:21" x14ac:dyDescent="0.3">
      <c r="A241" t="s">
        <v>73</v>
      </c>
      <c r="B241" t="s">
        <v>28</v>
      </c>
      <c r="C241">
        <v>0.23400000000000001</v>
      </c>
      <c r="D241">
        <v>0.98</v>
      </c>
      <c r="E241" s="1">
        <v>0.218</v>
      </c>
      <c r="F241" s="1">
        <v>0.38800000000000001</v>
      </c>
      <c r="G241" s="1">
        <v>0.39400000000000002</v>
      </c>
      <c r="H241" s="1">
        <v>0.13800000000000001</v>
      </c>
      <c r="I241" s="1">
        <v>0.123</v>
      </c>
      <c r="J241">
        <v>6</v>
      </c>
      <c r="K241">
        <v>0.83</v>
      </c>
      <c r="L241">
        <v>319</v>
      </c>
      <c r="M241">
        <v>642</v>
      </c>
      <c r="N241">
        <v>961</v>
      </c>
      <c r="O241" s="1">
        <v>0.38600000000000001</v>
      </c>
      <c r="P241" s="1">
        <v>0.35499999999999998</v>
      </c>
      <c r="Q241" s="1">
        <v>0.25900000000000001</v>
      </c>
      <c r="R241" s="1">
        <v>0.20499999999999999</v>
      </c>
      <c r="S241" s="1">
        <v>0.434</v>
      </c>
      <c r="T241" s="1">
        <v>0.36099999999999999</v>
      </c>
      <c r="U241">
        <v>13764</v>
      </c>
    </row>
    <row r="242" spans="1:21" x14ac:dyDescent="0.3">
      <c r="A242" t="s">
        <v>85</v>
      </c>
      <c r="B242" t="s">
        <v>56</v>
      </c>
      <c r="C242">
        <v>0.253</v>
      </c>
      <c r="D242">
        <v>0.98</v>
      </c>
      <c r="E242" s="1">
        <v>0.23200000000000001</v>
      </c>
      <c r="F242" s="1">
        <v>0.38100000000000001</v>
      </c>
      <c r="G242" s="1">
        <v>0.38700000000000001</v>
      </c>
      <c r="H242" s="1">
        <v>0.1</v>
      </c>
      <c r="I242" s="1">
        <v>0.16700000000000001</v>
      </c>
      <c r="J242">
        <v>46</v>
      </c>
      <c r="K242">
        <v>7.18</v>
      </c>
      <c r="L242">
        <v>337</v>
      </c>
      <c r="M242">
        <v>638</v>
      </c>
      <c r="N242">
        <v>975</v>
      </c>
      <c r="O242" s="1">
        <v>0.25600000000000001</v>
      </c>
      <c r="P242" s="1">
        <v>0.436</v>
      </c>
      <c r="Q242" s="1">
        <v>0.308</v>
      </c>
      <c r="R242" s="1">
        <v>0.115</v>
      </c>
      <c r="S242" s="1">
        <v>0.39100000000000001</v>
      </c>
      <c r="T242" s="1">
        <v>0.49399999999999999</v>
      </c>
      <c r="U242">
        <v>15594</v>
      </c>
    </row>
    <row r="243" spans="1:21" x14ac:dyDescent="0.3">
      <c r="A243" t="s">
        <v>370</v>
      </c>
      <c r="B243" t="s">
        <v>48</v>
      </c>
      <c r="C243">
        <v>0.307</v>
      </c>
      <c r="D243">
        <v>0.98</v>
      </c>
      <c r="E243" s="1">
        <v>0.24399999999999999</v>
      </c>
      <c r="F243" s="1">
        <v>0.375</v>
      </c>
      <c r="G243" s="1">
        <v>0.38100000000000001</v>
      </c>
      <c r="H243" s="1">
        <v>0.17599999999999999</v>
      </c>
      <c r="I243" s="1">
        <v>0.21</v>
      </c>
      <c r="J243">
        <v>43</v>
      </c>
      <c r="K243">
        <v>3.75</v>
      </c>
      <c r="L243">
        <v>751</v>
      </c>
      <c r="M243">
        <v>1194</v>
      </c>
      <c r="N243">
        <v>1945</v>
      </c>
      <c r="O243" s="1">
        <v>0.47199999999999998</v>
      </c>
      <c r="P243" s="1">
        <v>0.30499999999999999</v>
      </c>
      <c r="Q243" s="1">
        <v>0.223</v>
      </c>
      <c r="R243" s="1">
        <v>0.16700000000000001</v>
      </c>
      <c r="S243" s="1">
        <v>0.36499999999999999</v>
      </c>
      <c r="T243" s="1">
        <v>0.46899999999999997</v>
      </c>
      <c r="U243">
        <v>2608</v>
      </c>
    </row>
    <row r="244" spans="1:21" x14ac:dyDescent="0.3">
      <c r="A244" t="s">
        <v>157</v>
      </c>
      <c r="B244" t="s">
        <v>30</v>
      </c>
      <c r="C244">
        <v>0.27900000000000003</v>
      </c>
      <c r="D244">
        <v>0.98</v>
      </c>
      <c r="E244" s="1">
        <v>0.153</v>
      </c>
      <c r="F244" s="1">
        <v>0.41799999999999998</v>
      </c>
      <c r="G244" s="1">
        <v>0.42899999999999999</v>
      </c>
      <c r="H244" s="1">
        <v>9.5000000000000001E-2</v>
      </c>
      <c r="I244" s="1">
        <v>0.16700000000000001</v>
      </c>
      <c r="J244">
        <v>46</v>
      </c>
      <c r="K244">
        <v>6.34</v>
      </c>
      <c r="L244">
        <v>405</v>
      </c>
      <c r="M244">
        <v>757</v>
      </c>
      <c r="N244">
        <v>1162</v>
      </c>
      <c r="O244" s="1">
        <v>0.42299999999999999</v>
      </c>
      <c r="P244" s="1">
        <v>0.27600000000000002</v>
      </c>
      <c r="Q244" s="1">
        <v>0.30099999999999999</v>
      </c>
      <c r="R244" s="1">
        <v>0.17299999999999999</v>
      </c>
      <c r="S244" s="1">
        <v>0.44400000000000001</v>
      </c>
      <c r="T244" s="1">
        <v>0.38300000000000001</v>
      </c>
      <c r="U244">
        <v>13549</v>
      </c>
    </row>
    <row r="245" spans="1:21" x14ac:dyDescent="0.3">
      <c r="A245" t="s">
        <v>215</v>
      </c>
      <c r="B245" t="s">
        <v>48</v>
      </c>
      <c r="C245">
        <v>0.28499999999999998</v>
      </c>
      <c r="D245">
        <v>0.98</v>
      </c>
      <c r="E245" s="1">
        <v>0.185</v>
      </c>
      <c r="F245" s="1">
        <v>0.40300000000000002</v>
      </c>
      <c r="G245" s="1">
        <v>0.41299999999999998</v>
      </c>
      <c r="H245" s="1">
        <v>9.9000000000000005E-2</v>
      </c>
      <c r="I245" s="1">
        <v>0.155</v>
      </c>
      <c r="J245">
        <v>80</v>
      </c>
      <c r="K245">
        <v>5.1100000000000003</v>
      </c>
      <c r="L245">
        <v>889</v>
      </c>
      <c r="M245">
        <v>1567</v>
      </c>
      <c r="N245">
        <v>2456</v>
      </c>
      <c r="O245" s="1">
        <v>0.35499999999999998</v>
      </c>
      <c r="P245" s="1">
        <v>0.36</v>
      </c>
      <c r="Q245" s="1">
        <v>0.28499999999999998</v>
      </c>
      <c r="R245" s="1">
        <v>0.17599999999999999</v>
      </c>
      <c r="S245" s="1">
        <v>0.438</v>
      </c>
      <c r="T245" s="1">
        <v>0.38500000000000001</v>
      </c>
      <c r="U245">
        <v>7593</v>
      </c>
    </row>
    <row r="246" spans="1:21" x14ac:dyDescent="0.3">
      <c r="A246" t="s">
        <v>179</v>
      </c>
      <c r="B246" t="s">
        <v>93</v>
      </c>
      <c r="C246">
        <v>0.26500000000000001</v>
      </c>
      <c r="D246">
        <v>0.97</v>
      </c>
      <c r="E246" s="1">
        <v>0.22800000000000001</v>
      </c>
      <c r="F246" s="1">
        <v>0.38</v>
      </c>
      <c r="G246" s="1">
        <v>0.39200000000000002</v>
      </c>
      <c r="H246" s="1">
        <v>8.5000000000000006E-2</v>
      </c>
      <c r="I246" s="1">
        <v>0.111</v>
      </c>
      <c r="J246">
        <v>115</v>
      </c>
      <c r="K246">
        <v>6.23</v>
      </c>
      <c r="L246">
        <v>964</v>
      </c>
      <c r="M246">
        <v>1726</v>
      </c>
      <c r="N246">
        <v>2690</v>
      </c>
      <c r="O246" s="1">
        <v>0.39900000000000002</v>
      </c>
      <c r="P246" s="1">
        <v>0.34100000000000003</v>
      </c>
      <c r="Q246" s="1">
        <v>0.26</v>
      </c>
      <c r="R246" s="1">
        <v>0.19</v>
      </c>
      <c r="S246" s="1">
        <v>0.49399999999999999</v>
      </c>
      <c r="T246" s="1">
        <v>0.316</v>
      </c>
      <c r="U246">
        <v>3284</v>
      </c>
    </row>
    <row r="247" spans="1:21" x14ac:dyDescent="0.3">
      <c r="A247" t="s">
        <v>338</v>
      </c>
      <c r="B247" t="s">
        <v>38</v>
      </c>
      <c r="C247">
        <v>0.32100000000000001</v>
      </c>
      <c r="D247">
        <v>0.97</v>
      </c>
      <c r="E247" s="1">
        <v>0.217</v>
      </c>
      <c r="F247" s="1">
        <v>0.38600000000000001</v>
      </c>
      <c r="G247" s="1">
        <v>0.39800000000000002</v>
      </c>
      <c r="H247" s="1">
        <v>0.152</v>
      </c>
      <c r="I247" s="1">
        <v>0.106</v>
      </c>
      <c r="J247">
        <v>33</v>
      </c>
      <c r="K247">
        <v>5.27</v>
      </c>
      <c r="L247">
        <v>390</v>
      </c>
      <c r="M247">
        <v>591</v>
      </c>
      <c r="N247">
        <v>981</v>
      </c>
      <c r="O247" s="1">
        <v>0.40100000000000002</v>
      </c>
      <c r="P247" s="1">
        <v>0.30499999999999999</v>
      </c>
      <c r="Q247" s="1">
        <v>0.29299999999999998</v>
      </c>
      <c r="R247" s="1">
        <v>0.23400000000000001</v>
      </c>
      <c r="S247" s="1">
        <v>0.38900000000000001</v>
      </c>
      <c r="T247" s="1">
        <v>0.377</v>
      </c>
      <c r="U247">
        <v>19341</v>
      </c>
    </row>
    <row r="248" spans="1:21" x14ac:dyDescent="0.3">
      <c r="A248" t="s">
        <v>39</v>
      </c>
      <c r="B248" t="s">
        <v>40</v>
      </c>
      <c r="C248">
        <v>0.28399999999999997</v>
      </c>
      <c r="D248">
        <v>0.97</v>
      </c>
      <c r="E248" s="1">
        <v>0.192</v>
      </c>
      <c r="F248" s="1">
        <v>0.39700000000000002</v>
      </c>
      <c r="G248" s="1">
        <v>0.41099999999999998</v>
      </c>
      <c r="H248" s="1">
        <v>9.7000000000000003E-2</v>
      </c>
      <c r="I248" s="1">
        <v>8.1000000000000003E-2</v>
      </c>
      <c r="J248">
        <v>50</v>
      </c>
      <c r="K248">
        <v>6.78</v>
      </c>
      <c r="L248">
        <v>454</v>
      </c>
      <c r="M248">
        <v>704</v>
      </c>
      <c r="N248">
        <v>1158</v>
      </c>
      <c r="O248" s="1">
        <v>0.32900000000000001</v>
      </c>
      <c r="P248" s="1">
        <v>0.36799999999999999</v>
      </c>
      <c r="Q248" s="1">
        <v>0.30299999999999999</v>
      </c>
      <c r="R248" s="1">
        <v>0.20399999999999999</v>
      </c>
      <c r="S248" s="1">
        <v>0.45400000000000001</v>
      </c>
      <c r="T248" s="1">
        <v>0.34200000000000003</v>
      </c>
      <c r="U248">
        <v>1247</v>
      </c>
    </row>
    <row r="249" spans="1:21" x14ac:dyDescent="0.3">
      <c r="A249" t="s">
        <v>264</v>
      </c>
      <c r="B249" t="s">
        <v>146</v>
      </c>
      <c r="C249">
        <v>0.27100000000000002</v>
      </c>
      <c r="D249">
        <v>0.96</v>
      </c>
      <c r="E249" s="1">
        <v>0.22800000000000001</v>
      </c>
      <c r="F249" s="1">
        <v>0.379</v>
      </c>
      <c r="G249" s="1">
        <v>0.39300000000000002</v>
      </c>
      <c r="H249" s="1">
        <v>7.0000000000000007E-2</v>
      </c>
      <c r="I249" s="1">
        <v>0.22800000000000001</v>
      </c>
      <c r="J249">
        <v>35</v>
      </c>
      <c r="K249">
        <v>5</v>
      </c>
      <c r="L249">
        <v>387</v>
      </c>
      <c r="M249">
        <v>705</v>
      </c>
      <c r="N249">
        <v>1092</v>
      </c>
      <c r="O249" s="1">
        <v>0.34899999999999998</v>
      </c>
      <c r="P249" s="1">
        <v>0.33600000000000002</v>
      </c>
      <c r="Q249" s="1">
        <v>0.315</v>
      </c>
      <c r="R249" s="1">
        <v>0.158</v>
      </c>
      <c r="S249" s="1">
        <v>0.53400000000000003</v>
      </c>
      <c r="T249" s="1">
        <v>0.308</v>
      </c>
      <c r="U249">
        <v>10430</v>
      </c>
    </row>
    <row r="250" spans="1:21" x14ac:dyDescent="0.3">
      <c r="A250" t="s">
        <v>174</v>
      </c>
      <c r="B250" t="s">
        <v>75</v>
      </c>
      <c r="C250">
        <v>0.26600000000000001</v>
      </c>
      <c r="D250">
        <v>0.96</v>
      </c>
      <c r="E250" s="1">
        <v>0.20599999999999999</v>
      </c>
      <c r="F250" s="1">
        <v>0.39</v>
      </c>
      <c r="G250" s="1">
        <v>0.40400000000000003</v>
      </c>
      <c r="H250" s="1">
        <v>9.1999999999999998E-2</v>
      </c>
      <c r="I250" s="1">
        <v>0.112</v>
      </c>
      <c r="J250">
        <v>82</v>
      </c>
      <c r="K250">
        <v>4.2300000000000004</v>
      </c>
      <c r="L250">
        <v>1155</v>
      </c>
      <c r="M250">
        <v>1881</v>
      </c>
      <c r="N250">
        <v>3036</v>
      </c>
      <c r="O250" s="1">
        <v>0.39500000000000002</v>
      </c>
      <c r="P250" s="1">
        <v>0.34200000000000003</v>
      </c>
      <c r="Q250" s="1">
        <v>0.26300000000000001</v>
      </c>
      <c r="R250" s="1">
        <v>0.17399999999999999</v>
      </c>
      <c r="S250" s="1">
        <v>0.439</v>
      </c>
      <c r="T250" s="1">
        <v>0.38700000000000001</v>
      </c>
      <c r="U250">
        <v>6797</v>
      </c>
    </row>
    <row r="251" spans="1:21" x14ac:dyDescent="0.3">
      <c r="A251" t="s">
        <v>61</v>
      </c>
      <c r="B251" t="s">
        <v>62</v>
      </c>
      <c r="C251">
        <v>0.28000000000000003</v>
      </c>
      <c r="D251">
        <v>0.96</v>
      </c>
      <c r="E251" s="1">
        <v>0.20699999999999999</v>
      </c>
      <c r="F251" s="1">
        <v>0.38800000000000001</v>
      </c>
      <c r="G251" s="1">
        <v>0.40400000000000003</v>
      </c>
      <c r="H251" s="1">
        <v>6.6000000000000003E-2</v>
      </c>
      <c r="I251" s="1">
        <v>7.9000000000000001E-2</v>
      </c>
      <c r="J251">
        <v>16</v>
      </c>
      <c r="K251">
        <v>1.98</v>
      </c>
      <c r="L251">
        <v>389</v>
      </c>
      <c r="M251">
        <v>770</v>
      </c>
      <c r="N251">
        <v>1159</v>
      </c>
      <c r="O251" s="1">
        <v>0.34399999999999997</v>
      </c>
      <c r="P251" s="1">
        <v>0.432</v>
      </c>
      <c r="Q251" s="1">
        <v>0.224</v>
      </c>
      <c r="R251" s="1">
        <v>0.13</v>
      </c>
      <c r="S251" s="1">
        <v>0.47399999999999998</v>
      </c>
      <c r="T251" s="1">
        <v>0.39600000000000002</v>
      </c>
      <c r="U251">
        <v>11801</v>
      </c>
    </row>
    <row r="252" spans="1:21" x14ac:dyDescent="0.3">
      <c r="A252" t="s">
        <v>194</v>
      </c>
      <c r="B252" t="s">
        <v>62</v>
      </c>
      <c r="C252">
        <v>0.29899999999999999</v>
      </c>
      <c r="D252">
        <v>0.96</v>
      </c>
      <c r="E252" s="1">
        <v>0.20599999999999999</v>
      </c>
      <c r="F252" s="1">
        <v>0.38900000000000001</v>
      </c>
      <c r="G252" s="1">
        <v>0.40600000000000003</v>
      </c>
      <c r="H252" s="1">
        <v>0.14099999999999999</v>
      </c>
      <c r="I252" s="1">
        <v>0.127</v>
      </c>
      <c r="J252">
        <v>41</v>
      </c>
      <c r="K252">
        <v>5.45</v>
      </c>
      <c r="L252">
        <v>386</v>
      </c>
      <c r="M252">
        <v>738</v>
      </c>
      <c r="N252">
        <v>1124</v>
      </c>
      <c r="O252" s="1">
        <v>0.47699999999999998</v>
      </c>
      <c r="P252" s="1">
        <v>0.307</v>
      </c>
      <c r="Q252" s="1">
        <v>0.216</v>
      </c>
      <c r="R252" s="1">
        <v>0.182</v>
      </c>
      <c r="S252" s="1">
        <v>0.44900000000000001</v>
      </c>
      <c r="T252" s="1">
        <v>0.36899999999999999</v>
      </c>
      <c r="U252">
        <v>12800</v>
      </c>
    </row>
    <row r="253" spans="1:21" x14ac:dyDescent="0.3">
      <c r="A253" t="s">
        <v>231</v>
      </c>
      <c r="B253" t="s">
        <v>34</v>
      </c>
      <c r="C253">
        <v>0.251</v>
      </c>
      <c r="D253">
        <v>0.96</v>
      </c>
      <c r="E253" s="1">
        <v>0.22900000000000001</v>
      </c>
      <c r="F253" s="1">
        <v>0.377</v>
      </c>
      <c r="G253" s="1">
        <v>0.39400000000000002</v>
      </c>
      <c r="H253" s="1">
        <v>8.6999999999999994E-2</v>
      </c>
      <c r="I253" s="1">
        <v>0.13</v>
      </c>
      <c r="J253">
        <v>35</v>
      </c>
      <c r="K253">
        <v>4.57</v>
      </c>
      <c r="L253">
        <v>380</v>
      </c>
      <c r="M253">
        <v>736</v>
      </c>
      <c r="N253">
        <v>1116</v>
      </c>
      <c r="O253" s="1">
        <v>0.34100000000000003</v>
      </c>
      <c r="P253" s="1">
        <v>0.35199999999999998</v>
      </c>
      <c r="Q253" s="1">
        <v>0.307</v>
      </c>
      <c r="R253" s="1">
        <v>0.193</v>
      </c>
      <c r="S253" s="1">
        <v>0.40899999999999997</v>
      </c>
      <c r="T253" s="1">
        <v>0.39800000000000002</v>
      </c>
      <c r="U253">
        <v>6941</v>
      </c>
    </row>
    <row r="254" spans="1:21" x14ac:dyDescent="0.3">
      <c r="A254" t="s">
        <v>383</v>
      </c>
      <c r="B254" t="s">
        <v>102</v>
      </c>
      <c r="C254">
        <v>0.35</v>
      </c>
      <c r="D254">
        <v>0.95</v>
      </c>
      <c r="E254" s="1">
        <v>0.251</v>
      </c>
      <c r="F254" s="1">
        <v>0.36499999999999999</v>
      </c>
      <c r="G254" s="1">
        <v>0.38400000000000001</v>
      </c>
      <c r="H254" s="1">
        <v>0.06</v>
      </c>
      <c r="I254" s="1">
        <v>0.17899999999999999</v>
      </c>
      <c r="J254">
        <v>23</v>
      </c>
      <c r="K254">
        <v>3.03</v>
      </c>
      <c r="L254">
        <v>380</v>
      </c>
      <c r="M254">
        <v>771</v>
      </c>
      <c r="N254">
        <v>1151</v>
      </c>
      <c r="O254" s="1">
        <v>0.371</v>
      </c>
      <c r="P254" s="1">
        <v>0.36199999999999999</v>
      </c>
      <c r="Q254" s="1">
        <v>0.26700000000000002</v>
      </c>
      <c r="R254" s="1">
        <v>0.13600000000000001</v>
      </c>
      <c r="S254" s="1">
        <v>0.42099999999999999</v>
      </c>
      <c r="T254" s="1">
        <v>0.443</v>
      </c>
      <c r="U254">
        <v>13071</v>
      </c>
    </row>
    <row r="255" spans="1:21" x14ac:dyDescent="0.3">
      <c r="A255" t="s">
        <v>120</v>
      </c>
      <c r="B255" t="s">
        <v>26</v>
      </c>
      <c r="C255">
        <v>0.23699999999999999</v>
      </c>
      <c r="D255">
        <v>0.95</v>
      </c>
      <c r="E255" s="1">
        <v>0.17499999999999999</v>
      </c>
      <c r="F255" s="1">
        <v>0.40200000000000002</v>
      </c>
      <c r="G255" s="1">
        <v>0.42299999999999999</v>
      </c>
      <c r="H255" s="1">
        <v>0.115</v>
      </c>
      <c r="I255" s="1">
        <v>0.14599999999999999</v>
      </c>
      <c r="J255">
        <v>59</v>
      </c>
      <c r="K255">
        <v>3.77</v>
      </c>
      <c r="L255">
        <v>694</v>
      </c>
      <c r="M255">
        <v>1586</v>
      </c>
      <c r="N255">
        <v>2280</v>
      </c>
      <c r="O255" s="1">
        <v>0.41</v>
      </c>
      <c r="P255" s="1">
        <v>0.29599999999999999</v>
      </c>
      <c r="Q255" s="1">
        <v>0.29399999999999998</v>
      </c>
      <c r="R255" s="1">
        <v>0.17199999999999999</v>
      </c>
      <c r="S255" s="1">
        <v>0.40699999999999997</v>
      </c>
      <c r="T255" s="1">
        <v>0.42099999999999999</v>
      </c>
      <c r="U255">
        <v>20099</v>
      </c>
    </row>
    <row r="256" spans="1:21" x14ac:dyDescent="0.3">
      <c r="A256" t="s">
        <v>347</v>
      </c>
      <c r="B256" t="s">
        <v>48</v>
      </c>
      <c r="C256">
        <v>0.34100000000000003</v>
      </c>
      <c r="D256">
        <v>0.95</v>
      </c>
      <c r="E256" s="1">
        <v>0.252</v>
      </c>
      <c r="F256" s="1">
        <v>0.36399999999999999</v>
      </c>
      <c r="G256" s="1">
        <v>0.38500000000000001</v>
      </c>
      <c r="H256" s="1">
        <v>0.127</v>
      </c>
      <c r="I256" s="1">
        <v>0.182</v>
      </c>
      <c r="J256">
        <v>30</v>
      </c>
      <c r="K256">
        <v>5.26</v>
      </c>
      <c r="L256">
        <v>322</v>
      </c>
      <c r="M256">
        <v>613</v>
      </c>
      <c r="N256">
        <v>935</v>
      </c>
      <c r="O256" s="1">
        <v>0.497</v>
      </c>
      <c r="P256" s="1">
        <v>0.26200000000000001</v>
      </c>
      <c r="Q256" s="1">
        <v>0.24099999999999999</v>
      </c>
      <c r="R256" s="1">
        <v>0.214</v>
      </c>
      <c r="S256" s="1">
        <v>0.41399999999999998</v>
      </c>
      <c r="T256" s="1">
        <v>0.372</v>
      </c>
      <c r="U256">
        <v>12804</v>
      </c>
    </row>
    <row r="257" spans="1:21" x14ac:dyDescent="0.3">
      <c r="A257" t="s">
        <v>244</v>
      </c>
      <c r="B257" t="s">
        <v>50</v>
      </c>
      <c r="C257">
        <v>0.28299999999999997</v>
      </c>
      <c r="D257">
        <v>0.94</v>
      </c>
      <c r="E257" s="1">
        <v>0.23300000000000001</v>
      </c>
      <c r="F257" s="1">
        <v>0.372</v>
      </c>
      <c r="G257" s="1">
        <v>0.39500000000000002</v>
      </c>
      <c r="H257" s="1">
        <v>0.11799999999999999</v>
      </c>
      <c r="I257" s="1">
        <v>0.216</v>
      </c>
      <c r="J257">
        <v>28</v>
      </c>
      <c r="K257">
        <v>4.6100000000000003</v>
      </c>
      <c r="L257">
        <v>360</v>
      </c>
      <c r="M257">
        <v>612</v>
      </c>
      <c r="N257">
        <v>972</v>
      </c>
      <c r="O257" s="1">
        <v>0.38900000000000001</v>
      </c>
      <c r="P257" s="1">
        <v>0.32100000000000001</v>
      </c>
      <c r="Q257" s="1">
        <v>0.28999999999999998</v>
      </c>
      <c r="R257" s="1">
        <v>0.16</v>
      </c>
      <c r="S257" s="1">
        <v>0.38200000000000001</v>
      </c>
      <c r="T257" s="1">
        <v>0.45800000000000002</v>
      </c>
      <c r="U257">
        <v>6785</v>
      </c>
    </row>
    <row r="258" spans="1:21" x14ac:dyDescent="0.3">
      <c r="A258" t="s">
        <v>302</v>
      </c>
      <c r="B258" t="s">
        <v>159</v>
      </c>
      <c r="C258">
        <v>0.34699999999999998</v>
      </c>
      <c r="D258">
        <v>0.94</v>
      </c>
      <c r="E258" s="1">
        <v>0.25800000000000001</v>
      </c>
      <c r="F258" s="1">
        <v>0.36</v>
      </c>
      <c r="G258" s="1">
        <v>0.38200000000000001</v>
      </c>
      <c r="H258" s="1">
        <v>0.13200000000000001</v>
      </c>
      <c r="I258" s="1">
        <v>0.13200000000000001</v>
      </c>
      <c r="J258">
        <v>30</v>
      </c>
      <c r="K258">
        <v>5.03</v>
      </c>
      <c r="L258">
        <v>296</v>
      </c>
      <c r="M258">
        <v>622</v>
      </c>
      <c r="N258">
        <v>918</v>
      </c>
      <c r="O258" s="1">
        <v>0.39100000000000001</v>
      </c>
      <c r="P258" s="1">
        <v>0.34599999999999997</v>
      </c>
      <c r="Q258" s="1">
        <v>0.26300000000000001</v>
      </c>
      <c r="R258" s="1">
        <v>9.5000000000000001E-2</v>
      </c>
      <c r="S258" s="1">
        <v>0.497</v>
      </c>
      <c r="T258" s="1">
        <v>0.40799999999999997</v>
      </c>
      <c r="U258">
        <v>17735</v>
      </c>
    </row>
    <row r="259" spans="1:21" x14ac:dyDescent="0.3">
      <c r="A259" t="s">
        <v>199</v>
      </c>
      <c r="B259" t="s">
        <v>40</v>
      </c>
      <c r="C259">
        <v>0.25900000000000001</v>
      </c>
      <c r="D259">
        <v>0.94</v>
      </c>
      <c r="E259" s="1">
        <v>0.21299999999999999</v>
      </c>
      <c r="F259" s="1">
        <v>0.38100000000000001</v>
      </c>
      <c r="G259" s="1">
        <v>0.40600000000000003</v>
      </c>
      <c r="H259" s="1">
        <v>0.113</v>
      </c>
      <c r="I259" s="1">
        <v>0.188</v>
      </c>
      <c r="J259">
        <v>121</v>
      </c>
      <c r="K259">
        <v>7.62</v>
      </c>
      <c r="L259">
        <v>761</v>
      </c>
      <c r="M259">
        <v>1486</v>
      </c>
      <c r="N259">
        <v>2247</v>
      </c>
      <c r="O259" s="1">
        <v>0.47499999999999998</v>
      </c>
      <c r="P259" s="1">
        <v>0.30599999999999999</v>
      </c>
      <c r="Q259" s="1">
        <v>0.22</v>
      </c>
      <c r="R259" s="1">
        <v>0.17899999999999999</v>
      </c>
      <c r="S259" s="1">
        <v>0.40899999999999997</v>
      </c>
      <c r="T259" s="1">
        <v>0.41199999999999998</v>
      </c>
      <c r="U259">
        <v>17149</v>
      </c>
    </row>
    <row r="260" spans="1:21" x14ac:dyDescent="0.3">
      <c r="A260" t="s">
        <v>371</v>
      </c>
      <c r="B260" t="s">
        <v>127</v>
      </c>
      <c r="C260">
        <v>0.29899999999999999</v>
      </c>
      <c r="D260">
        <v>0.94</v>
      </c>
      <c r="E260" s="1">
        <v>0.23499999999999999</v>
      </c>
      <c r="F260" s="1">
        <v>0.37</v>
      </c>
      <c r="G260" s="1">
        <v>0.39500000000000002</v>
      </c>
      <c r="H260" s="1">
        <v>4.8000000000000001E-2</v>
      </c>
      <c r="I260" s="1">
        <v>0.16</v>
      </c>
      <c r="J260">
        <v>76</v>
      </c>
      <c r="K260">
        <v>5.03</v>
      </c>
      <c r="L260">
        <v>831</v>
      </c>
      <c r="M260">
        <v>1444</v>
      </c>
      <c r="N260">
        <v>2275</v>
      </c>
      <c r="O260" s="1">
        <v>0.33700000000000002</v>
      </c>
      <c r="P260" s="1">
        <v>0.36599999999999999</v>
      </c>
      <c r="Q260" s="1">
        <v>0.29699999999999999</v>
      </c>
      <c r="R260" s="1">
        <v>0.123</v>
      </c>
      <c r="S260" s="1">
        <v>0.46</v>
      </c>
      <c r="T260" s="1">
        <v>0.41599999999999998</v>
      </c>
      <c r="U260">
        <v>15200</v>
      </c>
    </row>
    <row r="261" spans="1:21" x14ac:dyDescent="0.3">
      <c r="A261" t="s">
        <v>35</v>
      </c>
      <c r="B261" t="s">
        <v>36</v>
      </c>
      <c r="C261">
        <v>0.30099999999999999</v>
      </c>
      <c r="D261">
        <v>0.93</v>
      </c>
      <c r="E261" s="1">
        <v>0.187</v>
      </c>
      <c r="F261" s="1">
        <v>0.39300000000000002</v>
      </c>
      <c r="G261" s="1">
        <v>0.42099999999999999</v>
      </c>
      <c r="H261" s="1">
        <v>0.111</v>
      </c>
      <c r="I261" s="1">
        <v>0.111</v>
      </c>
      <c r="J261">
        <v>13</v>
      </c>
      <c r="K261">
        <v>2.21</v>
      </c>
      <c r="L261">
        <v>270</v>
      </c>
      <c r="M261">
        <v>540</v>
      </c>
      <c r="N261">
        <v>810</v>
      </c>
      <c r="O261" s="1">
        <v>0.35199999999999998</v>
      </c>
      <c r="P261" s="1">
        <v>0.38900000000000001</v>
      </c>
      <c r="Q261" s="1">
        <v>0.25900000000000001</v>
      </c>
      <c r="R261" s="1">
        <v>0.20399999999999999</v>
      </c>
      <c r="S261" s="1">
        <v>0.41699999999999998</v>
      </c>
      <c r="T261" s="1">
        <v>0.38</v>
      </c>
      <c r="U261">
        <v>12910</v>
      </c>
    </row>
    <row r="262" spans="1:21" x14ac:dyDescent="0.3">
      <c r="A262" t="s">
        <v>251</v>
      </c>
      <c r="B262" t="s">
        <v>48</v>
      </c>
      <c r="C262">
        <v>0.28699999999999998</v>
      </c>
      <c r="D262">
        <v>0.93</v>
      </c>
      <c r="E262" s="1">
        <v>0.22</v>
      </c>
      <c r="F262" s="1">
        <v>0.376</v>
      </c>
      <c r="G262" s="1">
        <v>0.40400000000000003</v>
      </c>
      <c r="H262" s="1">
        <v>0.122</v>
      </c>
      <c r="I262" s="1">
        <v>0.153</v>
      </c>
      <c r="J262">
        <v>110</v>
      </c>
      <c r="K262">
        <v>4.6500000000000004</v>
      </c>
      <c r="L262">
        <v>1369</v>
      </c>
      <c r="M262">
        <v>2318</v>
      </c>
      <c r="N262">
        <v>3687</v>
      </c>
      <c r="O262" s="1">
        <v>0.42</v>
      </c>
      <c r="P262" s="1">
        <v>0.34599999999999997</v>
      </c>
      <c r="Q262" s="1">
        <v>0.23300000000000001</v>
      </c>
      <c r="R262" s="1">
        <v>0.17199999999999999</v>
      </c>
      <c r="S262" s="1">
        <v>0.41499999999999998</v>
      </c>
      <c r="T262" s="1">
        <v>0.41299999999999998</v>
      </c>
      <c r="U262">
        <v>12703</v>
      </c>
    </row>
    <row r="263" spans="1:21" x14ac:dyDescent="0.3">
      <c r="A263" t="s">
        <v>374</v>
      </c>
      <c r="B263" t="s">
        <v>43</v>
      </c>
      <c r="C263">
        <v>0.34699999999999998</v>
      </c>
      <c r="D263">
        <v>0.93</v>
      </c>
      <c r="E263" s="1">
        <v>0.26</v>
      </c>
      <c r="F263" s="1">
        <v>0.35699999999999998</v>
      </c>
      <c r="G263" s="1">
        <v>0.38300000000000001</v>
      </c>
      <c r="H263" s="1">
        <v>0.186</v>
      </c>
      <c r="I263" s="1">
        <v>0.13600000000000001</v>
      </c>
      <c r="J263">
        <v>21</v>
      </c>
      <c r="K263">
        <v>3.68</v>
      </c>
      <c r="L263">
        <v>314</v>
      </c>
      <c r="M263">
        <v>594</v>
      </c>
      <c r="N263">
        <v>908</v>
      </c>
      <c r="O263" s="1">
        <v>0.42399999999999999</v>
      </c>
      <c r="P263" s="1">
        <v>0.28499999999999998</v>
      </c>
      <c r="Q263" s="1">
        <v>0.29099999999999998</v>
      </c>
      <c r="R263" s="1">
        <v>0.19600000000000001</v>
      </c>
      <c r="S263" s="1">
        <v>0.51900000000000002</v>
      </c>
      <c r="T263" s="1">
        <v>0.28499999999999998</v>
      </c>
      <c r="U263">
        <v>6033</v>
      </c>
    </row>
    <row r="264" spans="1:21" x14ac:dyDescent="0.3">
      <c r="A264" t="s">
        <v>335</v>
      </c>
      <c r="B264" t="s">
        <v>30</v>
      </c>
      <c r="C264">
        <v>0.30299999999999999</v>
      </c>
      <c r="D264">
        <v>0.92</v>
      </c>
      <c r="E264" s="1">
        <v>0.22800000000000001</v>
      </c>
      <c r="F264" s="1">
        <v>0.371</v>
      </c>
      <c r="G264" s="1">
        <v>0.40100000000000002</v>
      </c>
      <c r="H264" s="1">
        <v>0.108</v>
      </c>
      <c r="I264" s="1">
        <v>0.14499999999999999</v>
      </c>
      <c r="J264">
        <v>87</v>
      </c>
      <c r="K264">
        <v>5.38</v>
      </c>
      <c r="L264">
        <v>811</v>
      </c>
      <c r="M264">
        <v>1516</v>
      </c>
      <c r="N264">
        <v>2327</v>
      </c>
      <c r="O264" s="1">
        <v>0.40899999999999997</v>
      </c>
      <c r="P264" s="1">
        <v>0.35799999999999998</v>
      </c>
      <c r="Q264" s="1">
        <v>0.23300000000000001</v>
      </c>
      <c r="R264" s="1">
        <v>0.184</v>
      </c>
      <c r="S264" s="1">
        <v>0.48699999999999999</v>
      </c>
      <c r="T264" s="1">
        <v>0.32800000000000001</v>
      </c>
      <c r="U264">
        <v>16977</v>
      </c>
    </row>
    <row r="265" spans="1:21" x14ac:dyDescent="0.3">
      <c r="A265" t="s">
        <v>343</v>
      </c>
      <c r="B265" t="s">
        <v>38</v>
      </c>
      <c r="C265">
        <v>0.308</v>
      </c>
      <c r="D265">
        <v>0.92</v>
      </c>
      <c r="E265" s="1">
        <v>0.20399999999999999</v>
      </c>
      <c r="F265" s="1">
        <v>0.38100000000000001</v>
      </c>
      <c r="G265" s="1">
        <v>0.41499999999999998</v>
      </c>
      <c r="H265" s="1">
        <v>9.7000000000000003E-2</v>
      </c>
      <c r="I265" s="1">
        <v>0.13100000000000001</v>
      </c>
      <c r="J265">
        <v>145</v>
      </c>
      <c r="K265">
        <v>7.49</v>
      </c>
      <c r="L265">
        <v>977</v>
      </c>
      <c r="M265">
        <v>1983</v>
      </c>
      <c r="N265">
        <v>2960</v>
      </c>
      <c r="O265" s="1">
        <v>0.42599999999999999</v>
      </c>
      <c r="P265" s="1">
        <v>0.35099999999999998</v>
      </c>
      <c r="Q265" s="1">
        <v>0.223</v>
      </c>
      <c r="R265" s="1">
        <v>0.20100000000000001</v>
      </c>
      <c r="S265" s="1">
        <v>0.45700000000000002</v>
      </c>
      <c r="T265" s="1">
        <v>0.34200000000000003</v>
      </c>
      <c r="U265">
        <v>2717</v>
      </c>
    </row>
    <row r="266" spans="1:21" x14ac:dyDescent="0.3">
      <c r="A266" t="s">
        <v>322</v>
      </c>
      <c r="B266" t="s">
        <v>30</v>
      </c>
      <c r="C266">
        <v>0.29799999999999999</v>
      </c>
      <c r="D266">
        <v>0.92</v>
      </c>
      <c r="E266" s="1">
        <v>0.24199999999999999</v>
      </c>
      <c r="F266" s="1">
        <v>0.36299999999999999</v>
      </c>
      <c r="G266" s="1">
        <v>0.39500000000000002</v>
      </c>
      <c r="H266" s="1">
        <v>7.2999999999999995E-2</v>
      </c>
      <c r="I266" s="1">
        <v>0.20200000000000001</v>
      </c>
      <c r="J266">
        <v>62</v>
      </c>
      <c r="K266">
        <v>4.66</v>
      </c>
      <c r="L266">
        <v>774</v>
      </c>
      <c r="M266">
        <v>1324</v>
      </c>
      <c r="N266">
        <v>2098</v>
      </c>
      <c r="O266" s="1">
        <v>0.38300000000000001</v>
      </c>
      <c r="P266" s="1">
        <v>0.33</v>
      </c>
      <c r="Q266" s="1">
        <v>0.28699999999999998</v>
      </c>
      <c r="R266" s="1">
        <v>0.16400000000000001</v>
      </c>
      <c r="S266" s="1">
        <v>0.435</v>
      </c>
      <c r="T266" s="1">
        <v>0.40100000000000002</v>
      </c>
      <c r="U266">
        <v>6345</v>
      </c>
    </row>
    <row r="267" spans="1:21" x14ac:dyDescent="0.3">
      <c r="A267" t="s">
        <v>329</v>
      </c>
      <c r="B267" t="s">
        <v>98</v>
      </c>
      <c r="C267">
        <v>0.26</v>
      </c>
      <c r="D267">
        <v>0.91</v>
      </c>
      <c r="E267" s="1">
        <v>0.16800000000000001</v>
      </c>
      <c r="F267" s="1">
        <v>0.39700000000000002</v>
      </c>
      <c r="G267" s="1">
        <v>0.435</v>
      </c>
      <c r="H267" s="1">
        <v>0.123</v>
      </c>
      <c r="I267" s="1">
        <v>0.20200000000000001</v>
      </c>
      <c r="J267">
        <v>64</v>
      </c>
      <c r="K267">
        <v>6.8</v>
      </c>
      <c r="L267">
        <v>572</v>
      </c>
      <c r="M267">
        <v>940</v>
      </c>
      <c r="N267">
        <v>1512</v>
      </c>
      <c r="O267" s="1">
        <v>0.42599999999999999</v>
      </c>
      <c r="P267" s="1">
        <v>0.32500000000000001</v>
      </c>
      <c r="Q267" s="1">
        <v>0.249</v>
      </c>
      <c r="R267" s="1">
        <v>0.158</v>
      </c>
      <c r="S267" s="1">
        <v>0.45300000000000001</v>
      </c>
      <c r="T267" s="1">
        <v>0.38900000000000001</v>
      </c>
      <c r="U267">
        <v>17611</v>
      </c>
    </row>
    <row r="268" spans="1:21" x14ac:dyDescent="0.3">
      <c r="A268" t="s">
        <v>258</v>
      </c>
      <c r="B268" t="s">
        <v>75</v>
      </c>
      <c r="C268">
        <v>0.26500000000000001</v>
      </c>
      <c r="D268">
        <v>0.91</v>
      </c>
      <c r="E268" s="1">
        <v>0.23100000000000001</v>
      </c>
      <c r="F268" s="1">
        <v>0.36699999999999999</v>
      </c>
      <c r="G268" s="1">
        <v>0.40200000000000002</v>
      </c>
      <c r="H268" s="1">
        <v>0.125</v>
      </c>
      <c r="I268" s="1">
        <v>0.16900000000000001</v>
      </c>
      <c r="J268">
        <v>79</v>
      </c>
      <c r="K268">
        <v>6.08</v>
      </c>
      <c r="L268">
        <v>661</v>
      </c>
      <c r="M268">
        <v>1227</v>
      </c>
      <c r="N268">
        <v>1888</v>
      </c>
      <c r="O268" s="1">
        <v>0.46100000000000002</v>
      </c>
      <c r="P268" s="1">
        <v>0.34</v>
      </c>
      <c r="Q268" s="1">
        <v>0.19900000000000001</v>
      </c>
      <c r="R268" s="1">
        <v>0.184</v>
      </c>
      <c r="S268" s="1">
        <v>0.41199999999999998</v>
      </c>
      <c r="T268" s="1">
        <v>0.40300000000000002</v>
      </c>
      <c r="U268">
        <v>10811</v>
      </c>
    </row>
    <row r="269" spans="1:21" x14ac:dyDescent="0.3">
      <c r="A269" t="s">
        <v>255</v>
      </c>
      <c r="B269" t="s">
        <v>48</v>
      </c>
      <c r="C269">
        <v>0.27600000000000002</v>
      </c>
      <c r="D269">
        <v>0.91</v>
      </c>
      <c r="E269" s="1">
        <v>0.191</v>
      </c>
      <c r="F269" s="1">
        <v>0.38500000000000001</v>
      </c>
      <c r="G269" s="1">
        <v>0.42299999999999999</v>
      </c>
      <c r="H269" s="1">
        <v>0.154</v>
      </c>
      <c r="I269" s="1">
        <v>0.112</v>
      </c>
      <c r="J269">
        <v>82</v>
      </c>
      <c r="K269">
        <v>4.93</v>
      </c>
      <c r="L269">
        <v>983</v>
      </c>
      <c r="M269">
        <v>1522</v>
      </c>
      <c r="N269">
        <v>2505</v>
      </c>
      <c r="O269" s="1">
        <v>0.47799999999999998</v>
      </c>
      <c r="P269" s="1">
        <v>0.32700000000000001</v>
      </c>
      <c r="Q269" s="1">
        <v>0.19500000000000001</v>
      </c>
      <c r="R269" s="1">
        <v>0.182</v>
      </c>
      <c r="S269" s="1">
        <v>0.42299999999999999</v>
      </c>
      <c r="T269" s="1">
        <v>0.39500000000000002</v>
      </c>
      <c r="U269">
        <v>8044</v>
      </c>
    </row>
    <row r="270" spans="1:21" x14ac:dyDescent="0.3">
      <c r="A270" t="s">
        <v>161</v>
      </c>
      <c r="B270" t="s">
        <v>46</v>
      </c>
      <c r="C270">
        <v>0.30399999999999999</v>
      </c>
      <c r="D270">
        <v>0.91</v>
      </c>
      <c r="E270" s="1">
        <v>0.19800000000000001</v>
      </c>
      <c r="F270" s="1">
        <v>0.38100000000000001</v>
      </c>
      <c r="G270" s="1">
        <v>0.42099999999999999</v>
      </c>
      <c r="H270" s="1">
        <v>3.5000000000000003E-2</v>
      </c>
      <c r="I270" s="1">
        <v>0.14099999999999999</v>
      </c>
      <c r="J270">
        <v>45</v>
      </c>
      <c r="K270">
        <v>5.63</v>
      </c>
      <c r="L270">
        <v>425</v>
      </c>
      <c r="M270">
        <v>815</v>
      </c>
      <c r="N270">
        <v>1240</v>
      </c>
      <c r="O270" s="1">
        <v>0.33500000000000002</v>
      </c>
      <c r="P270" s="1">
        <v>0.374</v>
      </c>
      <c r="Q270" s="1">
        <v>0.29099999999999998</v>
      </c>
      <c r="R270" s="1">
        <v>0.14799999999999999</v>
      </c>
      <c r="S270" s="1">
        <v>0.44800000000000001</v>
      </c>
      <c r="T270" s="1">
        <v>0.40400000000000003</v>
      </c>
      <c r="U270">
        <v>14542</v>
      </c>
    </row>
    <row r="271" spans="1:21" x14ac:dyDescent="0.3">
      <c r="A271" t="s">
        <v>357</v>
      </c>
      <c r="B271" t="s">
        <v>193</v>
      </c>
      <c r="C271">
        <v>0.24099999999999999</v>
      </c>
      <c r="D271">
        <v>0.91</v>
      </c>
      <c r="E271" s="1">
        <v>0.20300000000000001</v>
      </c>
      <c r="F271" s="1">
        <v>0.379</v>
      </c>
      <c r="G271" s="1">
        <v>0.41799999999999998</v>
      </c>
      <c r="H271" s="1">
        <v>0.122</v>
      </c>
      <c r="I271" s="1">
        <v>0.23</v>
      </c>
      <c r="J271">
        <v>28</v>
      </c>
      <c r="K271">
        <v>4.34</v>
      </c>
      <c r="L271">
        <v>339</v>
      </c>
      <c r="M271">
        <v>632</v>
      </c>
      <c r="N271">
        <v>971</v>
      </c>
      <c r="O271" s="1">
        <v>0.39700000000000002</v>
      </c>
      <c r="P271" s="1">
        <v>0.32400000000000001</v>
      </c>
      <c r="Q271" s="1">
        <v>0.27900000000000003</v>
      </c>
      <c r="R271" s="1">
        <v>0.106</v>
      </c>
      <c r="S271" s="1">
        <v>0.55900000000000005</v>
      </c>
      <c r="T271" s="1">
        <v>0.33500000000000002</v>
      </c>
      <c r="U271">
        <v>16587</v>
      </c>
    </row>
    <row r="272" spans="1:21" x14ac:dyDescent="0.3">
      <c r="A272" t="s">
        <v>175</v>
      </c>
      <c r="B272" t="s">
        <v>40</v>
      </c>
      <c r="C272">
        <v>0.313</v>
      </c>
      <c r="D272">
        <v>0.9</v>
      </c>
      <c r="E272" s="1">
        <v>0.191</v>
      </c>
      <c r="F272" s="1">
        <v>0.38400000000000001</v>
      </c>
      <c r="G272" s="1">
        <v>0.42599999999999999</v>
      </c>
      <c r="H272" s="1">
        <v>0.14099999999999999</v>
      </c>
      <c r="I272" s="1">
        <v>0.14099999999999999</v>
      </c>
      <c r="J272">
        <v>128</v>
      </c>
      <c r="K272">
        <v>7.65</v>
      </c>
      <c r="L272">
        <v>948</v>
      </c>
      <c r="M272">
        <v>1717</v>
      </c>
      <c r="N272">
        <v>2665</v>
      </c>
      <c r="O272" s="1">
        <v>0.39</v>
      </c>
      <c r="P272" s="1">
        <v>0.33100000000000002</v>
      </c>
      <c r="Q272" s="1">
        <v>0.27900000000000003</v>
      </c>
      <c r="R272" s="1">
        <v>0.17199999999999999</v>
      </c>
      <c r="S272" s="1">
        <v>0.44900000000000001</v>
      </c>
      <c r="T272" s="1">
        <v>0.379</v>
      </c>
      <c r="U272">
        <v>11828</v>
      </c>
    </row>
    <row r="273" spans="1:21" x14ac:dyDescent="0.3">
      <c r="A273" t="s">
        <v>283</v>
      </c>
      <c r="B273" t="s">
        <v>26</v>
      </c>
      <c r="C273">
        <v>0.311</v>
      </c>
      <c r="D273">
        <v>0.9</v>
      </c>
      <c r="E273" s="1">
        <v>0.22500000000000001</v>
      </c>
      <c r="F273" s="1">
        <v>0.36599999999999999</v>
      </c>
      <c r="G273" s="1">
        <v>0.40799999999999997</v>
      </c>
      <c r="H273" s="1">
        <v>0.10299999999999999</v>
      </c>
      <c r="I273" s="1">
        <v>0.16200000000000001</v>
      </c>
      <c r="J273">
        <v>56</v>
      </c>
      <c r="K273">
        <v>4.4000000000000004</v>
      </c>
      <c r="L273">
        <v>542</v>
      </c>
      <c r="M273">
        <v>1247</v>
      </c>
      <c r="N273">
        <v>1789</v>
      </c>
      <c r="O273" s="1">
        <v>0.41799999999999998</v>
      </c>
      <c r="P273" s="1">
        <v>0.34699999999999998</v>
      </c>
      <c r="Q273" s="1">
        <v>0.23499999999999999</v>
      </c>
      <c r="R273" s="1">
        <v>0.17399999999999999</v>
      </c>
      <c r="S273" s="1">
        <v>0.38500000000000001</v>
      </c>
      <c r="T273" s="1">
        <v>0.441</v>
      </c>
      <c r="U273">
        <v>13799</v>
      </c>
    </row>
    <row r="274" spans="1:21" x14ac:dyDescent="0.3">
      <c r="A274" t="s">
        <v>295</v>
      </c>
      <c r="B274" t="s">
        <v>34</v>
      </c>
      <c r="C274">
        <v>0.28299999999999997</v>
      </c>
      <c r="D274">
        <v>0.9</v>
      </c>
      <c r="E274" s="1">
        <v>0.23200000000000001</v>
      </c>
      <c r="F274" s="1">
        <v>0.36299999999999999</v>
      </c>
      <c r="G274" s="1">
        <v>0.40500000000000003</v>
      </c>
      <c r="H274" s="1">
        <v>0.104</v>
      </c>
      <c r="I274" s="1">
        <v>9.0999999999999998E-2</v>
      </c>
      <c r="J274">
        <v>39</v>
      </c>
      <c r="K274">
        <v>5.88</v>
      </c>
      <c r="L274">
        <v>403</v>
      </c>
      <c r="M274">
        <v>645</v>
      </c>
      <c r="N274">
        <v>1048</v>
      </c>
      <c r="O274" s="1">
        <v>0.435</v>
      </c>
      <c r="P274" s="1">
        <v>0.34</v>
      </c>
      <c r="Q274" s="1">
        <v>0.22500000000000001</v>
      </c>
      <c r="R274" s="1">
        <v>0.16200000000000001</v>
      </c>
      <c r="S274" s="1">
        <v>0.41399999999999998</v>
      </c>
      <c r="T274" s="1">
        <v>0.42399999999999999</v>
      </c>
      <c r="U274">
        <v>16980</v>
      </c>
    </row>
    <row r="275" spans="1:21" x14ac:dyDescent="0.3">
      <c r="A275" t="s">
        <v>197</v>
      </c>
      <c r="B275" t="s">
        <v>66</v>
      </c>
      <c r="C275">
        <v>0.29199999999999998</v>
      </c>
      <c r="D275">
        <v>0.89</v>
      </c>
      <c r="E275" s="1">
        <v>0.23300000000000001</v>
      </c>
      <c r="F275" s="1">
        <v>0.36099999999999999</v>
      </c>
      <c r="G275" s="1">
        <v>0.40600000000000003</v>
      </c>
      <c r="H275" s="1">
        <v>5.2999999999999999E-2</v>
      </c>
      <c r="I275" s="1">
        <v>0.13500000000000001</v>
      </c>
      <c r="J275">
        <v>103</v>
      </c>
      <c r="K275">
        <v>6.35</v>
      </c>
      <c r="L275">
        <v>736</v>
      </c>
      <c r="M275">
        <v>1542</v>
      </c>
      <c r="N275">
        <v>2278</v>
      </c>
      <c r="O275" s="1">
        <v>0.40699999999999997</v>
      </c>
      <c r="P275" s="1">
        <v>0.35599999999999998</v>
      </c>
      <c r="Q275" s="1">
        <v>0.23699999999999999</v>
      </c>
      <c r="R275" s="1">
        <v>0.122</v>
      </c>
      <c r="S275" s="1">
        <v>0.48499999999999999</v>
      </c>
      <c r="T275" s="1">
        <v>0.39300000000000002</v>
      </c>
      <c r="U275">
        <v>5372</v>
      </c>
    </row>
    <row r="276" spans="1:21" x14ac:dyDescent="0.3">
      <c r="A276" t="s">
        <v>212</v>
      </c>
      <c r="B276" t="s">
        <v>28</v>
      </c>
      <c r="C276">
        <v>0.26700000000000002</v>
      </c>
      <c r="D276">
        <v>0.89</v>
      </c>
      <c r="E276" s="1">
        <v>0.18099999999999999</v>
      </c>
      <c r="F276" s="1">
        <v>0.38600000000000001</v>
      </c>
      <c r="G276" s="1">
        <v>0.434</v>
      </c>
      <c r="H276" s="1">
        <v>6.5000000000000002E-2</v>
      </c>
      <c r="I276" s="1">
        <v>0.13900000000000001</v>
      </c>
      <c r="J276">
        <v>59</v>
      </c>
      <c r="K276">
        <v>5.79</v>
      </c>
      <c r="L276">
        <v>560</v>
      </c>
      <c r="M276">
        <v>950</v>
      </c>
      <c r="N276">
        <v>1510</v>
      </c>
      <c r="O276" s="1">
        <v>0.496</v>
      </c>
      <c r="P276" s="1">
        <v>0.308</v>
      </c>
      <c r="Q276" s="1">
        <v>0.19600000000000001</v>
      </c>
      <c r="R276" s="1">
        <v>0.14399999999999999</v>
      </c>
      <c r="S276" s="1">
        <v>0.46800000000000003</v>
      </c>
      <c r="T276" s="1">
        <v>0.38800000000000001</v>
      </c>
      <c r="U276">
        <v>5401</v>
      </c>
    </row>
    <row r="277" spans="1:21" x14ac:dyDescent="0.3">
      <c r="A277" t="s">
        <v>351</v>
      </c>
      <c r="B277" t="s">
        <v>26</v>
      </c>
      <c r="C277">
        <v>0.26900000000000002</v>
      </c>
      <c r="D277">
        <v>0.89</v>
      </c>
      <c r="E277" s="1">
        <v>0.24099999999999999</v>
      </c>
      <c r="F277" s="1">
        <v>0.35699999999999998</v>
      </c>
      <c r="G277" s="1">
        <v>0.40200000000000002</v>
      </c>
      <c r="H277" s="1">
        <v>0.111</v>
      </c>
      <c r="I277" s="1">
        <v>0.111</v>
      </c>
      <c r="J277">
        <v>22</v>
      </c>
      <c r="K277">
        <v>3.88</v>
      </c>
      <c r="L277">
        <v>333</v>
      </c>
      <c r="M277">
        <v>573</v>
      </c>
      <c r="N277">
        <v>906</v>
      </c>
      <c r="O277" s="1">
        <v>0.38900000000000001</v>
      </c>
      <c r="P277" s="1">
        <v>0.34499999999999997</v>
      </c>
      <c r="Q277" s="1">
        <v>0.26500000000000001</v>
      </c>
      <c r="R277" s="1">
        <v>0.186</v>
      </c>
      <c r="S277" s="1">
        <v>0.41599999999999998</v>
      </c>
      <c r="T277" s="1">
        <v>0.39800000000000002</v>
      </c>
      <c r="U277">
        <v>17793</v>
      </c>
    </row>
    <row r="278" spans="1:21" x14ac:dyDescent="0.3">
      <c r="A278" t="s">
        <v>137</v>
      </c>
      <c r="B278" t="s">
        <v>83</v>
      </c>
      <c r="C278">
        <v>0.24</v>
      </c>
      <c r="D278">
        <v>0.88</v>
      </c>
      <c r="E278" s="1">
        <v>0.223</v>
      </c>
      <c r="F278" s="1">
        <v>0.36399999999999999</v>
      </c>
      <c r="G278" s="1">
        <v>0.41299999999999998</v>
      </c>
      <c r="H278" s="1">
        <v>8.5999999999999993E-2</v>
      </c>
      <c r="I278" s="1">
        <v>0.126</v>
      </c>
      <c r="J278">
        <v>105</v>
      </c>
      <c r="K278">
        <v>5.21</v>
      </c>
      <c r="L278">
        <v>1085</v>
      </c>
      <c r="M278">
        <v>1921</v>
      </c>
      <c r="N278">
        <v>3006</v>
      </c>
      <c r="O278" s="1">
        <v>0.42</v>
      </c>
      <c r="P278" s="1">
        <v>0.36699999999999999</v>
      </c>
      <c r="Q278" s="1">
        <v>0.21299999999999999</v>
      </c>
      <c r="R278" s="1">
        <v>0.15</v>
      </c>
      <c r="S278" s="1">
        <v>0.44800000000000001</v>
      </c>
      <c r="T278" s="1">
        <v>0.40200000000000002</v>
      </c>
      <c r="U278">
        <v>3254</v>
      </c>
    </row>
    <row r="279" spans="1:21" x14ac:dyDescent="0.3">
      <c r="A279" t="s">
        <v>186</v>
      </c>
      <c r="B279" t="s">
        <v>48</v>
      </c>
      <c r="C279">
        <v>0.25700000000000001</v>
      </c>
      <c r="D279">
        <v>0.88</v>
      </c>
      <c r="E279" s="1">
        <v>0.26400000000000001</v>
      </c>
      <c r="F279" s="1">
        <v>0.34499999999999997</v>
      </c>
      <c r="G279" s="1">
        <v>0.39200000000000002</v>
      </c>
      <c r="H279" s="1">
        <v>0.155</v>
      </c>
      <c r="I279" s="1">
        <v>0.17199999999999999</v>
      </c>
      <c r="J279">
        <v>25</v>
      </c>
      <c r="K279">
        <v>4.5</v>
      </c>
      <c r="L279">
        <v>305</v>
      </c>
      <c r="M279">
        <v>542</v>
      </c>
      <c r="N279">
        <v>847</v>
      </c>
      <c r="O279" s="1">
        <v>0.42</v>
      </c>
      <c r="P279" s="1">
        <v>0.32</v>
      </c>
      <c r="Q279" s="1">
        <v>0.26</v>
      </c>
      <c r="R279" s="1">
        <v>0.14699999999999999</v>
      </c>
      <c r="S279" s="1">
        <v>0.54</v>
      </c>
      <c r="T279" s="1">
        <v>0.313</v>
      </c>
      <c r="U279">
        <v>12673</v>
      </c>
    </row>
    <row r="280" spans="1:21" x14ac:dyDescent="0.3">
      <c r="A280" t="s">
        <v>185</v>
      </c>
      <c r="B280" t="s">
        <v>83</v>
      </c>
      <c r="C280">
        <v>0.28899999999999998</v>
      </c>
      <c r="D280">
        <v>0.86</v>
      </c>
      <c r="E280" s="1">
        <v>0.22600000000000001</v>
      </c>
      <c r="F280" s="1">
        <v>0.35799999999999998</v>
      </c>
      <c r="G280" s="1">
        <v>0.41599999999999998</v>
      </c>
      <c r="H280" s="1">
        <v>7.9000000000000001E-2</v>
      </c>
      <c r="I280" s="1">
        <v>0.126</v>
      </c>
      <c r="J280">
        <v>103</v>
      </c>
      <c r="K280">
        <v>4.46</v>
      </c>
      <c r="L280">
        <v>1071</v>
      </c>
      <c r="M280">
        <v>2173</v>
      </c>
      <c r="N280">
        <v>3244</v>
      </c>
      <c r="O280" s="1">
        <v>0.434</v>
      </c>
      <c r="P280" s="1">
        <v>0.33</v>
      </c>
      <c r="Q280" s="1">
        <v>0.23499999999999999</v>
      </c>
      <c r="R280" s="1">
        <v>0.14699999999999999</v>
      </c>
      <c r="S280" s="1">
        <v>0.41599999999999998</v>
      </c>
      <c r="T280" s="1">
        <v>0.438</v>
      </c>
      <c r="U280">
        <v>5524</v>
      </c>
    </row>
    <row r="281" spans="1:21" x14ac:dyDescent="0.3">
      <c r="A281" t="s">
        <v>235</v>
      </c>
      <c r="B281" t="s">
        <v>127</v>
      </c>
      <c r="C281">
        <v>0.28499999999999998</v>
      </c>
      <c r="D281">
        <v>0.86</v>
      </c>
      <c r="E281" s="1">
        <v>0.219</v>
      </c>
      <c r="F281" s="1">
        <v>0.36</v>
      </c>
      <c r="G281" s="1">
        <v>0.42</v>
      </c>
      <c r="H281" s="1">
        <v>8.6999999999999994E-2</v>
      </c>
      <c r="I281" s="1">
        <v>0.13</v>
      </c>
      <c r="J281">
        <v>84</v>
      </c>
      <c r="K281">
        <v>5.79</v>
      </c>
      <c r="L281">
        <v>785</v>
      </c>
      <c r="M281">
        <v>1376</v>
      </c>
      <c r="N281">
        <v>2161</v>
      </c>
      <c r="O281" s="1">
        <v>0.40200000000000002</v>
      </c>
      <c r="P281" s="1">
        <v>0.40400000000000003</v>
      </c>
      <c r="Q281" s="1">
        <v>0.19400000000000001</v>
      </c>
      <c r="R281" s="1">
        <v>0.15</v>
      </c>
      <c r="S281" s="1">
        <v>0.45900000000000002</v>
      </c>
      <c r="T281" s="1">
        <v>0.39100000000000001</v>
      </c>
      <c r="U281">
        <v>3542</v>
      </c>
    </row>
    <row r="282" spans="1:21" x14ac:dyDescent="0.3">
      <c r="A282" t="s">
        <v>267</v>
      </c>
      <c r="B282" t="s">
        <v>62</v>
      </c>
      <c r="C282">
        <v>0.28000000000000003</v>
      </c>
      <c r="D282">
        <v>0.84</v>
      </c>
      <c r="E282" s="1">
        <v>0.18</v>
      </c>
      <c r="F282" s="1">
        <v>0.376</v>
      </c>
      <c r="G282" s="1">
        <v>0.44500000000000001</v>
      </c>
      <c r="H282" s="1">
        <v>5.5E-2</v>
      </c>
      <c r="I282" s="1">
        <v>0.128</v>
      </c>
      <c r="J282">
        <v>60</v>
      </c>
      <c r="K282">
        <v>5.98</v>
      </c>
      <c r="L282">
        <v>592</v>
      </c>
      <c r="M282">
        <v>960</v>
      </c>
      <c r="N282">
        <v>1552</v>
      </c>
      <c r="O282" s="1">
        <v>0.308</v>
      </c>
      <c r="P282" s="1">
        <v>0.42399999999999999</v>
      </c>
      <c r="Q282" s="1">
        <v>0.26800000000000002</v>
      </c>
      <c r="R282" s="1">
        <v>0.16</v>
      </c>
      <c r="S282" s="1">
        <v>0.42399999999999999</v>
      </c>
      <c r="T282" s="1">
        <v>0.41599999999999998</v>
      </c>
      <c r="U282">
        <v>19867</v>
      </c>
    </row>
    <row r="283" spans="1:21" x14ac:dyDescent="0.3">
      <c r="A283" t="s">
        <v>129</v>
      </c>
      <c r="B283" t="s">
        <v>43</v>
      </c>
      <c r="C283">
        <v>0.27300000000000002</v>
      </c>
      <c r="D283">
        <v>0.84</v>
      </c>
      <c r="E283" s="1">
        <v>0.21299999999999999</v>
      </c>
      <c r="F283" s="1">
        <v>0.36</v>
      </c>
      <c r="G283" s="1">
        <v>0.42799999999999999</v>
      </c>
      <c r="H283" s="1">
        <v>0.14699999999999999</v>
      </c>
      <c r="I283" s="1">
        <v>0.13600000000000001</v>
      </c>
      <c r="J283">
        <v>83</v>
      </c>
      <c r="K283">
        <v>4.2300000000000004</v>
      </c>
      <c r="L283">
        <v>953</v>
      </c>
      <c r="M283">
        <v>1861</v>
      </c>
      <c r="N283">
        <v>2814</v>
      </c>
      <c r="O283" s="1">
        <v>0.41099999999999998</v>
      </c>
      <c r="P283" s="1">
        <v>0.315</v>
      </c>
      <c r="Q283" s="1">
        <v>0.27400000000000002</v>
      </c>
      <c r="R283" s="1">
        <v>0.20200000000000001</v>
      </c>
      <c r="S283" s="1">
        <v>0.47799999999999998</v>
      </c>
      <c r="T283" s="1">
        <v>0.32</v>
      </c>
      <c r="U283">
        <v>15474</v>
      </c>
    </row>
    <row r="284" spans="1:21" x14ac:dyDescent="0.3">
      <c r="A284" t="s">
        <v>346</v>
      </c>
      <c r="B284" t="s">
        <v>58</v>
      </c>
      <c r="C284">
        <v>0.377</v>
      </c>
      <c r="D284">
        <v>0.84</v>
      </c>
      <c r="E284" s="1">
        <v>0.19500000000000001</v>
      </c>
      <c r="F284" s="1">
        <v>0.36699999999999999</v>
      </c>
      <c r="G284" s="1">
        <v>0.438</v>
      </c>
      <c r="H284" s="1">
        <v>5.3999999999999999E-2</v>
      </c>
      <c r="I284" s="1">
        <v>0.26800000000000002</v>
      </c>
      <c r="J284">
        <v>11</v>
      </c>
      <c r="K284">
        <v>1.71</v>
      </c>
      <c r="L284">
        <v>370</v>
      </c>
      <c r="M284">
        <v>703</v>
      </c>
      <c r="N284">
        <v>1073</v>
      </c>
      <c r="O284" s="1">
        <v>0.434</v>
      </c>
      <c r="P284" s="1">
        <v>0.29499999999999998</v>
      </c>
      <c r="Q284" s="1">
        <v>0.27100000000000002</v>
      </c>
      <c r="R284" s="1">
        <v>0.16300000000000001</v>
      </c>
      <c r="S284" s="1">
        <v>0.35699999999999998</v>
      </c>
      <c r="T284" s="1">
        <v>0.48099999999999998</v>
      </c>
      <c r="U284">
        <v>14710</v>
      </c>
    </row>
    <row r="285" spans="1:21" x14ac:dyDescent="0.3">
      <c r="A285" t="s">
        <v>87</v>
      </c>
      <c r="B285" t="s">
        <v>83</v>
      </c>
      <c r="C285">
        <v>0.27200000000000002</v>
      </c>
      <c r="D285">
        <v>0.84</v>
      </c>
      <c r="E285" s="1">
        <v>0.18</v>
      </c>
      <c r="F285" s="1">
        <v>0.374</v>
      </c>
      <c r="G285" s="1">
        <v>0.44600000000000001</v>
      </c>
      <c r="H285" s="1">
        <v>9.7000000000000003E-2</v>
      </c>
      <c r="I285" s="1">
        <v>6.5000000000000002E-2</v>
      </c>
      <c r="J285">
        <v>22</v>
      </c>
      <c r="K285">
        <v>3.49</v>
      </c>
      <c r="L285">
        <v>406</v>
      </c>
      <c r="M285">
        <v>632</v>
      </c>
      <c r="N285">
        <v>1038</v>
      </c>
      <c r="O285" s="1">
        <v>0.371</v>
      </c>
      <c r="P285" s="1">
        <v>0.34300000000000003</v>
      </c>
      <c r="Q285" s="1">
        <v>0.28599999999999998</v>
      </c>
      <c r="R285" s="1">
        <v>0.193</v>
      </c>
      <c r="S285" s="1">
        <v>0.45</v>
      </c>
      <c r="T285" s="1">
        <v>0.35699999999999998</v>
      </c>
      <c r="U285">
        <v>14966</v>
      </c>
    </row>
    <row r="286" spans="1:21" x14ac:dyDescent="0.3">
      <c r="A286" t="s">
        <v>219</v>
      </c>
      <c r="B286" t="s">
        <v>40</v>
      </c>
      <c r="C286">
        <v>0.34599999999999997</v>
      </c>
      <c r="D286">
        <v>0.84</v>
      </c>
      <c r="E286" s="1">
        <v>0.221</v>
      </c>
      <c r="F286" s="1">
        <v>0.35499999999999998</v>
      </c>
      <c r="G286" s="1">
        <v>0.42399999999999999</v>
      </c>
      <c r="H286" s="1">
        <v>0.16400000000000001</v>
      </c>
      <c r="I286" s="1">
        <v>0.13700000000000001</v>
      </c>
      <c r="J286">
        <v>37</v>
      </c>
      <c r="K286">
        <v>4.83</v>
      </c>
      <c r="L286">
        <v>455</v>
      </c>
      <c r="M286">
        <v>865</v>
      </c>
      <c r="N286">
        <v>1320</v>
      </c>
      <c r="O286" s="1">
        <v>0.29099999999999998</v>
      </c>
      <c r="P286" s="1">
        <v>0.34899999999999998</v>
      </c>
      <c r="Q286" s="1">
        <v>0.36</v>
      </c>
      <c r="R286" s="1">
        <v>0.157</v>
      </c>
      <c r="S286" s="1">
        <v>0.39500000000000002</v>
      </c>
      <c r="T286" s="1">
        <v>0.44800000000000001</v>
      </c>
      <c r="U286">
        <v>15552</v>
      </c>
    </row>
    <row r="287" spans="1:21" x14ac:dyDescent="0.3">
      <c r="A287" t="s">
        <v>249</v>
      </c>
      <c r="B287" t="s">
        <v>102</v>
      </c>
      <c r="C287">
        <v>0.22500000000000001</v>
      </c>
      <c r="D287">
        <v>0.83</v>
      </c>
      <c r="E287" s="1">
        <v>0.21299999999999999</v>
      </c>
      <c r="F287" s="1">
        <v>0.35599999999999998</v>
      </c>
      <c r="G287" s="1">
        <v>0.43099999999999999</v>
      </c>
      <c r="H287" s="1">
        <v>6.9000000000000006E-2</v>
      </c>
      <c r="I287" s="1">
        <v>0.126</v>
      </c>
      <c r="J287">
        <v>35</v>
      </c>
      <c r="K287">
        <v>4</v>
      </c>
      <c r="L287">
        <v>518</v>
      </c>
      <c r="M287">
        <v>859</v>
      </c>
      <c r="N287">
        <v>1377</v>
      </c>
      <c r="O287" s="1">
        <v>0.441</v>
      </c>
      <c r="P287" s="1">
        <v>0.32200000000000001</v>
      </c>
      <c r="Q287" s="1">
        <v>0.23799999999999999</v>
      </c>
      <c r="R287" s="1">
        <v>0.183</v>
      </c>
      <c r="S287" s="1">
        <v>0.33700000000000002</v>
      </c>
      <c r="T287" s="1">
        <v>0.48</v>
      </c>
      <c r="U287">
        <v>17585</v>
      </c>
    </row>
    <row r="288" spans="1:21" x14ac:dyDescent="0.3">
      <c r="A288" t="s">
        <v>392</v>
      </c>
      <c r="B288" t="s">
        <v>62</v>
      </c>
      <c r="C288">
        <v>0.32500000000000001</v>
      </c>
      <c r="D288">
        <v>0.83</v>
      </c>
      <c r="E288" s="1">
        <v>0.22</v>
      </c>
      <c r="F288" s="1">
        <v>0.35299999999999998</v>
      </c>
      <c r="G288" s="1">
        <v>0.42699999999999999</v>
      </c>
      <c r="H288" s="1">
        <v>0.13800000000000001</v>
      </c>
      <c r="I288" s="1">
        <v>0.21099999999999999</v>
      </c>
      <c r="J288">
        <v>52</v>
      </c>
      <c r="K288">
        <v>5.78</v>
      </c>
      <c r="L288">
        <v>567</v>
      </c>
      <c r="M288">
        <v>919</v>
      </c>
      <c r="N288">
        <v>1486</v>
      </c>
      <c r="O288" s="1">
        <v>0.45400000000000001</v>
      </c>
      <c r="P288" s="1">
        <v>0.28499999999999998</v>
      </c>
      <c r="Q288" s="1">
        <v>0.26200000000000001</v>
      </c>
      <c r="R288" s="1">
        <v>0.154</v>
      </c>
      <c r="S288" s="1">
        <v>0.36899999999999999</v>
      </c>
      <c r="T288" s="1">
        <v>0.47699999999999998</v>
      </c>
      <c r="U288">
        <v>19911</v>
      </c>
    </row>
    <row r="289" spans="1:21" x14ac:dyDescent="0.3">
      <c r="A289" t="s">
        <v>203</v>
      </c>
      <c r="B289" t="s">
        <v>48</v>
      </c>
      <c r="C289">
        <v>0.28999999999999998</v>
      </c>
      <c r="D289">
        <v>0.82</v>
      </c>
      <c r="E289" s="1">
        <v>0.22</v>
      </c>
      <c r="F289" s="1">
        <v>0.35199999999999998</v>
      </c>
      <c r="G289" s="1">
        <v>0.42799999999999999</v>
      </c>
      <c r="H289" s="1">
        <v>0.11700000000000001</v>
      </c>
      <c r="I289" s="1">
        <v>0.11700000000000001</v>
      </c>
      <c r="J289">
        <v>53</v>
      </c>
      <c r="K289">
        <v>3.52</v>
      </c>
      <c r="L289">
        <v>824</v>
      </c>
      <c r="M289">
        <v>1466</v>
      </c>
      <c r="N289">
        <v>2290</v>
      </c>
      <c r="O289" s="1">
        <v>0.38500000000000001</v>
      </c>
      <c r="P289" s="1">
        <v>0.33900000000000002</v>
      </c>
      <c r="Q289" s="1">
        <v>0.27600000000000002</v>
      </c>
      <c r="R289" s="1">
        <v>0.156</v>
      </c>
      <c r="S289" s="1">
        <v>0.42599999999999999</v>
      </c>
      <c r="T289" s="1">
        <v>0.41799999999999998</v>
      </c>
      <c r="U289">
        <v>19309</v>
      </c>
    </row>
    <row r="290" spans="1:21" x14ac:dyDescent="0.3">
      <c r="A290" t="s">
        <v>288</v>
      </c>
      <c r="B290" t="s">
        <v>193</v>
      </c>
      <c r="C290">
        <v>0.252</v>
      </c>
      <c r="D290">
        <v>0.82</v>
      </c>
      <c r="E290" s="1">
        <v>0.185</v>
      </c>
      <c r="F290" s="1">
        <v>0.36699999999999999</v>
      </c>
      <c r="G290" s="1">
        <v>0.44800000000000001</v>
      </c>
      <c r="H290" s="1">
        <v>7.3999999999999996E-2</v>
      </c>
      <c r="I290" s="1">
        <v>0.16200000000000001</v>
      </c>
      <c r="J290">
        <v>47</v>
      </c>
      <c r="K290">
        <v>3.79</v>
      </c>
      <c r="L290">
        <v>600</v>
      </c>
      <c r="M290">
        <v>1150</v>
      </c>
      <c r="N290">
        <v>1750</v>
      </c>
      <c r="O290" s="1">
        <v>0.44600000000000001</v>
      </c>
      <c r="P290" s="1">
        <v>0.36199999999999999</v>
      </c>
      <c r="Q290" s="1">
        <v>0.192</v>
      </c>
      <c r="R290" s="1">
        <v>0.18</v>
      </c>
      <c r="S290" s="1">
        <v>0.46400000000000002</v>
      </c>
      <c r="T290" s="1">
        <v>0.35599999999999998</v>
      </c>
      <c r="U290">
        <v>7608</v>
      </c>
    </row>
    <row r="291" spans="1:21" x14ac:dyDescent="0.3">
      <c r="A291" t="s">
        <v>252</v>
      </c>
      <c r="B291" t="s">
        <v>48</v>
      </c>
      <c r="C291">
        <v>0.28799999999999998</v>
      </c>
      <c r="D291">
        <v>0.82</v>
      </c>
      <c r="E291" s="1">
        <v>0.18</v>
      </c>
      <c r="F291" s="1">
        <v>0.36799999999999999</v>
      </c>
      <c r="G291" s="1">
        <v>0.45200000000000001</v>
      </c>
      <c r="H291" s="1">
        <v>0.126</v>
      </c>
      <c r="I291" s="1">
        <v>0.16500000000000001</v>
      </c>
      <c r="J291">
        <v>42</v>
      </c>
      <c r="K291">
        <v>4.4800000000000004</v>
      </c>
      <c r="L291">
        <v>544</v>
      </c>
      <c r="M291">
        <v>997</v>
      </c>
      <c r="N291">
        <v>1541</v>
      </c>
      <c r="O291" s="1">
        <v>0.42399999999999999</v>
      </c>
      <c r="P291" s="1">
        <v>0.34100000000000003</v>
      </c>
      <c r="Q291" s="1">
        <v>0.23599999999999999</v>
      </c>
      <c r="R291" s="1">
        <v>0.153</v>
      </c>
      <c r="S291" s="1">
        <v>0.45900000000000002</v>
      </c>
      <c r="T291" s="1">
        <v>0.38900000000000001</v>
      </c>
      <c r="U291">
        <v>5257</v>
      </c>
    </row>
    <row r="292" spans="1:21" x14ac:dyDescent="0.3">
      <c r="A292" t="s">
        <v>381</v>
      </c>
      <c r="B292" t="s">
        <v>46</v>
      </c>
      <c r="C292">
        <v>0.29799999999999999</v>
      </c>
      <c r="D292">
        <v>0.81</v>
      </c>
      <c r="E292" s="1">
        <v>0.215</v>
      </c>
      <c r="F292" s="1">
        <v>0.35099999999999998</v>
      </c>
      <c r="G292" s="1">
        <v>0.434</v>
      </c>
      <c r="H292" s="1">
        <v>6.7000000000000004E-2</v>
      </c>
      <c r="I292" s="1">
        <v>0.23599999999999999</v>
      </c>
      <c r="J292">
        <v>39</v>
      </c>
      <c r="K292">
        <v>5.01</v>
      </c>
      <c r="L292">
        <v>464</v>
      </c>
      <c r="M292">
        <v>792</v>
      </c>
      <c r="N292">
        <v>1256</v>
      </c>
      <c r="O292" s="1">
        <v>0.43099999999999999</v>
      </c>
      <c r="P292" s="1">
        <v>0.30599999999999999</v>
      </c>
      <c r="Q292" s="1">
        <v>0.26300000000000001</v>
      </c>
      <c r="R292" s="1">
        <v>0.16700000000000001</v>
      </c>
      <c r="S292" s="1">
        <v>0.43099999999999999</v>
      </c>
      <c r="T292" s="1">
        <v>0.40200000000000002</v>
      </c>
      <c r="U292">
        <v>17432</v>
      </c>
    </row>
    <row r="293" spans="1:21" x14ac:dyDescent="0.3">
      <c r="A293" t="s">
        <v>297</v>
      </c>
      <c r="B293" t="s">
        <v>36</v>
      </c>
      <c r="C293">
        <v>0.30099999999999999</v>
      </c>
      <c r="D293">
        <v>0.8</v>
      </c>
      <c r="E293" s="1">
        <v>0.27400000000000002</v>
      </c>
      <c r="F293" s="1">
        <v>0.32400000000000001</v>
      </c>
      <c r="G293" s="1">
        <v>0.40300000000000002</v>
      </c>
      <c r="H293" s="1">
        <v>0.12</v>
      </c>
      <c r="I293" s="1">
        <v>0.13</v>
      </c>
      <c r="J293">
        <v>90</v>
      </c>
      <c r="K293">
        <v>5.25</v>
      </c>
      <c r="L293">
        <v>1072</v>
      </c>
      <c r="M293">
        <v>1687</v>
      </c>
      <c r="N293">
        <v>2759</v>
      </c>
      <c r="O293" s="1">
        <v>0.40300000000000002</v>
      </c>
      <c r="P293" s="1">
        <v>0.32900000000000001</v>
      </c>
      <c r="Q293" s="1">
        <v>0.26800000000000002</v>
      </c>
      <c r="R293" s="1">
        <v>0.19900000000000001</v>
      </c>
      <c r="S293" s="1">
        <v>0.439</v>
      </c>
      <c r="T293" s="1">
        <v>0.36099999999999999</v>
      </c>
      <c r="U293">
        <v>17948</v>
      </c>
    </row>
    <row r="294" spans="1:21" x14ac:dyDescent="0.3">
      <c r="A294" t="s">
        <v>99</v>
      </c>
      <c r="B294" t="s">
        <v>66</v>
      </c>
      <c r="C294">
        <v>0.23300000000000001</v>
      </c>
      <c r="D294">
        <v>0.8</v>
      </c>
      <c r="E294" s="1">
        <v>0.24199999999999999</v>
      </c>
      <c r="F294" s="1">
        <v>0.33800000000000002</v>
      </c>
      <c r="G294" s="1">
        <v>0.42</v>
      </c>
      <c r="H294" s="1">
        <v>0.121</v>
      </c>
      <c r="I294" s="1">
        <v>0.121</v>
      </c>
      <c r="J294">
        <v>38</v>
      </c>
      <c r="K294">
        <v>5.32</v>
      </c>
      <c r="L294">
        <v>440</v>
      </c>
      <c r="M294">
        <v>726</v>
      </c>
      <c r="N294">
        <v>1166</v>
      </c>
      <c r="O294" s="1">
        <v>0.40500000000000003</v>
      </c>
      <c r="P294" s="1">
        <v>0.32300000000000001</v>
      </c>
      <c r="Q294" s="1">
        <v>0.27200000000000002</v>
      </c>
      <c r="R294" s="1">
        <v>0.184</v>
      </c>
      <c r="S294" s="1">
        <v>0.46800000000000003</v>
      </c>
      <c r="T294" s="1">
        <v>0.34799999999999998</v>
      </c>
      <c r="U294">
        <v>6398</v>
      </c>
    </row>
    <row r="295" spans="1:21" x14ac:dyDescent="0.3">
      <c r="A295" t="s">
        <v>130</v>
      </c>
      <c r="B295" t="s">
        <v>48</v>
      </c>
      <c r="C295">
        <v>0.26400000000000001</v>
      </c>
      <c r="D295">
        <v>0.8</v>
      </c>
      <c r="E295" s="1">
        <v>0.189</v>
      </c>
      <c r="F295" s="1">
        <v>0.36099999999999999</v>
      </c>
      <c r="G295" s="1">
        <v>0.45</v>
      </c>
      <c r="H295" s="1">
        <v>0.14499999999999999</v>
      </c>
      <c r="I295" s="1">
        <v>9.1999999999999998E-2</v>
      </c>
      <c r="J295">
        <v>19</v>
      </c>
      <c r="K295">
        <v>2.83</v>
      </c>
      <c r="L295">
        <v>335</v>
      </c>
      <c r="M295">
        <v>660</v>
      </c>
      <c r="N295">
        <v>995</v>
      </c>
      <c r="O295" s="1">
        <v>0.45900000000000002</v>
      </c>
      <c r="P295" s="1">
        <v>0.33500000000000002</v>
      </c>
      <c r="Q295" s="1">
        <v>0.20599999999999999</v>
      </c>
      <c r="R295" s="1">
        <v>0.20599999999999999</v>
      </c>
      <c r="S295" s="1">
        <v>0.47599999999999998</v>
      </c>
      <c r="T295" s="1">
        <v>0.318</v>
      </c>
      <c r="U295">
        <v>9817</v>
      </c>
    </row>
    <row r="296" spans="1:21" x14ac:dyDescent="0.3">
      <c r="A296" t="s">
        <v>60</v>
      </c>
      <c r="B296" t="s">
        <v>48</v>
      </c>
      <c r="C296">
        <v>0.247</v>
      </c>
      <c r="D296">
        <v>0.8</v>
      </c>
      <c r="E296" s="1">
        <v>0.161</v>
      </c>
      <c r="F296" s="1">
        <v>0.372</v>
      </c>
      <c r="G296" s="1">
        <v>0.46700000000000003</v>
      </c>
      <c r="H296" s="1">
        <v>0.129</v>
      </c>
      <c r="I296" s="1">
        <v>8.5999999999999993E-2</v>
      </c>
      <c r="J296">
        <v>35</v>
      </c>
      <c r="K296">
        <v>4.32</v>
      </c>
      <c r="L296">
        <v>416</v>
      </c>
      <c r="M296">
        <v>801</v>
      </c>
      <c r="N296">
        <v>1217</v>
      </c>
      <c r="O296" s="1">
        <v>0.376</v>
      </c>
      <c r="P296" s="1">
        <v>0.34699999999999998</v>
      </c>
      <c r="Q296" s="1">
        <v>0.27700000000000002</v>
      </c>
      <c r="R296" s="1">
        <v>0.183</v>
      </c>
      <c r="S296" s="1">
        <v>0.43099999999999999</v>
      </c>
      <c r="T296" s="1">
        <v>0.38600000000000001</v>
      </c>
      <c r="U296">
        <v>7146</v>
      </c>
    </row>
    <row r="297" spans="1:21" x14ac:dyDescent="0.3">
      <c r="A297" t="s">
        <v>68</v>
      </c>
      <c r="B297" t="s">
        <v>28</v>
      </c>
      <c r="C297">
        <v>0.218</v>
      </c>
      <c r="D297">
        <v>0.8</v>
      </c>
      <c r="E297" s="1">
        <v>0.189</v>
      </c>
      <c r="F297" s="1">
        <v>0.35899999999999999</v>
      </c>
      <c r="G297" s="1">
        <v>0.45200000000000001</v>
      </c>
      <c r="H297" s="1">
        <v>0.124</v>
      </c>
      <c r="I297" s="1">
        <v>0.16</v>
      </c>
      <c r="J297">
        <v>141</v>
      </c>
      <c r="K297">
        <v>5.69</v>
      </c>
      <c r="L297">
        <v>1087</v>
      </c>
      <c r="M297">
        <v>2361</v>
      </c>
      <c r="N297">
        <v>3448</v>
      </c>
      <c r="O297" s="1">
        <v>0.44400000000000001</v>
      </c>
      <c r="P297" s="1">
        <v>0.35299999999999998</v>
      </c>
      <c r="Q297" s="1">
        <v>0.20300000000000001</v>
      </c>
      <c r="R297" s="1">
        <v>0.17100000000000001</v>
      </c>
      <c r="S297" s="1">
        <v>0.41199999999999998</v>
      </c>
      <c r="T297" s="1">
        <v>0.41799999999999998</v>
      </c>
      <c r="U297">
        <v>8700</v>
      </c>
    </row>
    <row r="298" spans="1:21" x14ac:dyDescent="0.3">
      <c r="A298" t="s">
        <v>263</v>
      </c>
      <c r="B298" t="s">
        <v>159</v>
      </c>
      <c r="C298">
        <v>0.307</v>
      </c>
      <c r="D298">
        <v>0.79</v>
      </c>
      <c r="E298" s="1">
        <v>0.19500000000000001</v>
      </c>
      <c r="F298" s="1">
        <v>0.35599999999999998</v>
      </c>
      <c r="G298" s="1">
        <v>0.44900000000000001</v>
      </c>
      <c r="H298" s="1">
        <v>0.121</v>
      </c>
      <c r="I298" s="1">
        <v>0.182</v>
      </c>
      <c r="J298">
        <v>102</v>
      </c>
      <c r="K298">
        <v>4.95</v>
      </c>
      <c r="L298">
        <v>1059</v>
      </c>
      <c r="M298">
        <v>2059</v>
      </c>
      <c r="N298">
        <v>3118</v>
      </c>
      <c r="O298" s="1">
        <v>0.41599999999999998</v>
      </c>
      <c r="P298" s="1">
        <v>0.317</v>
      </c>
      <c r="Q298" s="1">
        <v>0.26700000000000002</v>
      </c>
      <c r="R298" s="1">
        <v>0.17499999999999999</v>
      </c>
      <c r="S298" s="1">
        <v>0.41799999999999998</v>
      </c>
      <c r="T298" s="1">
        <v>0.40699999999999997</v>
      </c>
      <c r="U298">
        <v>15440</v>
      </c>
    </row>
    <row r="299" spans="1:21" x14ac:dyDescent="0.3">
      <c r="A299" t="s">
        <v>336</v>
      </c>
      <c r="B299" t="s">
        <v>43</v>
      </c>
      <c r="C299">
        <v>0.316</v>
      </c>
      <c r="D299">
        <v>0.79</v>
      </c>
      <c r="E299" s="1">
        <v>0.20699999999999999</v>
      </c>
      <c r="F299" s="1">
        <v>0.35</v>
      </c>
      <c r="G299" s="1">
        <v>0.442</v>
      </c>
      <c r="H299" s="1">
        <v>0.14399999999999999</v>
      </c>
      <c r="I299" s="1">
        <v>0.14000000000000001</v>
      </c>
      <c r="J299">
        <v>99</v>
      </c>
      <c r="K299">
        <v>4.84</v>
      </c>
      <c r="L299">
        <v>1123</v>
      </c>
      <c r="M299">
        <v>2040</v>
      </c>
      <c r="N299">
        <v>3163</v>
      </c>
      <c r="O299" s="1">
        <v>0.36899999999999999</v>
      </c>
      <c r="P299" s="1">
        <v>0.34200000000000003</v>
      </c>
      <c r="Q299" s="1">
        <v>0.28899999999999998</v>
      </c>
      <c r="R299" s="1">
        <v>0.19600000000000001</v>
      </c>
      <c r="S299" s="1">
        <v>0.45300000000000001</v>
      </c>
      <c r="T299" s="1">
        <v>0.35099999999999998</v>
      </c>
      <c r="U299">
        <v>16400</v>
      </c>
    </row>
    <row r="300" spans="1:21" x14ac:dyDescent="0.3">
      <c r="A300" t="s">
        <v>135</v>
      </c>
      <c r="B300" t="s">
        <v>66</v>
      </c>
      <c r="C300">
        <v>0.30199999999999999</v>
      </c>
      <c r="D300">
        <v>0.79</v>
      </c>
      <c r="E300" s="1">
        <v>0.20699999999999999</v>
      </c>
      <c r="F300" s="1">
        <v>0.35</v>
      </c>
      <c r="G300" s="1">
        <v>0.443</v>
      </c>
      <c r="H300" s="1">
        <v>0.11</v>
      </c>
      <c r="I300" s="1">
        <v>8.7999999999999995E-2</v>
      </c>
      <c r="J300">
        <v>101</v>
      </c>
      <c r="K300">
        <v>5.72</v>
      </c>
      <c r="L300">
        <v>1012</v>
      </c>
      <c r="M300">
        <v>1775</v>
      </c>
      <c r="N300">
        <v>2787</v>
      </c>
      <c r="O300" s="1">
        <v>0.36899999999999999</v>
      </c>
      <c r="P300" s="1">
        <v>0.33300000000000002</v>
      </c>
      <c r="Q300" s="1">
        <v>0.29799999999999999</v>
      </c>
      <c r="R300" s="1">
        <v>0.14699999999999999</v>
      </c>
      <c r="S300" s="1">
        <v>0.43</v>
      </c>
      <c r="T300" s="1">
        <v>0.42299999999999999</v>
      </c>
      <c r="U300">
        <v>6397</v>
      </c>
    </row>
    <row r="301" spans="1:21" x14ac:dyDescent="0.3">
      <c r="A301" t="s">
        <v>389</v>
      </c>
      <c r="B301" t="s">
        <v>43</v>
      </c>
      <c r="C301">
        <v>0.33100000000000002</v>
      </c>
      <c r="D301">
        <v>0.78</v>
      </c>
      <c r="E301" s="1">
        <v>0.247</v>
      </c>
      <c r="F301" s="1">
        <v>0.33100000000000002</v>
      </c>
      <c r="G301" s="1">
        <v>0.42199999999999999</v>
      </c>
      <c r="H301" s="1">
        <v>6.2E-2</v>
      </c>
      <c r="I301" s="1">
        <v>0.185</v>
      </c>
      <c r="J301">
        <v>26</v>
      </c>
      <c r="K301">
        <v>4.62</v>
      </c>
      <c r="L301">
        <v>387</v>
      </c>
      <c r="M301">
        <v>561</v>
      </c>
      <c r="N301">
        <v>948</v>
      </c>
      <c r="O301" s="1">
        <v>0.38900000000000001</v>
      </c>
      <c r="P301" s="1">
        <v>0.38900000000000001</v>
      </c>
      <c r="Q301" s="1">
        <v>0.223</v>
      </c>
      <c r="R301" s="1">
        <v>0.153</v>
      </c>
      <c r="S301" s="1">
        <v>0.54100000000000004</v>
      </c>
      <c r="T301" s="1">
        <v>0.30599999999999999</v>
      </c>
      <c r="U301">
        <v>5365</v>
      </c>
    </row>
    <row r="302" spans="1:21" x14ac:dyDescent="0.3">
      <c r="A302" t="s">
        <v>223</v>
      </c>
      <c r="B302" t="s">
        <v>71</v>
      </c>
      <c r="C302">
        <v>0.26600000000000001</v>
      </c>
      <c r="D302">
        <v>0.78</v>
      </c>
      <c r="E302" s="1">
        <v>0.20300000000000001</v>
      </c>
      <c r="F302" s="1">
        <v>0.35</v>
      </c>
      <c r="G302" s="1">
        <v>0.44700000000000001</v>
      </c>
      <c r="H302" s="1">
        <v>0.122</v>
      </c>
      <c r="I302" s="1">
        <v>0.128</v>
      </c>
      <c r="J302">
        <v>74</v>
      </c>
      <c r="K302">
        <v>4.79</v>
      </c>
      <c r="L302">
        <v>844</v>
      </c>
      <c r="M302">
        <v>1548</v>
      </c>
      <c r="N302">
        <v>2392</v>
      </c>
      <c r="O302" s="1">
        <v>0.36799999999999999</v>
      </c>
      <c r="P302" s="1">
        <v>0.35099999999999998</v>
      </c>
      <c r="Q302" s="1">
        <v>0.28000000000000003</v>
      </c>
      <c r="R302" s="1">
        <v>0.19</v>
      </c>
      <c r="S302" s="1">
        <v>0.434</v>
      </c>
      <c r="T302" s="1">
        <v>0.376</v>
      </c>
      <c r="U302">
        <v>6895</v>
      </c>
    </row>
    <row r="303" spans="1:21" x14ac:dyDescent="0.3">
      <c r="A303" t="s">
        <v>160</v>
      </c>
      <c r="B303" t="s">
        <v>75</v>
      </c>
      <c r="C303">
        <v>0.27400000000000002</v>
      </c>
      <c r="D303">
        <v>0.78</v>
      </c>
      <c r="E303" s="1">
        <v>0.23699999999999999</v>
      </c>
      <c r="F303" s="1">
        <v>0.33500000000000002</v>
      </c>
      <c r="G303" s="1">
        <v>0.42799999999999999</v>
      </c>
      <c r="H303" s="1">
        <v>9.0999999999999998E-2</v>
      </c>
      <c r="I303" s="1">
        <v>0.127</v>
      </c>
      <c r="J303">
        <v>43</v>
      </c>
      <c r="K303">
        <v>4.88</v>
      </c>
      <c r="L303">
        <v>374</v>
      </c>
      <c r="M303">
        <v>762</v>
      </c>
      <c r="N303">
        <v>1136</v>
      </c>
      <c r="O303" s="1">
        <v>0.43099999999999999</v>
      </c>
      <c r="P303" s="1">
        <v>0.32800000000000001</v>
      </c>
      <c r="Q303" s="1">
        <v>0.24</v>
      </c>
      <c r="R303" s="1">
        <v>0.16400000000000001</v>
      </c>
      <c r="S303" s="1">
        <v>0.47699999999999998</v>
      </c>
      <c r="T303" s="1">
        <v>0.35899999999999999</v>
      </c>
      <c r="U303">
        <v>9388</v>
      </c>
    </row>
    <row r="304" spans="1:21" x14ac:dyDescent="0.3">
      <c r="A304" t="s">
        <v>352</v>
      </c>
      <c r="B304" t="s">
        <v>40</v>
      </c>
      <c r="C304">
        <v>0.32100000000000001</v>
      </c>
      <c r="D304">
        <v>0.78</v>
      </c>
      <c r="E304" s="1">
        <v>0.221</v>
      </c>
      <c r="F304" s="1">
        <v>0.34200000000000003</v>
      </c>
      <c r="G304" s="1">
        <v>0.437</v>
      </c>
      <c r="H304" s="1">
        <v>0.10299999999999999</v>
      </c>
      <c r="I304" s="1">
        <v>0.184</v>
      </c>
      <c r="J304">
        <v>43</v>
      </c>
      <c r="K304">
        <v>5.81</v>
      </c>
      <c r="L304">
        <v>483</v>
      </c>
      <c r="M304">
        <v>818</v>
      </c>
      <c r="N304">
        <v>1301</v>
      </c>
      <c r="O304" s="1">
        <v>0.36</v>
      </c>
      <c r="P304" s="1">
        <v>0.375</v>
      </c>
      <c r="Q304" s="1">
        <v>0.26500000000000001</v>
      </c>
      <c r="R304" s="1">
        <v>0.21</v>
      </c>
      <c r="S304" s="1">
        <v>0.40500000000000003</v>
      </c>
      <c r="T304" s="1">
        <v>0.38500000000000001</v>
      </c>
      <c r="U304">
        <v>17874</v>
      </c>
    </row>
    <row r="305" spans="1:21" x14ac:dyDescent="0.3">
      <c r="A305" t="s">
        <v>307</v>
      </c>
      <c r="B305" t="s">
        <v>95</v>
      </c>
      <c r="C305">
        <v>0.30499999999999999</v>
      </c>
      <c r="D305">
        <v>0.78</v>
      </c>
      <c r="E305" s="1">
        <v>0.216</v>
      </c>
      <c r="F305" s="1">
        <v>0.34300000000000003</v>
      </c>
      <c r="G305" s="1">
        <v>0.441</v>
      </c>
      <c r="H305" s="1">
        <v>8.4000000000000005E-2</v>
      </c>
      <c r="I305" s="1">
        <v>0.182</v>
      </c>
      <c r="J305">
        <v>74</v>
      </c>
      <c r="K305">
        <v>5.68</v>
      </c>
      <c r="L305">
        <v>768</v>
      </c>
      <c r="M305">
        <v>1352</v>
      </c>
      <c r="N305">
        <v>2120</v>
      </c>
      <c r="O305" s="1">
        <v>0.38700000000000001</v>
      </c>
      <c r="P305" s="1">
        <v>0.33300000000000002</v>
      </c>
      <c r="Q305" s="1">
        <v>0.27900000000000003</v>
      </c>
      <c r="R305" s="1">
        <v>0.126</v>
      </c>
      <c r="S305" s="1">
        <v>0.39900000000000002</v>
      </c>
      <c r="T305" s="1">
        <v>0.47399999999999998</v>
      </c>
      <c r="U305">
        <v>11189</v>
      </c>
    </row>
    <row r="306" spans="1:21" x14ac:dyDescent="0.3">
      <c r="A306" t="s">
        <v>233</v>
      </c>
      <c r="B306" t="s">
        <v>143</v>
      </c>
      <c r="C306">
        <v>0.30599999999999999</v>
      </c>
      <c r="D306">
        <v>0.78</v>
      </c>
      <c r="E306" s="1">
        <v>0.20100000000000001</v>
      </c>
      <c r="F306" s="1">
        <v>0.34899999999999998</v>
      </c>
      <c r="G306" s="1">
        <v>0.45</v>
      </c>
      <c r="H306" s="1">
        <v>0.16400000000000001</v>
      </c>
      <c r="I306" s="1">
        <v>0.104</v>
      </c>
      <c r="J306">
        <v>17</v>
      </c>
      <c r="K306">
        <v>2.23</v>
      </c>
      <c r="L306">
        <v>505</v>
      </c>
      <c r="M306">
        <v>789</v>
      </c>
      <c r="N306">
        <v>1294</v>
      </c>
      <c r="O306" s="1">
        <v>0.46100000000000002</v>
      </c>
      <c r="P306" s="1">
        <v>0.312</v>
      </c>
      <c r="Q306" s="1">
        <v>0.22700000000000001</v>
      </c>
      <c r="R306" s="1">
        <v>0.182</v>
      </c>
      <c r="S306" s="1">
        <v>0.46100000000000002</v>
      </c>
      <c r="T306" s="1">
        <v>0.35699999999999998</v>
      </c>
      <c r="U306">
        <v>14524</v>
      </c>
    </row>
    <row r="307" spans="1:21" x14ac:dyDescent="0.3">
      <c r="A307" t="s">
        <v>305</v>
      </c>
      <c r="B307" t="s">
        <v>62</v>
      </c>
      <c r="C307">
        <v>0.312</v>
      </c>
      <c r="D307">
        <v>0.77</v>
      </c>
      <c r="E307" s="1">
        <v>0.22800000000000001</v>
      </c>
      <c r="F307" s="1">
        <v>0.33600000000000002</v>
      </c>
      <c r="G307" s="1">
        <v>0.436</v>
      </c>
      <c r="H307" s="1">
        <v>9.1999999999999998E-2</v>
      </c>
      <c r="I307" s="1">
        <v>0.183</v>
      </c>
      <c r="J307">
        <v>59</v>
      </c>
      <c r="K307">
        <v>5.57</v>
      </c>
      <c r="L307">
        <v>597</v>
      </c>
      <c r="M307">
        <v>1092</v>
      </c>
      <c r="N307">
        <v>1689</v>
      </c>
      <c r="O307" s="1">
        <v>0.38200000000000001</v>
      </c>
      <c r="P307" s="1">
        <v>0.33900000000000002</v>
      </c>
      <c r="Q307" s="1">
        <v>0.28000000000000003</v>
      </c>
      <c r="R307" s="1">
        <v>0.15</v>
      </c>
      <c r="S307" s="1">
        <v>0.374</v>
      </c>
      <c r="T307" s="1">
        <v>0.47599999999999998</v>
      </c>
      <c r="U307">
        <v>15423</v>
      </c>
    </row>
    <row r="308" spans="1:21" x14ac:dyDescent="0.3">
      <c r="A308" t="s">
        <v>354</v>
      </c>
      <c r="B308" t="s">
        <v>95</v>
      </c>
      <c r="C308">
        <v>0.25600000000000001</v>
      </c>
      <c r="D308">
        <v>0.77</v>
      </c>
      <c r="E308" s="1">
        <v>0.183</v>
      </c>
      <c r="F308" s="1">
        <v>0.35499999999999998</v>
      </c>
      <c r="G308" s="1">
        <v>0.46200000000000002</v>
      </c>
      <c r="H308" s="1">
        <v>7.6999999999999999E-2</v>
      </c>
      <c r="I308" s="1">
        <v>0.23100000000000001</v>
      </c>
      <c r="J308">
        <v>29</v>
      </c>
      <c r="K308">
        <v>4.47</v>
      </c>
      <c r="L308">
        <v>370</v>
      </c>
      <c r="M308">
        <v>605</v>
      </c>
      <c r="N308">
        <v>975</v>
      </c>
      <c r="O308" s="1">
        <v>0.42499999999999999</v>
      </c>
      <c r="P308" s="1">
        <v>0.32800000000000001</v>
      </c>
      <c r="Q308" s="1">
        <v>0.247</v>
      </c>
      <c r="R308" s="1">
        <v>0.16700000000000001</v>
      </c>
      <c r="S308" s="1">
        <v>0.38500000000000001</v>
      </c>
      <c r="T308" s="1">
        <v>0.44800000000000001</v>
      </c>
      <c r="U308">
        <v>12664</v>
      </c>
    </row>
    <row r="309" spans="1:21" x14ac:dyDescent="0.3">
      <c r="A309" t="s">
        <v>195</v>
      </c>
      <c r="B309" t="s">
        <v>30</v>
      </c>
      <c r="C309">
        <v>0.26200000000000001</v>
      </c>
      <c r="D309">
        <v>0.77</v>
      </c>
      <c r="E309" s="1">
        <v>0.20899999999999999</v>
      </c>
      <c r="F309" s="1">
        <v>0.34300000000000003</v>
      </c>
      <c r="G309" s="1">
        <v>0.44800000000000001</v>
      </c>
      <c r="H309" s="1">
        <v>8.3000000000000004E-2</v>
      </c>
      <c r="I309" s="1">
        <v>0.183</v>
      </c>
      <c r="J309">
        <v>28</v>
      </c>
      <c r="K309">
        <v>4.47</v>
      </c>
      <c r="L309">
        <v>363</v>
      </c>
      <c r="M309">
        <v>653</v>
      </c>
      <c r="N309">
        <v>1016</v>
      </c>
      <c r="O309" s="1">
        <v>0.34300000000000003</v>
      </c>
      <c r="P309" s="1">
        <v>0.35799999999999998</v>
      </c>
      <c r="Q309" s="1">
        <v>0.29899999999999999</v>
      </c>
      <c r="R309" s="1">
        <v>0.19</v>
      </c>
      <c r="S309" s="1">
        <v>0.51800000000000002</v>
      </c>
      <c r="T309" s="1">
        <v>0.29199999999999998</v>
      </c>
      <c r="U309">
        <v>11903</v>
      </c>
    </row>
    <row r="310" spans="1:21" x14ac:dyDescent="0.3">
      <c r="A310" t="s">
        <v>155</v>
      </c>
      <c r="B310" t="s">
        <v>53</v>
      </c>
      <c r="C310">
        <v>0.27300000000000002</v>
      </c>
      <c r="D310">
        <v>0.75</v>
      </c>
      <c r="E310" s="1">
        <v>0.24199999999999999</v>
      </c>
      <c r="F310" s="1">
        <v>0.32500000000000001</v>
      </c>
      <c r="G310" s="1">
        <v>0.433</v>
      </c>
      <c r="H310" s="1">
        <v>0.16200000000000001</v>
      </c>
      <c r="I310" s="1">
        <v>0.13200000000000001</v>
      </c>
      <c r="J310">
        <v>16</v>
      </c>
      <c r="K310">
        <v>2.29</v>
      </c>
      <c r="L310">
        <v>327</v>
      </c>
      <c r="M310">
        <v>741</v>
      </c>
      <c r="N310">
        <v>1068</v>
      </c>
      <c r="O310" s="1">
        <v>0.42899999999999999</v>
      </c>
      <c r="P310" s="1">
        <v>0.313</v>
      </c>
      <c r="Q310" s="1">
        <v>0.25800000000000001</v>
      </c>
      <c r="R310" s="1">
        <v>0.17199999999999999</v>
      </c>
      <c r="S310" s="1">
        <v>0.442</v>
      </c>
      <c r="T310" s="1">
        <v>0.38700000000000001</v>
      </c>
      <c r="U310">
        <v>3096</v>
      </c>
    </row>
    <row r="311" spans="1:21" x14ac:dyDescent="0.3">
      <c r="A311" t="s">
        <v>280</v>
      </c>
      <c r="B311" t="s">
        <v>28</v>
      </c>
      <c r="C311">
        <v>0.308</v>
      </c>
      <c r="D311">
        <v>0.75</v>
      </c>
      <c r="E311" s="1">
        <v>0.189</v>
      </c>
      <c r="F311" s="1">
        <v>0.34599999999999997</v>
      </c>
      <c r="G311" s="1">
        <v>0.46500000000000002</v>
      </c>
      <c r="H311" s="1">
        <v>0.10199999999999999</v>
      </c>
      <c r="I311" s="1">
        <v>0.16900000000000001</v>
      </c>
      <c r="J311">
        <v>31</v>
      </c>
      <c r="K311">
        <v>4.55</v>
      </c>
      <c r="L311">
        <v>447</v>
      </c>
      <c r="M311">
        <v>695</v>
      </c>
      <c r="N311">
        <v>1142</v>
      </c>
      <c r="O311" s="1">
        <v>0.34599999999999997</v>
      </c>
      <c r="P311" s="1">
        <v>0.35399999999999998</v>
      </c>
      <c r="Q311" s="1">
        <v>0.29899999999999999</v>
      </c>
      <c r="R311" s="1">
        <v>0.16500000000000001</v>
      </c>
      <c r="S311" s="1">
        <v>0.433</v>
      </c>
      <c r="T311" s="1">
        <v>0.40200000000000002</v>
      </c>
      <c r="U311">
        <v>16794</v>
      </c>
    </row>
    <row r="312" spans="1:21" x14ac:dyDescent="0.3">
      <c r="A312" t="s">
        <v>376</v>
      </c>
      <c r="B312" t="s">
        <v>48</v>
      </c>
      <c r="C312">
        <v>0.308</v>
      </c>
      <c r="D312">
        <v>0.74</v>
      </c>
      <c r="E312" s="1">
        <v>0.222</v>
      </c>
      <c r="F312" s="1">
        <v>0.33200000000000002</v>
      </c>
      <c r="G312" s="1">
        <v>0.44600000000000001</v>
      </c>
      <c r="H312" s="1">
        <v>6.7000000000000004E-2</v>
      </c>
      <c r="I312" s="1">
        <v>0.215</v>
      </c>
      <c r="J312">
        <v>55</v>
      </c>
      <c r="K312">
        <v>4.34</v>
      </c>
      <c r="L312">
        <v>817</v>
      </c>
      <c r="M312">
        <v>1313</v>
      </c>
      <c r="N312">
        <v>2130</v>
      </c>
      <c r="O312" s="1">
        <v>0.51900000000000002</v>
      </c>
      <c r="P312" s="1">
        <v>0.27900000000000003</v>
      </c>
      <c r="Q312" s="1">
        <v>0.20200000000000001</v>
      </c>
      <c r="R312" s="1">
        <v>0.13100000000000001</v>
      </c>
      <c r="S312" s="1">
        <v>0.41499999999999998</v>
      </c>
      <c r="T312" s="1">
        <v>0.45400000000000001</v>
      </c>
      <c r="U312">
        <v>11760</v>
      </c>
    </row>
    <row r="313" spans="1:21" x14ac:dyDescent="0.3">
      <c r="A313" t="s">
        <v>379</v>
      </c>
      <c r="B313" t="s">
        <v>62</v>
      </c>
      <c r="C313">
        <v>0.28699999999999998</v>
      </c>
      <c r="D313">
        <v>0.74</v>
      </c>
      <c r="E313" s="1">
        <v>0.19500000000000001</v>
      </c>
      <c r="F313" s="1">
        <v>0.34200000000000003</v>
      </c>
      <c r="G313" s="1">
        <v>0.46300000000000002</v>
      </c>
      <c r="H313" s="1">
        <v>0.05</v>
      </c>
      <c r="I313" s="1">
        <v>0.20200000000000001</v>
      </c>
      <c r="J313">
        <v>31</v>
      </c>
      <c r="K313">
        <v>3.38</v>
      </c>
      <c r="L313">
        <v>585</v>
      </c>
      <c r="M313">
        <v>913</v>
      </c>
      <c r="N313">
        <v>1498</v>
      </c>
      <c r="O313" s="1">
        <v>0.42899999999999999</v>
      </c>
      <c r="P313" s="1">
        <v>0.35199999999999998</v>
      </c>
      <c r="Q313" s="1">
        <v>0.218</v>
      </c>
      <c r="R313" s="1">
        <v>0.115</v>
      </c>
      <c r="S313" s="1">
        <v>0.46400000000000002</v>
      </c>
      <c r="T313" s="1">
        <v>0.42099999999999999</v>
      </c>
      <c r="U313">
        <v>18356</v>
      </c>
    </row>
    <row r="314" spans="1:21" x14ac:dyDescent="0.3">
      <c r="A314" t="s">
        <v>328</v>
      </c>
      <c r="B314" t="s">
        <v>71</v>
      </c>
      <c r="C314">
        <v>0.33800000000000002</v>
      </c>
      <c r="D314">
        <v>0.73</v>
      </c>
      <c r="E314" s="1">
        <v>0.24299999999999999</v>
      </c>
      <c r="F314" s="1">
        <v>0.32</v>
      </c>
      <c r="G314" s="1">
        <v>0.437</v>
      </c>
      <c r="H314" s="1">
        <v>0.155</v>
      </c>
      <c r="I314" s="1">
        <v>0.155</v>
      </c>
      <c r="J314">
        <v>59</v>
      </c>
      <c r="K314">
        <v>6.25</v>
      </c>
      <c r="L314">
        <v>557</v>
      </c>
      <c r="M314">
        <v>1042</v>
      </c>
      <c r="N314">
        <v>1599</v>
      </c>
      <c r="O314" s="1">
        <v>0.35099999999999998</v>
      </c>
      <c r="P314" s="1">
        <v>0.36</v>
      </c>
      <c r="Q314" s="1">
        <v>0.28899999999999998</v>
      </c>
      <c r="R314" s="1">
        <v>0.17499999999999999</v>
      </c>
      <c r="S314" s="1">
        <v>0.439</v>
      </c>
      <c r="T314" s="1">
        <v>0.38600000000000001</v>
      </c>
      <c r="U314">
        <v>18679</v>
      </c>
    </row>
    <row r="315" spans="1:21" x14ac:dyDescent="0.3">
      <c r="A315" t="s">
        <v>51</v>
      </c>
      <c r="B315" t="s">
        <v>32</v>
      </c>
      <c r="C315">
        <v>0.22800000000000001</v>
      </c>
      <c r="D315">
        <v>0.73</v>
      </c>
      <c r="E315" s="1">
        <v>0.192</v>
      </c>
      <c r="F315" s="1">
        <v>0.34</v>
      </c>
      <c r="G315" s="1">
        <v>0.46800000000000003</v>
      </c>
      <c r="H315" s="1">
        <v>0.151</v>
      </c>
      <c r="I315" s="1">
        <v>0.16400000000000001</v>
      </c>
      <c r="J315">
        <v>34</v>
      </c>
      <c r="K315">
        <v>4.37</v>
      </c>
      <c r="L315">
        <v>322</v>
      </c>
      <c r="M315">
        <v>753</v>
      </c>
      <c r="N315">
        <v>1075</v>
      </c>
      <c r="O315" s="1">
        <v>0.442</v>
      </c>
      <c r="P315" s="1">
        <v>0.27600000000000002</v>
      </c>
      <c r="Q315" s="1">
        <v>0.28199999999999997</v>
      </c>
      <c r="R315" s="1">
        <v>0.186</v>
      </c>
      <c r="S315" s="1">
        <v>0.442</v>
      </c>
      <c r="T315" s="1">
        <v>0.372</v>
      </c>
      <c r="U315">
        <v>14771</v>
      </c>
    </row>
    <row r="316" spans="1:21" x14ac:dyDescent="0.3">
      <c r="A316" t="s">
        <v>105</v>
      </c>
      <c r="B316" t="s">
        <v>53</v>
      </c>
      <c r="C316">
        <v>0.21299999999999999</v>
      </c>
      <c r="D316">
        <v>0.72</v>
      </c>
      <c r="E316" s="1">
        <v>0.17499999999999999</v>
      </c>
      <c r="F316" s="1">
        <v>0.34499999999999997</v>
      </c>
      <c r="G316" s="1">
        <v>0.48</v>
      </c>
      <c r="H316" s="1">
        <v>0.188</v>
      </c>
      <c r="I316" s="1">
        <v>7.0999999999999994E-2</v>
      </c>
      <c r="J316">
        <v>39</v>
      </c>
      <c r="K316">
        <v>5.04</v>
      </c>
      <c r="L316">
        <v>407</v>
      </c>
      <c r="M316">
        <v>705</v>
      </c>
      <c r="N316">
        <v>1112</v>
      </c>
      <c r="O316" s="1">
        <v>0.439</v>
      </c>
      <c r="P316" s="1">
        <v>0.32800000000000001</v>
      </c>
      <c r="Q316" s="1">
        <v>0.23300000000000001</v>
      </c>
      <c r="R316" s="1">
        <v>0.2</v>
      </c>
      <c r="S316" s="1">
        <v>0.42199999999999999</v>
      </c>
      <c r="T316" s="1">
        <v>0.378</v>
      </c>
      <c r="U316">
        <v>5420</v>
      </c>
    </row>
    <row r="317" spans="1:21" x14ac:dyDescent="0.3">
      <c r="A317" t="s">
        <v>375</v>
      </c>
      <c r="B317" t="s">
        <v>36</v>
      </c>
      <c r="C317">
        <v>0.29099999999999998</v>
      </c>
      <c r="D317">
        <v>0.72</v>
      </c>
      <c r="E317" s="1">
        <v>0.21299999999999999</v>
      </c>
      <c r="F317" s="1">
        <v>0.32900000000000001</v>
      </c>
      <c r="G317" s="1">
        <v>0.45800000000000002</v>
      </c>
      <c r="H317" s="1">
        <v>7.0999999999999994E-2</v>
      </c>
      <c r="I317" s="1">
        <v>0.13100000000000001</v>
      </c>
      <c r="J317">
        <v>31</v>
      </c>
      <c r="K317">
        <v>3.82</v>
      </c>
      <c r="L317">
        <v>453</v>
      </c>
      <c r="M317">
        <v>802</v>
      </c>
      <c r="N317">
        <v>1255</v>
      </c>
      <c r="O317" s="1">
        <v>0.38800000000000001</v>
      </c>
      <c r="P317" s="1">
        <v>0.33800000000000002</v>
      </c>
      <c r="Q317" s="1">
        <v>0.27400000000000002</v>
      </c>
      <c r="R317" s="1">
        <v>0.13700000000000001</v>
      </c>
      <c r="S317" s="1">
        <v>0.46100000000000002</v>
      </c>
      <c r="T317" s="1">
        <v>0.40200000000000002</v>
      </c>
      <c r="U317">
        <v>17281</v>
      </c>
    </row>
    <row r="318" spans="1:21" x14ac:dyDescent="0.3">
      <c r="A318" t="s">
        <v>274</v>
      </c>
      <c r="B318" t="s">
        <v>48</v>
      </c>
      <c r="C318">
        <v>0.28199999999999997</v>
      </c>
      <c r="D318">
        <v>0.71</v>
      </c>
      <c r="E318" s="1">
        <v>0.19600000000000001</v>
      </c>
      <c r="F318" s="1">
        <v>0.33500000000000002</v>
      </c>
      <c r="G318" s="1">
        <v>0.46899999999999997</v>
      </c>
      <c r="H318" s="1">
        <v>9.1999999999999998E-2</v>
      </c>
      <c r="I318" s="1">
        <v>0.10199999999999999</v>
      </c>
      <c r="J318">
        <v>33</v>
      </c>
      <c r="K318">
        <v>4.3899999999999997</v>
      </c>
      <c r="L318">
        <v>322</v>
      </c>
      <c r="M318">
        <v>754</v>
      </c>
      <c r="N318">
        <v>1076</v>
      </c>
      <c r="O318" s="1">
        <v>0.33</v>
      </c>
      <c r="P318" s="1">
        <v>0.34399999999999997</v>
      </c>
      <c r="Q318" s="1">
        <v>0.32500000000000001</v>
      </c>
      <c r="R318" s="1">
        <v>0.156</v>
      </c>
      <c r="S318" s="1">
        <v>0.47599999999999998</v>
      </c>
      <c r="T318" s="1">
        <v>0.36799999999999999</v>
      </c>
      <c r="U318">
        <v>7407</v>
      </c>
    </row>
    <row r="319" spans="1:21" x14ac:dyDescent="0.3">
      <c r="A319" t="s">
        <v>390</v>
      </c>
      <c r="B319" t="s">
        <v>146</v>
      </c>
      <c r="C319">
        <v>0.27800000000000002</v>
      </c>
      <c r="D319">
        <v>0.71</v>
      </c>
      <c r="E319" s="1">
        <v>0.218</v>
      </c>
      <c r="F319" s="1">
        <v>0.32600000000000001</v>
      </c>
      <c r="G319" s="1">
        <v>0.45600000000000002</v>
      </c>
      <c r="H319" s="1">
        <v>0.10100000000000001</v>
      </c>
      <c r="I319" s="1">
        <v>0.23499999999999999</v>
      </c>
      <c r="J319">
        <v>32</v>
      </c>
      <c r="K319">
        <v>3.6</v>
      </c>
      <c r="L319">
        <v>539</v>
      </c>
      <c r="M319">
        <v>891</v>
      </c>
      <c r="N319">
        <v>1430</v>
      </c>
      <c r="O319" s="1">
        <v>0.32800000000000001</v>
      </c>
      <c r="P319" s="1">
        <v>0.39600000000000002</v>
      </c>
      <c r="Q319" s="1">
        <v>0.27500000000000002</v>
      </c>
      <c r="R319" s="1">
        <v>0.128</v>
      </c>
      <c r="S319" s="1">
        <v>0.434</v>
      </c>
      <c r="T319" s="1">
        <v>0.438</v>
      </c>
      <c r="U319">
        <v>16130</v>
      </c>
    </row>
    <row r="320" spans="1:21" x14ac:dyDescent="0.3">
      <c r="A320" t="s">
        <v>49</v>
      </c>
      <c r="B320" t="s">
        <v>50</v>
      </c>
      <c r="C320">
        <v>0.222</v>
      </c>
      <c r="D320">
        <v>0.71</v>
      </c>
      <c r="E320" s="1">
        <v>0.192</v>
      </c>
      <c r="F320" s="1">
        <v>0.33500000000000002</v>
      </c>
      <c r="G320" s="1">
        <v>0.47299999999999998</v>
      </c>
      <c r="H320" s="1">
        <v>0.17699999999999999</v>
      </c>
      <c r="I320" s="1">
        <v>0.114</v>
      </c>
      <c r="J320">
        <v>31</v>
      </c>
      <c r="K320">
        <v>3.77</v>
      </c>
      <c r="L320">
        <v>361</v>
      </c>
      <c r="M320">
        <v>780</v>
      </c>
      <c r="N320">
        <v>1141</v>
      </c>
      <c r="O320" s="1">
        <v>0.35299999999999998</v>
      </c>
      <c r="P320" s="1">
        <v>0.377</v>
      </c>
      <c r="Q320" s="1">
        <v>0.26900000000000002</v>
      </c>
      <c r="R320" s="1">
        <v>0.18</v>
      </c>
      <c r="S320" s="1">
        <v>0.45500000000000002</v>
      </c>
      <c r="T320" s="1">
        <v>0.36499999999999999</v>
      </c>
      <c r="U320">
        <v>14986</v>
      </c>
    </row>
    <row r="321" spans="1:21" x14ac:dyDescent="0.3">
      <c r="A321" t="s">
        <v>294</v>
      </c>
      <c r="B321" t="s">
        <v>28</v>
      </c>
      <c r="C321">
        <v>0.29599999999999999</v>
      </c>
      <c r="D321">
        <v>0.7</v>
      </c>
      <c r="E321" s="1">
        <v>0.20599999999999999</v>
      </c>
      <c r="F321" s="1">
        <v>0.32700000000000001</v>
      </c>
      <c r="G321" s="1">
        <v>0.46700000000000003</v>
      </c>
      <c r="H321" s="1">
        <v>0.129</v>
      </c>
      <c r="I321" s="1">
        <v>0.14000000000000001</v>
      </c>
      <c r="J321">
        <v>17</v>
      </c>
      <c r="K321">
        <v>2.2200000000000002</v>
      </c>
      <c r="L321">
        <v>407</v>
      </c>
      <c r="M321">
        <v>737</v>
      </c>
      <c r="N321">
        <v>1144</v>
      </c>
      <c r="O321" s="1">
        <v>0.39100000000000001</v>
      </c>
      <c r="P321" s="1">
        <v>0.36099999999999999</v>
      </c>
      <c r="Q321" s="1">
        <v>0.248</v>
      </c>
      <c r="R321" s="1">
        <v>0.21299999999999999</v>
      </c>
      <c r="S321" s="1">
        <v>0.35599999999999998</v>
      </c>
      <c r="T321" s="1">
        <v>0.43099999999999999</v>
      </c>
      <c r="U321">
        <v>12763</v>
      </c>
    </row>
    <row r="322" spans="1:21" x14ac:dyDescent="0.3">
      <c r="A322" t="s">
        <v>188</v>
      </c>
      <c r="B322" t="s">
        <v>48</v>
      </c>
      <c r="C322">
        <v>0.26600000000000001</v>
      </c>
      <c r="D322">
        <v>0.7</v>
      </c>
      <c r="E322" s="1">
        <v>0.22600000000000001</v>
      </c>
      <c r="F322" s="1">
        <v>0.318</v>
      </c>
      <c r="G322" s="1">
        <v>0.45600000000000002</v>
      </c>
      <c r="H322" s="1">
        <v>0.10100000000000001</v>
      </c>
      <c r="I322" s="1">
        <v>0.124</v>
      </c>
      <c r="J322">
        <v>44</v>
      </c>
      <c r="K322">
        <v>5.14</v>
      </c>
      <c r="L322">
        <v>506</v>
      </c>
      <c r="M322">
        <v>794</v>
      </c>
      <c r="N322">
        <v>1300</v>
      </c>
      <c r="O322" s="1">
        <v>0.437</v>
      </c>
      <c r="P322" s="1">
        <v>0.312</v>
      </c>
      <c r="Q322" s="1">
        <v>0.251</v>
      </c>
      <c r="R322" s="1">
        <v>0.16600000000000001</v>
      </c>
      <c r="S322" s="1">
        <v>0.377</v>
      </c>
      <c r="T322" s="1">
        <v>0.45700000000000002</v>
      </c>
      <c r="U322">
        <v>15947</v>
      </c>
    </row>
    <row r="323" spans="1:21" x14ac:dyDescent="0.3">
      <c r="A323" t="s">
        <v>119</v>
      </c>
      <c r="B323" t="s">
        <v>48</v>
      </c>
      <c r="C323">
        <v>0.34899999999999998</v>
      </c>
      <c r="D323">
        <v>0.69</v>
      </c>
      <c r="E323" s="1">
        <v>0.29499999999999998</v>
      </c>
      <c r="F323" s="1">
        <v>0.28799999999999998</v>
      </c>
      <c r="G323" s="1">
        <v>0.41699999999999998</v>
      </c>
      <c r="H323" s="1">
        <v>0.127</v>
      </c>
      <c r="I323" s="1">
        <v>0.14499999999999999</v>
      </c>
      <c r="J323">
        <v>30</v>
      </c>
      <c r="K323">
        <v>4.1500000000000004</v>
      </c>
      <c r="L323">
        <v>337</v>
      </c>
      <c r="M323">
        <v>764</v>
      </c>
      <c r="N323">
        <v>1101</v>
      </c>
      <c r="O323" s="1">
        <v>0.41799999999999998</v>
      </c>
      <c r="P323" s="1">
        <v>0.313</v>
      </c>
      <c r="Q323" s="1">
        <v>0.26900000000000002</v>
      </c>
      <c r="R323" s="1">
        <v>0.14899999999999999</v>
      </c>
      <c r="S323" s="1">
        <v>0.44</v>
      </c>
      <c r="T323" s="1">
        <v>0.41</v>
      </c>
      <c r="U323">
        <v>18337</v>
      </c>
    </row>
    <row r="324" spans="1:21" x14ac:dyDescent="0.3">
      <c r="A324" t="s">
        <v>164</v>
      </c>
      <c r="B324" t="s">
        <v>89</v>
      </c>
      <c r="C324">
        <v>0.23</v>
      </c>
      <c r="D324">
        <v>0.69</v>
      </c>
      <c r="E324" s="1">
        <v>0.221</v>
      </c>
      <c r="F324" s="1">
        <v>0.318</v>
      </c>
      <c r="G324" s="1">
        <v>0.46100000000000002</v>
      </c>
      <c r="H324" s="1">
        <v>0.113</v>
      </c>
      <c r="I324" s="1">
        <v>0.127</v>
      </c>
      <c r="J324">
        <v>30</v>
      </c>
      <c r="K324">
        <v>4.18</v>
      </c>
      <c r="L324">
        <v>351</v>
      </c>
      <c r="M324">
        <v>677</v>
      </c>
      <c r="N324">
        <v>1028</v>
      </c>
      <c r="O324" s="1">
        <v>0.44900000000000001</v>
      </c>
      <c r="P324" s="1">
        <v>0.33300000000000002</v>
      </c>
      <c r="Q324" s="1">
        <v>0.218</v>
      </c>
      <c r="R324" s="1">
        <v>0.16</v>
      </c>
      <c r="S324" s="1">
        <v>0.47399999999999998</v>
      </c>
      <c r="T324" s="1">
        <v>0.36499999999999999</v>
      </c>
      <c r="U324">
        <v>13594</v>
      </c>
    </row>
    <row r="325" spans="1:21" x14ac:dyDescent="0.3">
      <c r="A325" t="s">
        <v>314</v>
      </c>
      <c r="B325" t="s">
        <v>102</v>
      </c>
      <c r="C325">
        <v>0.26300000000000001</v>
      </c>
      <c r="D325">
        <v>0.69</v>
      </c>
      <c r="E325" s="1">
        <v>0.17100000000000001</v>
      </c>
      <c r="F325" s="1">
        <v>0.33800000000000002</v>
      </c>
      <c r="G325" s="1">
        <v>0.49099999999999999</v>
      </c>
      <c r="H325" s="1">
        <v>0.13400000000000001</v>
      </c>
      <c r="I325" s="1">
        <v>0.17899999999999999</v>
      </c>
      <c r="J325">
        <v>40</v>
      </c>
      <c r="K325">
        <v>4.37</v>
      </c>
      <c r="L325">
        <v>492</v>
      </c>
      <c r="M325">
        <v>950</v>
      </c>
      <c r="N325">
        <v>1442</v>
      </c>
      <c r="O325" s="1">
        <v>0.45900000000000002</v>
      </c>
      <c r="P325" s="1">
        <v>0.32600000000000001</v>
      </c>
      <c r="Q325" s="1">
        <v>0.215</v>
      </c>
      <c r="R325" s="1">
        <v>0.185</v>
      </c>
      <c r="S325" s="1">
        <v>0.41599999999999998</v>
      </c>
      <c r="T325" s="1">
        <v>0.39900000000000002</v>
      </c>
      <c r="U325">
        <v>16933</v>
      </c>
    </row>
    <row r="326" spans="1:21" x14ac:dyDescent="0.3">
      <c r="A326" t="s">
        <v>301</v>
      </c>
      <c r="B326" t="s">
        <v>56</v>
      </c>
      <c r="C326">
        <v>0.28000000000000003</v>
      </c>
      <c r="D326">
        <v>0.68</v>
      </c>
      <c r="E326" s="1">
        <v>0.23200000000000001</v>
      </c>
      <c r="F326" s="1">
        <v>0.312</v>
      </c>
      <c r="G326" s="1">
        <v>0.45600000000000002</v>
      </c>
      <c r="H326" s="1">
        <v>0.124</v>
      </c>
      <c r="I326" s="1">
        <v>0.13700000000000001</v>
      </c>
      <c r="J326">
        <v>75</v>
      </c>
      <c r="K326">
        <v>6.17</v>
      </c>
      <c r="L326">
        <v>616</v>
      </c>
      <c r="M326">
        <v>1178</v>
      </c>
      <c r="N326">
        <v>1794</v>
      </c>
      <c r="O326" s="1">
        <v>0.38100000000000001</v>
      </c>
      <c r="P326" s="1">
        <v>0.32800000000000001</v>
      </c>
      <c r="Q326" s="1">
        <v>0.29099999999999998</v>
      </c>
      <c r="R326" s="1">
        <v>0.18099999999999999</v>
      </c>
      <c r="S326" s="1">
        <v>0.45800000000000002</v>
      </c>
      <c r="T326" s="1">
        <v>0.36199999999999999</v>
      </c>
      <c r="U326">
        <v>15846</v>
      </c>
    </row>
    <row r="327" spans="1:21" x14ac:dyDescent="0.3">
      <c r="A327" t="s">
        <v>300</v>
      </c>
      <c r="B327" t="s">
        <v>38</v>
      </c>
      <c r="C327">
        <v>0.28599999999999998</v>
      </c>
      <c r="D327">
        <v>0.68</v>
      </c>
      <c r="E327" s="1">
        <v>0.214</v>
      </c>
      <c r="F327" s="1">
        <v>0.318</v>
      </c>
      <c r="G327" s="1">
        <v>0.46800000000000003</v>
      </c>
      <c r="H327" s="1">
        <v>0.125</v>
      </c>
      <c r="I327" s="1">
        <v>0.125</v>
      </c>
      <c r="J327">
        <v>34</v>
      </c>
      <c r="K327">
        <v>5.5</v>
      </c>
      <c r="L327">
        <v>334</v>
      </c>
      <c r="M327">
        <v>644</v>
      </c>
      <c r="N327">
        <v>978</v>
      </c>
      <c r="O327" s="1">
        <v>0.436</v>
      </c>
      <c r="P327" s="1">
        <v>0.38500000000000001</v>
      </c>
      <c r="Q327" s="1">
        <v>0.17899999999999999</v>
      </c>
      <c r="R327" s="1">
        <v>0.186</v>
      </c>
      <c r="S327" s="1">
        <v>0.42299999999999999</v>
      </c>
      <c r="T327" s="1">
        <v>0.39100000000000001</v>
      </c>
      <c r="U327">
        <v>5615</v>
      </c>
    </row>
    <row r="328" spans="1:21" x14ac:dyDescent="0.3">
      <c r="A328" t="s">
        <v>217</v>
      </c>
      <c r="B328" t="s">
        <v>89</v>
      </c>
      <c r="C328">
        <v>0.316</v>
      </c>
      <c r="D328">
        <v>0.68</v>
      </c>
      <c r="E328" s="1">
        <v>0.26200000000000001</v>
      </c>
      <c r="F328" s="1">
        <v>0.29899999999999999</v>
      </c>
      <c r="G328" s="1">
        <v>0.439</v>
      </c>
      <c r="H328" s="1">
        <v>0.16700000000000001</v>
      </c>
      <c r="I328" s="1">
        <v>0.16700000000000001</v>
      </c>
      <c r="J328">
        <v>10</v>
      </c>
      <c r="K328">
        <v>1.34</v>
      </c>
      <c r="L328">
        <v>394</v>
      </c>
      <c r="M328">
        <v>739</v>
      </c>
      <c r="N328">
        <v>1133</v>
      </c>
      <c r="O328" s="1">
        <v>0.377</v>
      </c>
      <c r="P328" s="1">
        <v>0.317</v>
      </c>
      <c r="Q328" s="1">
        <v>0.30499999999999999</v>
      </c>
      <c r="R328" s="1">
        <v>0.22800000000000001</v>
      </c>
      <c r="S328" s="1">
        <v>0.38300000000000001</v>
      </c>
      <c r="T328" s="1">
        <v>0.38900000000000001</v>
      </c>
      <c r="U328">
        <v>17130</v>
      </c>
    </row>
    <row r="329" spans="1:21" x14ac:dyDescent="0.3">
      <c r="A329" t="s">
        <v>358</v>
      </c>
      <c r="B329" t="s">
        <v>48</v>
      </c>
      <c r="C329">
        <v>0.34699999999999998</v>
      </c>
      <c r="D329">
        <v>0.65</v>
      </c>
      <c r="E329" s="1">
        <v>0.254</v>
      </c>
      <c r="F329" s="1">
        <v>0.29499999999999998</v>
      </c>
      <c r="G329" s="1">
        <v>0.45100000000000001</v>
      </c>
      <c r="H329" s="1">
        <v>0.128</v>
      </c>
      <c r="I329" s="1">
        <v>0.10299999999999999</v>
      </c>
      <c r="J329">
        <v>17</v>
      </c>
      <c r="K329">
        <v>2.64</v>
      </c>
      <c r="L329">
        <v>428</v>
      </c>
      <c r="M329">
        <v>704</v>
      </c>
      <c r="N329">
        <v>1132</v>
      </c>
      <c r="O329" s="1">
        <v>0.33700000000000002</v>
      </c>
      <c r="P329" s="1">
        <v>0.34300000000000003</v>
      </c>
      <c r="Q329" s="1">
        <v>0.32</v>
      </c>
      <c r="R329" s="1">
        <v>0.17699999999999999</v>
      </c>
      <c r="S329" s="1">
        <v>0.45100000000000001</v>
      </c>
      <c r="T329" s="1">
        <v>0.371</v>
      </c>
      <c r="U329">
        <v>12857</v>
      </c>
    </row>
    <row r="330" spans="1:21" x14ac:dyDescent="0.3">
      <c r="A330" t="s">
        <v>33</v>
      </c>
      <c r="B330" t="s">
        <v>34</v>
      </c>
      <c r="C330">
        <v>0.311</v>
      </c>
      <c r="D330">
        <v>0.63</v>
      </c>
      <c r="E330" s="1">
        <v>0.192</v>
      </c>
      <c r="F330" s="1">
        <v>0.313</v>
      </c>
      <c r="G330" s="1">
        <v>0.495</v>
      </c>
      <c r="H330" s="1">
        <v>0.111</v>
      </c>
      <c r="I330" s="1">
        <v>5.6000000000000001E-2</v>
      </c>
      <c r="J330">
        <v>24</v>
      </c>
      <c r="K330">
        <v>2.54</v>
      </c>
      <c r="L330">
        <v>458</v>
      </c>
      <c r="M330">
        <v>896</v>
      </c>
      <c r="N330">
        <v>1354</v>
      </c>
      <c r="O330" s="1">
        <v>0.26500000000000001</v>
      </c>
      <c r="P330" s="1">
        <v>0.4</v>
      </c>
      <c r="Q330" s="1">
        <v>0.33500000000000002</v>
      </c>
      <c r="R330" s="1">
        <v>0.184</v>
      </c>
      <c r="S330" s="1">
        <v>0.443</v>
      </c>
      <c r="T330" s="1">
        <v>0.373</v>
      </c>
      <c r="U330">
        <v>3548</v>
      </c>
    </row>
    <row r="331" spans="1:21" x14ac:dyDescent="0.3">
      <c r="A331" t="s">
        <v>116</v>
      </c>
      <c r="B331" t="s">
        <v>56</v>
      </c>
      <c r="C331">
        <v>0.36199999999999999</v>
      </c>
      <c r="D331">
        <v>0.63</v>
      </c>
      <c r="E331" s="1">
        <v>0.311</v>
      </c>
      <c r="F331" s="1">
        <v>0.26700000000000002</v>
      </c>
      <c r="G331" s="1">
        <v>0.42199999999999999</v>
      </c>
      <c r="H331" s="1">
        <v>8.7999999999999995E-2</v>
      </c>
      <c r="I331" s="1">
        <v>0.105</v>
      </c>
      <c r="J331">
        <v>14</v>
      </c>
      <c r="K331">
        <v>2.2000000000000002</v>
      </c>
      <c r="L331">
        <v>302</v>
      </c>
      <c r="M331">
        <v>644</v>
      </c>
      <c r="N331">
        <v>946</v>
      </c>
      <c r="O331" s="1">
        <v>0.441</v>
      </c>
      <c r="P331" s="1">
        <v>0.27900000000000003</v>
      </c>
      <c r="Q331" s="1">
        <v>0.27900000000000003</v>
      </c>
      <c r="R331" s="1">
        <v>0.14699999999999999</v>
      </c>
      <c r="S331" s="1">
        <v>0.45600000000000002</v>
      </c>
      <c r="T331" s="1">
        <v>0.39700000000000002</v>
      </c>
      <c r="U331">
        <v>9111</v>
      </c>
    </row>
    <row r="332" spans="1:21" x14ac:dyDescent="0.3">
      <c r="A332" t="s">
        <v>145</v>
      </c>
      <c r="B332" t="s">
        <v>146</v>
      </c>
      <c r="C332">
        <v>0.25600000000000001</v>
      </c>
      <c r="D332">
        <v>0.62</v>
      </c>
      <c r="E332" s="1">
        <v>0.191</v>
      </c>
      <c r="F332" s="1">
        <v>0.309</v>
      </c>
      <c r="G332" s="1">
        <v>0.5</v>
      </c>
      <c r="H332" s="1">
        <v>0.112</v>
      </c>
      <c r="I332" s="1">
        <v>9.9000000000000005E-2</v>
      </c>
      <c r="J332">
        <v>88</v>
      </c>
      <c r="K332">
        <v>5.1100000000000003</v>
      </c>
      <c r="L332">
        <v>1005</v>
      </c>
      <c r="M332">
        <v>1676</v>
      </c>
      <c r="N332">
        <v>2681</v>
      </c>
      <c r="O332" s="1">
        <v>0.39</v>
      </c>
      <c r="P332" s="1">
        <v>0.309</v>
      </c>
      <c r="Q332" s="1">
        <v>0.30099999999999999</v>
      </c>
      <c r="R332" s="1">
        <v>0.16900000000000001</v>
      </c>
      <c r="S332" s="1">
        <v>0.55300000000000005</v>
      </c>
      <c r="T332" s="1">
        <v>0.27800000000000002</v>
      </c>
      <c r="U332">
        <v>16269</v>
      </c>
    </row>
    <row r="333" spans="1:21" x14ac:dyDescent="0.3">
      <c r="A333" t="s">
        <v>238</v>
      </c>
      <c r="B333" t="s">
        <v>159</v>
      </c>
      <c r="C333">
        <v>0.31900000000000001</v>
      </c>
      <c r="D333">
        <v>0.61</v>
      </c>
      <c r="E333" s="1">
        <v>0.219</v>
      </c>
      <c r="F333" s="1">
        <v>0.29499999999999998</v>
      </c>
      <c r="G333" s="1">
        <v>0.48599999999999999</v>
      </c>
      <c r="H333" s="1">
        <v>0.127</v>
      </c>
      <c r="I333" s="1">
        <v>0.183</v>
      </c>
      <c r="J333">
        <v>17</v>
      </c>
      <c r="K333">
        <v>2.56</v>
      </c>
      <c r="L333">
        <v>344</v>
      </c>
      <c r="M333">
        <v>712</v>
      </c>
      <c r="N333">
        <v>1056</v>
      </c>
      <c r="O333" s="1">
        <v>0.39200000000000002</v>
      </c>
      <c r="P333" s="1">
        <v>0.372</v>
      </c>
      <c r="Q333" s="1">
        <v>0.23599999999999999</v>
      </c>
      <c r="R333" s="1">
        <v>0.182</v>
      </c>
      <c r="S333" s="1">
        <v>0.45300000000000001</v>
      </c>
      <c r="T333" s="1">
        <v>0.36499999999999999</v>
      </c>
      <c r="U333">
        <v>15761</v>
      </c>
    </row>
    <row r="334" spans="1:21" x14ac:dyDescent="0.3">
      <c r="A334" t="s">
        <v>79</v>
      </c>
      <c r="B334" t="s">
        <v>34</v>
      </c>
      <c r="C334">
        <v>0.21299999999999999</v>
      </c>
      <c r="D334">
        <v>0.61</v>
      </c>
      <c r="E334" s="1">
        <v>0.20799999999999999</v>
      </c>
      <c r="F334" s="1">
        <v>0.29899999999999999</v>
      </c>
      <c r="G334" s="1">
        <v>0.49299999999999999</v>
      </c>
      <c r="H334" s="1">
        <v>0.11</v>
      </c>
      <c r="I334" s="1">
        <v>0.10100000000000001</v>
      </c>
      <c r="J334">
        <v>36</v>
      </c>
      <c r="K334">
        <v>3.9</v>
      </c>
      <c r="L334">
        <v>395</v>
      </c>
      <c r="M334">
        <v>759</v>
      </c>
      <c r="N334">
        <v>1154</v>
      </c>
      <c r="O334" s="1">
        <v>0.35699999999999998</v>
      </c>
      <c r="P334" s="1">
        <v>0.41899999999999998</v>
      </c>
      <c r="Q334" s="1">
        <v>0.22500000000000001</v>
      </c>
      <c r="R334" s="1">
        <v>0.159</v>
      </c>
      <c r="S334" s="1">
        <v>0.49299999999999999</v>
      </c>
      <c r="T334" s="1">
        <v>0.34799999999999998</v>
      </c>
      <c r="U334">
        <v>4020</v>
      </c>
    </row>
    <row r="335" spans="1:21" x14ac:dyDescent="0.3">
      <c r="A335" t="s">
        <v>310</v>
      </c>
      <c r="B335" t="s">
        <v>146</v>
      </c>
      <c r="C335">
        <v>0.27800000000000002</v>
      </c>
      <c r="D335">
        <v>0.59</v>
      </c>
      <c r="E335" s="1">
        <v>0.186</v>
      </c>
      <c r="F335" s="1">
        <v>0.30199999999999999</v>
      </c>
      <c r="G335" s="1">
        <v>0.51200000000000001</v>
      </c>
      <c r="H335" s="1">
        <v>0.13700000000000001</v>
      </c>
      <c r="I335" s="1">
        <v>0.13700000000000001</v>
      </c>
      <c r="J335">
        <v>41</v>
      </c>
      <c r="K335">
        <v>4.4800000000000004</v>
      </c>
      <c r="L335">
        <v>539</v>
      </c>
      <c r="M335">
        <v>928</v>
      </c>
      <c r="N335">
        <v>1467</v>
      </c>
      <c r="O335" s="1">
        <v>0.41799999999999998</v>
      </c>
      <c r="P335" s="1">
        <v>0.33200000000000002</v>
      </c>
      <c r="Q335" s="1">
        <v>0.25</v>
      </c>
      <c r="R335" s="1">
        <v>0.18</v>
      </c>
      <c r="S335" s="1">
        <v>0.46300000000000002</v>
      </c>
      <c r="T335" s="1">
        <v>0.35699999999999998</v>
      </c>
      <c r="U335">
        <v>10836</v>
      </c>
    </row>
    <row r="336" spans="1:21" x14ac:dyDescent="0.3">
      <c r="A336" t="s">
        <v>90</v>
      </c>
      <c r="B336" t="s">
        <v>56</v>
      </c>
      <c r="C336">
        <v>0.20399999999999999</v>
      </c>
      <c r="D336">
        <v>0.56000000000000005</v>
      </c>
      <c r="E336" s="1">
        <v>0.125</v>
      </c>
      <c r="F336" s="1">
        <v>0.316</v>
      </c>
      <c r="G336" s="1">
        <v>0.55900000000000005</v>
      </c>
      <c r="H336" s="1">
        <v>0.14099999999999999</v>
      </c>
      <c r="I336" s="1">
        <v>9.4E-2</v>
      </c>
      <c r="J336">
        <v>23</v>
      </c>
      <c r="K336">
        <v>3.34</v>
      </c>
      <c r="L336">
        <v>320</v>
      </c>
      <c r="M336">
        <v>617</v>
      </c>
      <c r="N336">
        <v>937</v>
      </c>
      <c r="O336" s="1">
        <v>0.48399999999999999</v>
      </c>
      <c r="P336" s="1">
        <v>0.245</v>
      </c>
      <c r="Q336" s="1">
        <v>0.27100000000000002</v>
      </c>
      <c r="R336" s="1">
        <v>0.245</v>
      </c>
      <c r="S336" s="1">
        <v>0.44500000000000001</v>
      </c>
      <c r="T336" s="1">
        <v>0.31</v>
      </c>
      <c r="U336">
        <v>5640</v>
      </c>
    </row>
    <row r="337" spans="1:21" x14ac:dyDescent="0.3">
      <c r="A337" t="s">
        <v>144</v>
      </c>
      <c r="B337" t="s">
        <v>50</v>
      </c>
      <c r="C337">
        <v>0.29299999999999998</v>
      </c>
      <c r="D337">
        <v>0.53</v>
      </c>
      <c r="E337" s="1">
        <v>0.22600000000000001</v>
      </c>
      <c r="F337" s="1">
        <v>0.26900000000000002</v>
      </c>
      <c r="G337" s="1">
        <v>0.505</v>
      </c>
      <c r="H337" s="1">
        <v>0.128</v>
      </c>
      <c r="I337" s="1">
        <v>6.4000000000000001E-2</v>
      </c>
      <c r="J337">
        <v>42</v>
      </c>
      <c r="K337">
        <v>5.2</v>
      </c>
      <c r="L337">
        <v>403</v>
      </c>
      <c r="M337">
        <v>814</v>
      </c>
      <c r="N337">
        <v>1217</v>
      </c>
      <c r="O337" s="1">
        <v>0.34799999999999998</v>
      </c>
      <c r="P337" s="1">
        <v>0.316</v>
      </c>
      <c r="Q337" s="1">
        <v>0.33700000000000002</v>
      </c>
      <c r="R337" s="1">
        <v>0.20899999999999999</v>
      </c>
      <c r="S337" s="1">
        <v>0.40600000000000003</v>
      </c>
      <c r="T337" s="1">
        <v>0.38500000000000001</v>
      </c>
      <c r="U337">
        <v>12777</v>
      </c>
    </row>
    <row r="338" spans="1:21" x14ac:dyDescent="0.3">
      <c r="A338" t="s">
        <v>148</v>
      </c>
      <c r="B338" t="s">
        <v>53</v>
      </c>
      <c r="C338">
        <v>0.17100000000000001</v>
      </c>
      <c r="D338">
        <v>0.53</v>
      </c>
      <c r="E338" s="1">
        <v>0.14499999999999999</v>
      </c>
      <c r="F338" s="1">
        <v>0.29599999999999999</v>
      </c>
      <c r="G338" s="1">
        <v>0.56000000000000005</v>
      </c>
      <c r="H338" s="1">
        <v>0.112</v>
      </c>
      <c r="I338" s="1">
        <v>0.16900000000000001</v>
      </c>
      <c r="J338">
        <v>26</v>
      </c>
      <c r="K338">
        <v>3.75</v>
      </c>
      <c r="L338">
        <v>342</v>
      </c>
      <c r="M338">
        <v>656</v>
      </c>
      <c r="N338">
        <v>998</v>
      </c>
      <c r="O338" s="1">
        <v>0.39800000000000002</v>
      </c>
      <c r="P338" s="1">
        <v>0.28599999999999998</v>
      </c>
      <c r="Q338" s="1">
        <v>0.317</v>
      </c>
      <c r="R338" s="1">
        <v>0.186</v>
      </c>
      <c r="S338" s="1">
        <v>0.435</v>
      </c>
      <c r="T338" s="1">
        <v>0.379</v>
      </c>
      <c r="U338">
        <v>12095</v>
      </c>
    </row>
    <row r="339" spans="1:21" x14ac:dyDescent="0.3">
      <c r="A339" t="s">
        <v>256</v>
      </c>
      <c r="B339" t="s">
        <v>102</v>
      </c>
      <c r="C339">
        <v>0.251</v>
      </c>
      <c r="D339">
        <v>0.5</v>
      </c>
      <c r="E339" s="1">
        <v>0.214</v>
      </c>
      <c r="F339" s="1">
        <v>0.26100000000000001</v>
      </c>
      <c r="G339" s="1">
        <v>0.52500000000000002</v>
      </c>
      <c r="H339" s="1">
        <v>0.13300000000000001</v>
      </c>
      <c r="I339" s="1">
        <v>0.156</v>
      </c>
      <c r="J339">
        <v>88</v>
      </c>
      <c r="K339">
        <v>5.17</v>
      </c>
      <c r="L339">
        <v>941</v>
      </c>
      <c r="M339">
        <v>1720</v>
      </c>
      <c r="N339">
        <v>2661</v>
      </c>
      <c r="O339" s="1">
        <v>0.4</v>
      </c>
      <c r="P339" s="1">
        <v>0.318</v>
      </c>
      <c r="Q339" s="1">
        <v>0.28199999999999997</v>
      </c>
      <c r="R339" s="1">
        <v>0.16700000000000001</v>
      </c>
      <c r="S339" s="1">
        <v>0.45900000000000002</v>
      </c>
      <c r="T339" s="1">
        <v>0.374</v>
      </c>
      <c r="U339">
        <v>14875</v>
      </c>
    </row>
    <row r="340" spans="1:21" x14ac:dyDescent="0.3">
      <c r="A340" t="s">
        <v>202</v>
      </c>
      <c r="B340" t="s">
        <v>93</v>
      </c>
      <c r="C340">
        <v>0.313</v>
      </c>
      <c r="D340">
        <v>0.45</v>
      </c>
      <c r="E340" s="1">
        <v>0.19</v>
      </c>
      <c r="F340" s="1">
        <v>0.253</v>
      </c>
      <c r="G340" s="1">
        <v>0.55700000000000005</v>
      </c>
      <c r="H340" s="1">
        <v>0.155</v>
      </c>
      <c r="I340" s="1">
        <v>0.113</v>
      </c>
      <c r="J340">
        <v>17</v>
      </c>
      <c r="K340">
        <v>2.5499999999999998</v>
      </c>
      <c r="L340">
        <v>325</v>
      </c>
      <c r="M340">
        <v>750</v>
      </c>
      <c r="N340">
        <v>1075</v>
      </c>
      <c r="O340" s="1">
        <v>0.28799999999999998</v>
      </c>
      <c r="P340" s="1">
        <v>0.34499999999999997</v>
      </c>
      <c r="Q340" s="1">
        <v>0.36699999999999999</v>
      </c>
      <c r="R340" s="1">
        <v>0.19800000000000001</v>
      </c>
      <c r="S340" s="1">
        <v>0.42399999999999999</v>
      </c>
      <c r="T340" s="1">
        <v>0.379</v>
      </c>
      <c r="U340">
        <v>1581</v>
      </c>
    </row>
    <row r="341" spans="1:21" x14ac:dyDescent="0.3">
      <c r="A341" t="s">
        <v>70</v>
      </c>
      <c r="B341" t="s">
        <v>71</v>
      </c>
      <c r="C341">
        <v>0.23200000000000001</v>
      </c>
      <c r="D341">
        <v>0.4</v>
      </c>
      <c r="E341" s="1">
        <v>0.22800000000000001</v>
      </c>
      <c r="F341" s="1">
        <v>0.22</v>
      </c>
      <c r="G341" s="1">
        <v>0.55100000000000005</v>
      </c>
      <c r="H341" s="1">
        <v>0.214</v>
      </c>
      <c r="I341" s="1">
        <v>0.214</v>
      </c>
      <c r="J341">
        <v>23</v>
      </c>
      <c r="K341">
        <v>2.74</v>
      </c>
      <c r="L341">
        <v>361</v>
      </c>
      <c r="M341">
        <v>820</v>
      </c>
      <c r="N341">
        <v>1181</v>
      </c>
      <c r="O341" s="1">
        <v>0.315</v>
      </c>
      <c r="P341" s="1">
        <v>0.33100000000000002</v>
      </c>
      <c r="Q341" s="1">
        <v>0.35399999999999998</v>
      </c>
      <c r="R341" s="1">
        <v>0.21299999999999999</v>
      </c>
      <c r="S341" s="1">
        <v>0.42499999999999999</v>
      </c>
      <c r="T341" s="1">
        <v>0.36199999999999999</v>
      </c>
      <c r="U341">
        <v>14212</v>
      </c>
    </row>
    <row r="342" spans="1:21" x14ac:dyDescent="0.3">
      <c r="A342" t="s">
        <v>282</v>
      </c>
      <c r="B342" t="s">
        <v>32</v>
      </c>
      <c r="C342">
        <v>0.23499999999999999</v>
      </c>
      <c r="D342">
        <v>0.28999999999999998</v>
      </c>
      <c r="E342" s="1">
        <v>0.193</v>
      </c>
      <c r="F342" s="1">
        <v>0.183</v>
      </c>
      <c r="G342" s="1">
        <v>0.624</v>
      </c>
      <c r="H342" s="1">
        <v>0.16200000000000001</v>
      </c>
      <c r="I342" s="1">
        <v>0.13200000000000001</v>
      </c>
      <c r="J342">
        <v>20</v>
      </c>
      <c r="K342">
        <v>3.48</v>
      </c>
      <c r="L342">
        <v>287</v>
      </c>
      <c r="M342">
        <v>583</v>
      </c>
      <c r="N342">
        <v>870</v>
      </c>
      <c r="O342" s="1">
        <v>0.26100000000000001</v>
      </c>
      <c r="P342" s="1">
        <v>0.32400000000000001</v>
      </c>
      <c r="Q342" s="1">
        <v>0.41399999999999998</v>
      </c>
      <c r="R342" s="1">
        <v>0.18</v>
      </c>
      <c r="S342" s="1">
        <v>0.41399999999999998</v>
      </c>
      <c r="T342" s="1">
        <v>0.40500000000000003</v>
      </c>
      <c r="U342">
        <v>19403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Q342"/>
  <sheetViews>
    <sheetView workbookViewId="0">
      <selection sqref="A1:A1048576"/>
    </sheetView>
  </sheetViews>
  <sheetFormatPr defaultRowHeight="14.4" x14ac:dyDescent="0.3"/>
  <sheetData>
    <row r="1" spans="1:17" x14ac:dyDescent="0.3">
      <c r="A1" t="s">
        <v>0</v>
      </c>
      <c r="B1" t="s">
        <v>1</v>
      </c>
      <c r="C1" t="s">
        <v>437</v>
      </c>
      <c r="D1" t="s">
        <v>436</v>
      </c>
      <c r="E1" t="s">
        <v>435</v>
      </c>
      <c r="F1" t="s">
        <v>434</v>
      </c>
      <c r="G1" t="s">
        <v>433</v>
      </c>
      <c r="H1" t="s">
        <v>432</v>
      </c>
      <c r="I1" t="s">
        <v>431</v>
      </c>
      <c r="J1" t="s">
        <v>430</v>
      </c>
      <c r="K1" t="s">
        <v>429</v>
      </c>
      <c r="L1" t="s">
        <v>428</v>
      </c>
      <c r="M1" t="s">
        <v>427</v>
      </c>
      <c r="N1" t="s">
        <v>426</v>
      </c>
      <c r="O1" t="s">
        <v>425</v>
      </c>
      <c r="P1" t="s">
        <v>424</v>
      </c>
      <c r="Q1" t="s">
        <v>24</v>
      </c>
    </row>
    <row r="2" spans="1:17" x14ac:dyDescent="0.3">
      <c r="A2" t="s">
        <v>67</v>
      </c>
      <c r="B2" t="s">
        <v>28</v>
      </c>
      <c r="C2">
        <v>37.1</v>
      </c>
      <c r="D2">
        <v>13.6</v>
      </c>
      <c r="F2">
        <v>0</v>
      </c>
      <c r="G2">
        <v>0.4</v>
      </c>
      <c r="J2">
        <v>2.0499999999999998</v>
      </c>
      <c r="K2">
        <v>1.75</v>
      </c>
      <c r="M2">
        <v>0</v>
      </c>
      <c r="N2">
        <v>0.16</v>
      </c>
      <c r="Q2">
        <v>13125</v>
      </c>
    </row>
    <row r="3" spans="1:17" x14ac:dyDescent="0.3">
      <c r="A3" t="s">
        <v>81</v>
      </c>
      <c r="B3" t="s">
        <v>50</v>
      </c>
      <c r="C3">
        <v>32.799999999999997</v>
      </c>
      <c r="D3">
        <v>16.7</v>
      </c>
      <c r="F3">
        <v>-2</v>
      </c>
      <c r="G3">
        <v>-2.5</v>
      </c>
      <c r="J3">
        <v>1.77</v>
      </c>
      <c r="K3">
        <v>1.91</v>
      </c>
      <c r="M3">
        <v>-0.51</v>
      </c>
      <c r="N3">
        <v>-3.53</v>
      </c>
      <c r="Q3">
        <v>17479</v>
      </c>
    </row>
    <row r="4" spans="1:17" x14ac:dyDescent="0.3">
      <c r="A4" t="s">
        <v>149</v>
      </c>
      <c r="B4" t="s">
        <v>71</v>
      </c>
      <c r="C4">
        <v>25</v>
      </c>
      <c r="D4">
        <v>1.3</v>
      </c>
      <c r="F4">
        <v>-1.4</v>
      </c>
      <c r="G4">
        <v>-3.2</v>
      </c>
      <c r="J4">
        <v>1.97</v>
      </c>
      <c r="K4">
        <v>0.35</v>
      </c>
      <c r="M4">
        <v>-3.09</v>
      </c>
      <c r="N4">
        <v>-1.1499999999999999</v>
      </c>
      <c r="Q4">
        <v>16162</v>
      </c>
    </row>
    <row r="5" spans="1:17" x14ac:dyDescent="0.3">
      <c r="A5" t="s">
        <v>112</v>
      </c>
      <c r="B5" t="s">
        <v>53</v>
      </c>
      <c r="C5">
        <v>24.4</v>
      </c>
      <c r="D5">
        <v>3.6</v>
      </c>
      <c r="E5">
        <v>2.7</v>
      </c>
      <c r="F5">
        <v>-2.9</v>
      </c>
      <c r="G5">
        <v>-1.3</v>
      </c>
      <c r="J5">
        <v>1.43</v>
      </c>
      <c r="K5">
        <v>0.9</v>
      </c>
      <c r="L5">
        <v>0.73</v>
      </c>
      <c r="M5">
        <v>-0.85</v>
      </c>
      <c r="N5">
        <v>-8.6199999999999992</v>
      </c>
      <c r="Q5">
        <v>19374</v>
      </c>
    </row>
    <row r="6" spans="1:17" x14ac:dyDescent="0.3">
      <c r="A6" t="s">
        <v>174</v>
      </c>
      <c r="B6" t="s">
        <v>75</v>
      </c>
      <c r="C6">
        <v>21.1</v>
      </c>
      <c r="D6">
        <v>-12.4</v>
      </c>
      <c r="F6">
        <v>-3.3</v>
      </c>
      <c r="G6">
        <v>2.5</v>
      </c>
      <c r="J6">
        <v>1.0900000000000001</v>
      </c>
      <c r="K6">
        <v>-1.94</v>
      </c>
      <c r="M6">
        <v>-1.67</v>
      </c>
      <c r="N6">
        <v>0.93</v>
      </c>
      <c r="Q6">
        <v>6797</v>
      </c>
    </row>
    <row r="7" spans="1:17" x14ac:dyDescent="0.3">
      <c r="A7" t="s">
        <v>135</v>
      </c>
      <c r="B7" t="s">
        <v>66</v>
      </c>
      <c r="C7">
        <v>20.8</v>
      </c>
      <c r="D7">
        <v>2.5</v>
      </c>
      <c r="E7">
        <v>0.9</v>
      </c>
      <c r="F7">
        <v>-3.5</v>
      </c>
      <c r="G7">
        <v>-1.5</v>
      </c>
      <c r="J7">
        <v>1.29</v>
      </c>
      <c r="K7">
        <v>0.64</v>
      </c>
      <c r="L7">
        <v>0.7</v>
      </c>
      <c r="M7">
        <v>-1.93</v>
      </c>
      <c r="N7">
        <v>-0.31</v>
      </c>
      <c r="Q7">
        <v>6397</v>
      </c>
    </row>
    <row r="8" spans="1:17" x14ac:dyDescent="0.3">
      <c r="A8" t="s">
        <v>78</v>
      </c>
      <c r="B8" t="s">
        <v>58</v>
      </c>
      <c r="C8">
        <v>20.8</v>
      </c>
      <c r="D8">
        <v>-2.8</v>
      </c>
      <c r="F8">
        <v>1.4</v>
      </c>
      <c r="G8">
        <v>-0.3</v>
      </c>
      <c r="J8">
        <v>2.87</v>
      </c>
      <c r="K8">
        <v>-1.67</v>
      </c>
      <c r="M8">
        <v>0.45</v>
      </c>
      <c r="N8">
        <v>-0.33</v>
      </c>
      <c r="Q8">
        <v>12447</v>
      </c>
    </row>
    <row r="9" spans="1:17" x14ac:dyDescent="0.3">
      <c r="A9" t="s">
        <v>129</v>
      </c>
      <c r="B9" t="s">
        <v>43</v>
      </c>
      <c r="C9">
        <v>20.6</v>
      </c>
      <c r="D9">
        <v>2</v>
      </c>
      <c r="F9">
        <v>-4.4000000000000004</v>
      </c>
      <c r="G9">
        <v>15</v>
      </c>
      <c r="J9">
        <v>1.33</v>
      </c>
      <c r="K9">
        <v>0.49</v>
      </c>
      <c r="M9">
        <v>-3.8</v>
      </c>
      <c r="N9">
        <v>2.04</v>
      </c>
      <c r="Q9">
        <v>15474</v>
      </c>
    </row>
    <row r="10" spans="1:17" x14ac:dyDescent="0.3">
      <c r="A10" t="s">
        <v>152</v>
      </c>
      <c r="B10" t="s">
        <v>143</v>
      </c>
      <c r="C10">
        <v>20.399999999999999</v>
      </c>
      <c r="D10">
        <v>4.4000000000000004</v>
      </c>
      <c r="F10">
        <v>-1.4</v>
      </c>
      <c r="G10">
        <v>-2</v>
      </c>
      <c r="H10">
        <v>-1.2</v>
      </c>
      <c r="J10">
        <v>0.81</v>
      </c>
      <c r="K10">
        <v>0.77</v>
      </c>
      <c r="M10">
        <v>-0.41</v>
      </c>
      <c r="N10">
        <v>-4.4800000000000004</v>
      </c>
      <c r="O10">
        <v>-1.86</v>
      </c>
      <c r="Q10">
        <v>2520</v>
      </c>
    </row>
    <row r="11" spans="1:17" x14ac:dyDescent="0.3">
      <c r="A11" t="s">
        <v>80</v>
      </c>
      <c r="B11" t="s">
        <v>56</v>
      </c>
      <c r="C11">
        <v>19.5</v>
      </c>
      <c r="D11">
        <v>9.3000000000000007</v>
      </c>
      <c r="F11">
        <v>-1.7</v>
      </c>
      <c r="G11">
        <v>-1.7</v>
      </c>
      <c r="J11">
        <v>1.82</v>
      </c>
      <c r="K11">
        <v>1.74</v>
      </c>
      <c r="M11">
        <v>-0.67</v>
      </c>
      <c r="N11">
        <v>-0.73</v>
      </c>
      <c r="Q11">
        <v>12808</v>
      </c>
    </row>
    <row r="12" spans="1:17" x14ac:dyDescent="0.3">
      <c r="A12" t="s">
        <v>74</v>
      </c>
      <c r="B12" t="s">
        <v>75</v>
      </c>
      <c r="C12">
        <v>18.7</v>
      </c>
      <c r="D12">
        <v>8.6999999999999993</v>
      </c>
      <c r="G12">
        <v>5.6</v>
      </c>
      <c r="J12">
        <v>1.1499999999999999</v>
      </c>
      <c r="K12">
        <v>1.41</v>
      </c>
      <c r="N12">
        <v>1.79</v>
      </c>
      <c r="Q12">
        <v>18383</v>
      </c>
    </row>
    <row r="13" spans="1:17" x14ac:dyDescent="0.3">
      <c r="A13" t="s">
        <v>172</v>
      </c>
      <c r="B13" t="s">
        <v>34</v>
      </c>
      <c r="C13">
        <v>18.5</v>
      </c>
      <c r="D13">
        <v>-7.4</v>
      </c>
      <c r="F13">
        <v>-6.4</v>
      </c>
      <c r="G13">
        <v>2.4</v>
      </c>
      <c r="J13">
        <v>1.18</v>
      </c>
      <c r="K13">
        <v>-2.1800000000000002</v>
      </c>
      <c r="M13">
        <v>-2.02</v>
      </c>
      <c r="N13">
        <v>1.18</v>
      </c>
      <c r="Q13">
        <v>12304</v>
      </c>
    </row>
    <row r="14" spans="1:17" x14ac:dyDescent="0.3">
      <c r="A14" t="s">
        <v>42</v>
      </c>
      <c r="B14" t="s">
        <v>43</v>
      </c>
      <c r="C14">
        <v>17.8</v>
      </c>
      <c r="D14">
        <v>1.6</v>
      </c>
      <c r="E14">
        <v>4</v>
      </c>
      <c r="G14">
        <v>0.1</v>
      </c>
      <c r="J14">
        <v>2.25</v>
      </c>
      <c r="K14">
        <v>2.31</v>
      </c>
      <c r="L14">
        <v>2.3199999999999998</v>
      </c>
      <c r="N14">
        <v>2.96</v>
      </c>
      <c r="Q14">
        <v>16258</v>
      </c>
    </row>
    <row r="15" spans="1:17" x14ac:dyDescent="0.3">
      <c r="A15" t="s">
        <v>99</v>
      </c>
      <c r="B15" t="s">
        <v>66</v>
      </c>
      <c r="C15">
        <v>17.399999999999999</v>
      </c>
      <c r="D15">
        <v>-0.1</v>
      </c>
      <c r="F15">
        <v>-6.3</v>
      </c>
      <c r="G15">
        <v>2.2000000000000002</v>
      </c>
      <c r="J15">
        <v>2.38</v>
      </c>
      <c r="K15">
        <v>-7.0000000000000007E-2</v>
      </c>
      <c r="M15">
        <v>-4.75</v>
      </c>
      <c r="N15">
        <v>1.86</v>
      </c>
      <c r="Q15">
        <v>6398</v>
      </c>
    </row>
    <row r="16" spans="1:17" x14ac:dyDescent="0.3">
      <c r="A16" t="s">
        <v>57</v>
      </c>
      <c r="B16" t="s">
        <v>58</v>
      </c>
      <c r="C16">
        <v>16.8</v>
      </c>
      <c r="D16">
        <v>20.5</v>
      </c>
      <c r="F16">
        <v>0.6</v>
      </c>
      <c r="G16">
        <v>11.3</v>
      </c>
      <c r="J16">
        <v>1.03</v>
      </c>
      <c r="K16">
        <v>1.97</v>
      </c>
      <c r="M16">
        <v>0.57999999999999996</v>
      </c>
      <c r="N16">
        <v>2.15</v>
      </c>
      <c r="Q16">
        <v>10954</v>
      </c>
    </row>
    <row r="17" spans="1:17" x14ac:dyDescent="0.3">
      <c r="A17" t="s">
        <v>92</v>
      </c>
      <c r="B17" t="s">
        <v>93</v>
      </c>
      <c r="C17">
        <v>16.3</v>
      </c>
      <c r="D17">
        <v>22.9</v>
      </c>
      <c r="E17">
        <v>-5.8</v>
      </c>
      <c r="F17">
        <v>0.6</v>
      </c>
      <c r="G17">
        <v>-3.7</v>
      </c>
      <c r="J17">
        <v>1.22</v>
      </c>
      <c r="K17">
        <v>4.03</v>
      </c>
      <c r="L17">
        <v>-2.61</v>
      </c>
      <c r="M17">
        <v>0.27</v>
      </c>
      <c r="N17">
        <v>-0.93</v>
      </c>
      <c r="Q17">
        <v>3137</v>
      </c>
    </row>
    <row r="18" spans="1:17" x14ac:dyDescent="0.3">
      <c r="A18" t="s">
        <v>126</v>
      </c>
      <c r="B18" t="s">
        <v>127</v>
      </c>
      <c r="C18">
        <v>16.2</v>
      </c>
      <c r="E18">
        <v>-3.1</v>
      </c>
      <c r="F18">
        <v>-3.5</v>
      </c>
      <c r="G18">
        <v>-0.2</v>
      </c>
      <c r="J18">
        <v>2.1800000000000002</v>
      </c>
      <c r="L18">
        <v>-1.85</v>
      </c>
      <c r="M18">
        <v>-2.09</v>
      </c>
      <c r="N18">
        <v>-1.31</v>
      </c>
      <c r="Q18">
        <v>6986</v>
      </c>
    </row>
    <row r="19" spans="1:17" x14ac:dyDescent="0.3">
      <c r="A19" t="s">
        <v>63</v>
      </c>
      <c r="B19" t="s">
        <v>53</v>
      </c>
      <c r="C19">
        <v>15.7</v>
      </c>
      <c r="D19">
        <v>1.4</v>
      </c>
      <c r="F19">
        <v>-2.7</v>
      </c>
      <c r="G19">
        <v>0.5</v>
      </c>
      <c r="J19">
        <v>1.94</v>
      </c>
      <c r="K19">
        <v>0.62</v>
      </c>
      <c r="M19">
        <v>-3.3</v>
      </c>
      <c r="N19">
        <v>0.24</v>
      </c>
      <c r="Q19">
        <v>14765</v>
      </c>
    </row>
    <row r="20" spans="1:17" x14ac:dyDescent="0.3">
      <c r="A20" t="s">
        <v>243</v>
      </c>
      <c r="B20" t="s">
        <v>83</v>
      </c>
      <c r="C20">
        <v>14.3</v>
      </c>
      <c r="D20">
        <v>-1</v>
      </c>
      <c r="F20">
        <v>-3</v>
      </c>
      <c r="G20">
        <v>0.5</v>
      </c>
      <c r="J20">
        <v>2.0299999999999998</v>
      </c>
      <c r="K20">
        <v>-6.9</v>
      </c>
      <c r="M20">
        <v>-1.88</v>
      </c>
      <c r="N20">
        <v>1.46</v>
      </c>
      <c r="Q20">
        <v>15046</v>
      </c>
    </row>
    <row r="21" spans="1:17" x14ac:dyDescent="0.3">
      <c r="A21" t="s">
        <v>31</v>
      </c>
      <c r="B21" t="s">
        <v>32</v>
      </c>
      <c r="C21">
        <v>14.2</v>
      </c>
      <c r="F21">
        <v>3.4</v>
      </c>
      <c r="G21">
        <v>1.7</v>
      </c>
      <c r="J21">
        <v>2.34</v>
      </c>
      <c r="M21">
        <v>1.3</v>
      </c>
      <c r="N21">
        <v>5.32</v>
      </c>
      <c r="Q21">
        <v>14374</v>
      </c>
    </row>
    <row r="22" spans="1:17" x14ac:dyDescent="0.3">
      <c r="A22" t="s">
        <v>156</v>
      </c>
      <c r="B22" t="s">
        <v>71</v>
      </c>
      <c r="C22">
        <v>14</v>
      </c>
      <c r="D22">
        <v>-3.5</v>
      </c>
      <c r="F22">
        <v>-1.4</v>
      </c>
      <c r="G22">
        <v>-1.9</v>
      </c>
      <c r="J22">
        <v>1.1499999999999999</v>
      </c>
      <c r="K22">
        <v>-1.64</v>
      </c>
      <c r="M22">
        <v>-0.54</v>
      </c>
      <c r="N22">
        <v>-1.53</v>
      </c>
      <c r="Q22">
        <v>12718</v>
      </c>
    </row>
    <row r="23" spans="1:17" x14ac:dyDescent="0.3">
      <c r="A23" t="s">
        <v>120</v>
      </c>
      <c r="B23" t="s">
        <v>26</v>
      </c>
      <c r="C23">
        <v>13.7</v>
      </c>
      <c r="F23">
        <v>-0.8</v>
      </c>
      <c r="G23">
        <v>7.9</v>
      </c>
      <c r="J23">
        <v>0.99</v>
      </c>
      <c r="M23">
        <v>-0.33</v>
      </c>
      <c r="N23">
        <v>1.22</v>
      </c>
      <c r="Q23">
        <v>20099</v>
      </c>
    </row>
    <row r="24" spans="1:17" x14ac:dyDescent="0.3">
      <c r="A24" t="s">
        <v>70</v>
      </c>
      <c r="B24" t="s">
        <v>71</v>
      </c>
      <c r="C24">
        <v>13.6</v>
      </c>
      <c r="D24">
        <v>6.4</v>
      </c>
      <c r="G24">
        <v>-0.1</v>
      </c>
      <c r="J24">
        <v>1.37</v>
      </c>
      <c r="K24">
        <v>3.54</v>
      </c>
      <c r="N24">
        <v>-2.2400000000000002</v>
      </c>
      <c r="Q24">
        <v>14212</v>
      </c>
    </row>
    <row r="25" spans="1:17" x14ac:dyDescent="0.3">
      <c r="A25" t="s">
        <v>41</v>
      </c>
      <c r="B25" t="s">
        <v>40</v>
      </c>
      <c r="C25">
        <v>13.3</v>
      </c>
      <c r="D25">
        <v>4.0999999999999996</v>
      </c>
      <c r="J25">
        <v>1.65</v>
      </c>
      <c r="K25">
        <v>3.22</v>
      </c>
      <c r="Q25">
        <v>3240</v>
      </c>
    </row>
    <row r="26" spans="1:17" x14ac:dyDescent="0.3">
      <c r="A26" t="s">
        <v>33</v>
      </c>
      <c r="B26" t="s">
        <v>34</v>
      </c>
      <c r="C26">
        <v>13.2</v>
      </c>
      <c r="D26">
        <v>9.9</v>
      </c>
      <c r="F26">
        <v>2.6</v>
      </c>
      <c r="G26">
        <v>-0.7</v>
      </c>
      <c r="J26">
        <v>1.38</v>
      </c>
      <c r="K26">
        <v>3.37</v>
      </c>
      <c r="M26">
        <v>2.4300000000000002</v>
      </c>
      <c r="N26">
        <v>-34.89</v>
      </c>
      <c r="Q26">
        <v>3548</v>
      </c>
    </row>
    <row r="27" spans="1:17" x14ac:dyDescent="0.3">
      <c r="A27" t="s">
        <v>96</v>
      </c>
      <c r="B27" t="s">
        <v>48</v>
      </c>
      <c r="C27">
        <v>13</v>
      </c>
      <c r="D27">
        <v>-3.5</v>
      </c>
      <c r="F27">
        <v>16.100000000000001</v>
      </c>
      <c r="G27">
        <v>16.600000000000001</v>
      </c>
      <c r="J27">
        <v>0.9</v>
      </c>
      <c r="K27">
        <v>-0.7</v>
      </c>
      <c r="M27">
        <v>3.35</v>
      </c>
      <c r="N27">
        <v>2.41</v>
      </c>
      <c r="Q27">
        <v>1943</v>
      </c>
    </row>
    <row r="28" spans="1:17" x14ac:dyDescent="0.3">
      <c r="A28" t="s">
        <v>131</v>
      </c>
      <c r="B28" t="s">
        <v>77</v>
      </c>
      <c r="C28">
        <v>13</v>
      </c>
      <c r="F28">
        <v>2.6</v>
      </c>
      <c r="G28">
        <v>-2.5</v>
      </c>
      <c r="J28">
        <v>0.78</v>
      </c>
      <c r="M28">
        <v>0.98</v>
      </c>
      <c r="N28">
        <v>-0.33</v>
      </c>
      <c r="Q28">
        <v>12049</v>
      </c>
    </row>
    <row r="29" spans="1:17" x14ac:dyDescent="0.3">
      <c r="A29" t="s">
        <v>114</v>
      </c>
      <c r="B29" t="s">
        <v>56</v>
      </c>
      <c r="C29">
        <v>12.8</v>
      </c>
      <c r="D29">
        <v>12.8</v>
      </c>
      <c r="F29">
        <v>2.5</v>
      </c>
      <c r="G29">
        <v>-1.7</v>
      </c>
      <c r="J29">
        <v>0.84</v>
      </c>
      <c r="K29">
        <v>1.44</v>
      </c>
      <c r="M29">
        <v>0.37</v>
      </c>
      <c r="N29">
        <v>-0.69</v>
      </c>
      <c r="Q29">
        <v>19427</v>
      </c>
    </row>
    <row r="30" spans="1:17" x14ac:dyDescent="0.3">
      <c r="A30" t="s">
        <v>163</v>
      </c>
      <c r="B30" t="s">
        <v>77</v>
      </c>
      <c r="C30">
        <v>12.8</v>
      </c>
      <c r="E30">
        <v>0.7</v>
      </c>
      <c r="F30">
        <v>-4.3</v>
      </c>
      <c r="G30">
        <v>1.5</v>
      </c>
      <c r="J30">
        <v>1.4</v>
      </c>
      <c r="L30">
        <v>0.54</v>
      </c>
      <c r="M30">
        <v>-2.96</v>
      </c>
      <c r="N30">
        <v>1.59</v>
      </c>
      <c r="Q30">
        <v>4338</v>
      </c>
    </row>
    <row r="31" spans="1:17" x14ac:dyDescent="0.3">
      <c r="A31" t="s">
        <v>51</v>
      </c>
      <c r="B31" t="s">
        <v>32</v>
      </c>
      <c r="C31">
        <v>12.4</v>
      </c>
      <c r="D31">
        <v>5.9</v>
      </c>
      <c r="F31">
        <v>-0.7</v>
      </c>
      <c r="J31">
        <v>1.88</v>
      </c>
      <c r="K31">
        <v>1.5</v>
      </c>
      <c r="M31">
        <v>-3.18</v>
      </c>
      <c r="Q31">
        <v>14771</v>
      </c>
    </row>
    <row r="32" spans="1:17" x14ac:dyDescent="0.3">
      <c r="A32" t="s">
        <v>142</v>
      </c>
      <c r="B32" t="s">
        <v>143</v>
      </c>
      <c r="C32">
        <v>12.3</v>
      </c>
      <c r="D32">
        <v>-10.3</v>
      </c>
      <c r="F32">
        <v>-2.4</v>
      </c>
      <c r="G32">
        <v>22.8</v>
      </c>
      <c r="I32">
        <v>0</v>
      </c>
      <c r="J32">
        <v>0.82</v>
      </c>
      <c r="K32">
        <v>-1.57</v>
      </c>
      <c r="M32">
        <v>-0.62</v>
      </c>
      <c r="N32">
        <v>2.76</v>
      </c>
      <c r="P32">
        <v>-3.89</v>
      </c>
      <c r="Q32">
        <v>10021</v>
      </c>
    </row>
    <row r="33" spans="1:17" x14ac:dyDescent="0.3">
      <c r="A33" t="s">
        <v>68</v>
      </c>
      <c r="B33" t="s">
        <v>28</v>
      </c>
      <c r="C33">
        <v>12.2</v>
      </c>
      <c r="D33">
        <v>34.299999999999997</v>
      </c>
      <c r="F33">
        <v>5.6</v>
      </c>
      <c r="G33">
        <v>2.2999999999999998</v>
      </c>
      <c r="J33">
        <v>0.71</v>
      </c>
      <c r="K33">
        <v>3.5</v>
      </c>
      <c r="M33">
        <v>0.94</v>
      </c>
      <c r="N33">
        <v>1.59</v>
      </c>
      <c r="Q33">
        <v>8700</v>
      </c>
    </row>
    <row r="34" spans="1:17" x14ac:dyDescent="0.3">
      <c r="A34" t="s">
        <v>282</v>
      </c>
      <c r="B34" t="s">
        <v>32</v>
      </c>
      <c r="C34">
        <v>11.8</v>
      </c>
      <c r="D34">
        <v>1.2</v>
      </c>
      <c r="H34">
        <v>-2.7</v>
      </c>
      <c r="J34">
        <v>1.53</v>
      </c>
      <c r="K34">
        <v>1.48</v>
      </c>
      <c r="O34">
        <v>-17.18</v>
      </c>
      <c r="Q34">
        <v>19403</v>
      </c>
    </row>
    <row r="35" spans="1:17" x14ac:dyDescent="0.3">
      <c r="A35" t="s">
        <v>220</v>
      </c>
      <c r="B35" t="s">
        <v>26</v>
      </c>
      <c r="C35">
        <v>11.6</v>
      </c>
      <c r="D35">
        <v>-0.1</v>
      </c>
      <c r="E35">
        <v>-5.4</v>
      </c>
      <c r="F35">
        <v>-1.1000000000000001</v>
      </c>
      <c r="G35">
        <v>6.8</v>
      </c>
      <c r="J35">
        <v>0.86</v>
      </c>
      <c r="K35">
        <v>-2.98</v>
      </c>
      <c r="L35">
        <v>-1.48</v>
      </c>
      <c r="M35">
        <v>-11.17</v>
      </c>
      <c r="N35">
        <v>0.74</v>
      </c>
      <c r="Q35">
        <v>19320</v>
      </c>
    </row>
    <row r="36" spans="1:17" x14ac:dyDescent="0.3">
      <c r="A36" t="s">
        <v>153</v>
      </c>
      <c r="B36" t="s">
        <v>66</v>
      </c>
      <c r="C36">
        <v>11.5</v>
      </c>
      <c r="F36">
        <v>-1.8</v>
      </c>
      <c r="G36">
        <v>0</v>
      </c>
      <c r="J36">
        <v>0.66</v>
      </c>
      <c r="M36">
        <v>-0.2</v>
      </c>
      <c r="N36">
        <v>0.01</v>
      </c>
      <c r="Q36">
        <v>14168</v>
      </c>
    </row>
    <row r="37" spans="1:17" x14ac:dyDescent="0.3">
      <c r="A37" t="s">
        <v>139</v>
      </c>
      <c r="B37" t="s">
        <v>71</v>
      </c>
      <c r="C37">
        <v>10.9</v>
      </c>
      <c r="F37">
        <v>0.2</v>
      </c>
      <c r="H37">
        <v>0.5</v>
      </c>
      <c r="J37">
        <v>1.29</v>
      </c>
      <c r="M37">
        <v>0.06</v>
      </c>
      <c r="O37">
        <v>0.16</v>
      </c>
      <c r="Q37">
        <v>5702</v>
      </c>
    </row>
    <row r="38" spans="1:17" x14ac:dyDescent="0.3">
      <c r="A38" t="s">
        <v>168</v>
      </c>
      <c r="B38" t="s">
        <v>38</v>
      </c>
      <c r="C38">
        <v>10.7</v>
      </c>
      <c r="D38">
        <v>-3.5</v>
      </c>
      <c r="E38">
        <v>1</v>
      </c>
      <c r="G38">
        <v>6</v>
      </c>
      <c r="J38">
        <v>0.56000000000000005</v>
      </c>
      <c r="K38">
        <v>-2.31</v>
      </c>
      <c r="L38">
        <v>0.17</v>
      </c>
      <c r="N38">
        <v>0.73</v>
      </c>
      <c r="Q38">
        <v>13164</v>
      </c>
    </row>
    <row r="39" spans="1:17" x14ac:dyDescent="0.3">
      <c r="A39" t="s">
        <v>76</v>
      </c>
      <c r="B39" t="s">
        <v>77</v>
      </c>
      <c r="C39">
        <v>10.6</v>
      </c>
      <c r="D39">
        <v>-1.6</v>
      </c>
      <c r="G39">
        <v>1.4</v>
      </c>
      <c r="J39">
        <v>1.71</v>
      </c>
      <c r="K39">
        <v>-1.84</v>
      </c>
      <c r="N39">
        <v>0.98</v>
      </c>
      <c r="Q39">
        <v>9939</v>
      </c>
    </row>
    <row r="40" spans="1:17" x14ac:dyDescent="0.3">
      <c r="A40" t="s">
        <v>181</v>
      </c>
      <c r="B40" t="s">
        <v>102</v>
      </c>
      <c r="C40">
        <v>10.1</v>
      </c>
      <c r="D40">
        <v>-1.5</v>
      </c>
      <c r="F40">
        <v>-0.3</v>
      </c>
      <c r="G40">
        <v>-0.7</v>
      </c>
      <c r="J40">
        <v>0.56999999999999995</v>
      </c>
      <c r="K40">
        <v>-0.21</v>
      </c>
      <c r="M40">
        <v>-0.15</v>
      </c>
      <c r="N40">
        <v>-0.18</v>
      </c>
      <c r="Q40">
        <v>18684</v>
      </c>
    </row>
    <row r="41" spans="1:17" x14ac:dyDescent="0.3">
      <c r="A41" t="s">
        <v>65</v>
      </c>
      <c r="B41" t="s">
        <v>66</v>
      </c>
      <c r="C41">
        <v>9.8000000000000007</v>
      </c>
      <c r="F41">
        <v>-0.8</v>
      </c>
      <c r="G41">
        <v>-0.3</v>
      </c>
      <c r="J41">
        <v>1.84</v>
      </c>
      <c r="M41">
        <v>-0.18</v>
      </c>
      <c r="N41">
        <v>-5.31</v>
      </c>
      <c r="Q41">
        <v>13758</v>
      </c>
    </row>
    <row r="42" spans="1:17" x14ac:dyDescent="0.3">
      <c r="A42" t="s">
        <v>61</v>
      </c>
      <c r="B42" t="s">
        <v>62</v>
      </c>
      <c r="C42">
        <v>9.6999999999999993</v>
      </c>
      <c r="D42">
        <v>0.7</v>
      </c>
      <c r="G42">
        <v>6.7</v>
      </c>
      <c r="J42">
        <v>1.49</v>
      </c>
      <c r="K42">
        <v>0.28000000000000003</v>
      </c>
      <c r="N42">
        <v>2.58</v>
      </c>
      <c r="Q42">
        <v>11801</v>
      </c>
    </row>
    <row r="43" spans="1:17" x14ac:dyDescent="0.3">
      <c r="A43" t="s">
        <v>228</v>
      </c>
      <c r="B43" t="s">
        <v>32</v>
      </c>
      <c r="C43">
        <v>9.6999999999999993</v>
      </c>
      <c r="D43">
        <v>-3.1</v>
      </c>
      <c r="F43">
        <v>0.8</v>
      </c>
      <c r="G43">
        <v>-0.3</v>
      </c>
      <c r="J43">
        <v>1.05</v>
      </c>
      <c r="K43">
        <v>-2.4500000000000002</v>
      </c>
      <c r="M43">
        <v>0.18</v>
      </c>
      <c r="N43">
        <v>-0.08</v>
      </c>
      <c r="Q43">
        <v>13543</v>
      </c>
    </row>
    <row r="44" spans="1:17" x14ac:dyDescent="0.3">
      <c r="A44" t="s">
        <v>103</v>
      </c>
      <c r="B44" t="s">
        <v>53</v>
      </c>
      <c r="C44">
        <v>9.4</v>
      </c>
      <c r="D44">
        <v>16.8</v>
      </c>
      <c r="F44">
        <v>1.7</v>
      </c>
      <c r="G44">
        <v>-0.4</v>
      </c>
      <c r="J44">
        <v>0.8</v>
      </c>
      <c r="K44">
        <v>1.61</v>
      </c>
      <c r="M44">
        <v>0.38</v>
      </c>
      <c r="N44">
        <v>-2.08</v>
      </c>
      <c r="Q44">
        <v>2036</v>
      </c>
    </row>
    <row r="45" spans="1:17" x14ac:dyDescent="0.3">
      <c r="A45" t="s">
        <v>117</v>
      </c>
      <c r="B45" t="s">
        <v>93</v>
      </c>
      <c r="C45">
        <v>9.1999999999999993</v>
      </c>
      <c r="D45">
        <v>-3.5</v>
      </c>
      <c r="F45">
        <v>23.6</v>
      </c>
      <c r="G45">
        <v>10.4</v>
      </c>
      <c r="J45">
        <v>0.56000000000000005</v>
      </c>
      <c r="K45">
        <v>-29.27</v>
      </c>
      <c r="M45">
        <v>2.2799999999999998</v>
      </c>
      <c r="N45">
        <v>1.48</v>
      </c>
      <c r="Q45">
        <v>10131</v>
      </c>
    </row>
    <row r="46" spans="1:17" x14ac:dyDescent="0.3">
      <c r="A46" t="s">
        <v>197</v>
      </c>
      <c r="B46" t="s">
        <v>66</v>
      </c>
      <c r="C46">
        <v>9.1</v>
      </c>
      <c r="D46">
        <v>-4.5</v>
      </c>
      <c r="G46">
        <v>4.9000000000000004</v>
      </c>
      <c r="J46">
        <v>0.72</v>
      </c>
      <c r="K46">
        <v>-0.67</v>
      </c>
      <c r="N46">
        <v>1.42</v>
      </c>
      <c r="Q46">
        <v>5372</v>
      </c>
    </row>
    <row r="47" spans="1:17" x14ac:dyDescent="0.3">
      <c r="A47" t="s">
        <v>115</v>
      </c>
      <c r="B47" t="s">
        <v>26</v>
      </c>
      <c r="C47">
        <v>9</v>
      </c>
      <c r="D47">
        <v>-3.6</v>
      </c>
      <c r="F47">
        <v>-2</v>
      </c>
      <c r="G47">
        <v>0.2</v>
      </c>
      <c r="J47">
        <v>1</v>
      </c>
      <c r="K47">
        <v>-1.82</v>
      </c>
      <c r="M47">
        <v>-1.3</v>
      </c>
      <c r="N47">
        <v>8.59</v>
      </c>
      <c r="Q47">
        <v>7274</v>
      </c>
    </row>
    <row r="48" spans="1:17" x14ac:dyDescent="0.3">
      <c r="A48" t="s">
        <v>246</v>
      </c>
      <c r="B48" t="s">
        <v>26</v>
      </c>
      <c r="C48">
        <v>8.9</v>
      </c>
      <c r="D48">
        <v>-6.6</v>
      </c>
      <c r="E48">
        <v>-2.2999999999999998</v>
      </c>
      <c r="F48">
        <v>1.4</v>
      </c>
      <c r="G48">
        <v>-2</v>
      </c>
      <c r="J48">
        <v>0.67</v>
      </c>
      <c r="K48">
        <v>-4.12</v>
      </c>
      <c r="L48">
        <v>-0.41</v>
      </c>
      <c r="M48">
        <v>0.39</v>
      </c>
      <c r="N48">
        <v>-2.11</v>
      </c>
      <c r="Q48">
        <v>19316</v>
      </c>
    </row>
    <row r="49" spans="1:17" x14ac:dyDescent="0.3">
      <c r="A49" t="s">
        <v>304</v>
      </c>
      <c r="B49" t="s">
        <v>40</v>
      </c>
      <c r="C49">
        <v>8.6</v>
      </c>
      <c r="D49">
        <v>-2.4</v>
      </c>
      <c r="F49">
        <v>-0.4</v>
      </c>
      <c r="G49">
        <v>-5.9</v>
      </c>
      <c r="J49">
        <v>0.47</v>
      </c>
      <c r="K49">
        <v>-0.51</v>
      </c>
      <c r="M49">
        <v>-2.2400000000000002</v>
      </c>
      <c r="N49">
        <v>-1.53</v>
      </c>
      <c r="Q49">
        <v>7410</v>
      </c>
    </row>
    <row r="50" spans="1:17" x14ac:dyDescent="0.3">
      <c r="A50" t="s">
        <v>249</v>
      </c>
      <c r="B50" t="s">
        <v>102</v>
      </c>
      <c r="C50">
        <v>8.6</v>
      </c>
      <c r="D50">
        <v>4</v>
      </c>
      <c r="E50">
        <v>4.4000000000000004</v>
      </c>
      <c r="F50">
        <v>-6.1</v>
      </c>
      <c r="G50">
        <v>0</v>
      </c>
      <c r="J50">
        <v>1.24</v>
      </c>
      <c r="K50">
        <v>1.93</v>
      </c>
      <c r="L50">
        <v>1.8</v>
      </c>
      <c r="M50">
        <v>-3.2</v>
      </c>
      <c r="N50">
        <v>0.1</v>
      </c>
      <c r="Q50">
        <v>17585</v>
      </c>
    </row>
    <row r="51" spans="1:17" x14ac:dyDescent="0.3">
      <c r="A51" t="s">
        <v>320</v>
      </c>
      <c r="B51" t="s">
        <v>26</v>
      </c>
      <c r="C51">
        <v>8.4</v>
      </c>
      <c r="D51">
        <v>-1.9</v>
      </c>
      <c r="F51">
        <v>-1.6</v>
      </c>
      <c r="G51">
        <v>-3.3</v>
      </c>
      <c r="J51">
        <v>0.83</v>
      </c>
      <c r="K51">
        <v>-0.49</v>
      </c>
      <c r="M51">
        <v>-2.36</v>
      </c>
      <c r="N51">
        <v>-1.02</v>
      </c>
      <c r="Q51">
        <v>19312</v>
      </c>
    </row>
    <row r="52" spans="1:17" x14ac:dyDescent="0.3">
      <c r="A52" t="s">
        <v>166</v>
      </c>
      <c r="B52" t="s">
        <v>50</v>
      </c>
      <c r="C52">
        <v>8.4</v>
      </c>
      <c r="D52">
        <v>4.8</v>
      </c>
      <c r="G52">
        <v>-2.2999999999999998</v>
      </c>
      <c r="J52">
        <v>1.45</v>
      </c>
      <c r="K52">
        <v>3.51</v>
      </c>
      <c r="N52">
        <v>-1.35</v>
      </c>
      <c r="Q52">
        <v>14974</v>
      </c>
    </row>
    <row r="53" spans="1:17" x14ac:dyDescent="0.3">
      <c r="A53" t="s">
        <v>187</v>
      </c>
      <c r="B53" t="s">
        <v>58</v>
      </c>
      <c r="C53">
        <v>8.3000000000000007</v>
      </c>
      <c r="D53">
        <v>4.0999999999999996</v>
      </c>
      <c r="F53">
        <v>1.1000000000000001</v>
      </c>
      <c r="G53">
        <v>0.7</v>
      </c>
      <c r="H53">
        <v>-1.6</v>
      </c>
      <c r="J53">
        <v>0.45</v>
      </c>
      <c r="K53">
        <v>0.65</v>
      </c>
      <c r="M53">
        <v>0.35</v>
      </c>
      <c r="N53">
        <v>0.26</v>
      </c>
      <c r="O53">
        <v>-2.0699999999999998</v>
      </c>
      <c r="Q53">
        <v>10310</v>
      </c>
    </row>
    <row r="54" spans="1:17" x14ac:dyDescent="0.3">
      <c r="A54" t="s">
        <v>29</v>
      </c>
      <c r="B54" t="s">
        <v>30</v>
      </c>
      <c r="C54">
        <v>8.3000000000000007</v>
      </c>
      <c r="D54">
        <v>7.3</v>
      </c>
      <c r="F54">
        <v>1</v>
      </c>
      <c r="G54">
        <v>0</v>
      </c>
      <c r="J54">
        <v>1.41</v>
      </c>
      <c r="K54">
        <v>4.49</v>
      </c>
      <c r="M54">
        <v>0.72</v>
      </c>
      <c r="N54">
        <v>0.02</v>
      </c>
      <c r="Q54">
        <v>12076</v>
      </c>
    </row>
    <row r="55" spans="1:17" x14ac:dyDescent="0.3">
      <c r="A55" t="s">
        <v>85</v>
      </c>
      <c r="B55" t="s">
        <v>56</v>
      </c>
      <c r="C55">
        <v>8.1999999999999993</v>
      </c>
      <c r="F55">
        <v>-1.4</v>
      </c>
      <c r="G55">
        <v>-0.1</v>
      </c>
      <c r="J55">
        <v>1.27</v>
      </c>
      <c r="M55">
        <v>-0.73</v>
      </c>
      <c r="N55">
        <v>-0.09</v>
      </c>
      <c r="Q55">
        <v>15594</v>
      </c>
    </row>
    <row r="56" spans="1:17" x14ac:dyDescent="0.3">
      <c r="A56" t="s">
        <v>150</v>
      </c>
      <c r="B56" t="s">
        <v>50</v>
      </c>
      <c r="C56">
        <v>8</v>
      </c>
      <c r="E56">
        <v>4.8</v>
      </c>
      <c r="F56">
        <v>0.6</v>
      </c>
      <c r="G56">
        <v>0.6</v>
      </c>
      <c r="J56">
        <v>1.29</v>
      </c>
      <c r="L56">
        <v>3.94</v>
      </c>
      <c r="M56">
        <v>0.56000000000000005</v>
      </c>
      <c r="N56">
        <v>0.23</v>
      </c>
      <c r="Q56">
        <v>13684</v>
      </c>
    </row>
    <row r="57" spans="1:17" x14ac:dyDescent="0.3">
      <c r="A57" t="s">
        <v>234</v>
      </c>
      <c r="B57" t="s">
        <v>98</v>
      </c>
      <c r="C57">
        <v>7.8</v>
      </c>
      <c r="D57">
        <v>-6.9</v>
      </c>
      <c r="F57">
        <v>-1.6</v>
      </c>
      <c r="J57">
        <v>0.49</v>
      </c>
      <c r="K57">
        <v>-0.71</v>
      </c>
      <c r="M57">
        <v>-0.34</v>
      </c>
      <c r="Q57">
        <v>11486</v>
      </c>
    </row>
    <row r="58" spans="1:17" x14ac:dyDescent="0.3">
      <c r="A58" t="s">
        <v>279</v>
      </c>
      <c r="B58" t="s">
        <v>77</v>
      </c>
      <c r="C58">
        <v>7.8</v>
      </c>
      <c r="D58">
        <v>0.7</v>
      </c>
      <c r="F58">
        <v>-5.3</v>
      </c>
      <c r="G58">
        <v>-10.199999999999999</v>
      </c>
      <c r="J58">
        <v>0.45</v>
      </c>
      <c r="K58">
        <v>0.42</v>
      </c>
      <c r="M58">
        <v>-0.9</v>
      </c>
      <c r="N58">
        <v>-3.28</v>
      </c>
      <c r="Q58">
        <v>11423</v>
      </c>
    </row>
    <row r="59" spans="1:17" x14ac:dyDescent="0.3">
      <c r="A59" t="s">
        <v>104</v>
      </c>
      <c r="B59" t="s">
        <v>32</v>
      </c>
      <c r="C59">
        <v>7.8</v>
      </c>
      <c r="E59">
        <v>3.9</v>
      </c>
      <c r="F59">
        <v>25.3</v>
      </c>
      <c r="G59">
        <v>-2.6</v>
      </c>
      <c r="J59">
        <v>0.51</v>
      </c>
      <c r="L59">
        <v>1.18</v>
      </c>
      <c r="M59">
        <v>2.16</v>
      </c>
      <c r="N59">
        <v>-2.6</v>
      </c>
      <c r="Q59">
        <v>4676</v>
      </c>
    </row>
    <row r="60" spans="1:17" x14ac:dyDescent="0.3">
      <c r="A60" t="s">
        <v>122</v>
      </c>
      <c r="B60" t="s">
        <v>95</v>
      </c>
      <c r="C60">
        <v>7.7</v>
      </c>
      <c r="D60">
        <v>-6.9</v>
      </c>
      <c r="E60">
        <v>-3.1</v>
      </c>
      <c r="G60">
        <v>0</v>
      </c>
      <c r="J60">
        <v>1.49</v>
      </c>
      <c r="K60">
        <v>-3.85</v>
      </c>
      <c r="L60">
        <v>-4.32</v>
      </c>
      <c r="N60">
        <v>0.02</v>
      </c>
      <c r="Q60">
        <v>5358</v>
      </c>
    </row>
    <row r="61" spans="1:17" x14ac:dyDescent="0.3">
      <c r="A61" t="s">
        <v>137</v>
      </c>
      <c r="B61" t="s">
        <v>83</v>
      </c>
      <c r="C61">
        <v>7.5</v>
      </c>
      <c r="D61">
        <v>10.1</v>
      </c>
      <c r="E61">
        <v>9.4</v>
      </c>
      <c r="F61">
        <v>-2.7</v>
      </c>
      <c r="H61">
        <v>-5.3</v>
      </c>
      <c r="J61">
        <v>0.55000000000000004</v>
      </c>
      <c r="K61">
        <v>1.67</v>
      </c>
      <c r="L61">
        <v>1.36</v>
      </c>
      <c r="M61">
        <v>-3.68</v>
      </c>
      <c r="O61">
        <v>-2.0099999999999998</v>
      </c>
      <c r="Q61">
        <v>3254</v>
      </c>
    </row>
    <row r="62" spans="1:17" x14ac:dyDescent="0.3">
      <c r="A62" t="s">
        <v>200</v>
      </c>
      <c r="B62" t="s">
        <v>48</v>
      </c>
      <c r="C62">
        <v>7.3</v>
      </c>
      <c r="D62">
        <v>-2.2000000000000002</v>
      </c>
      <c r="G62">
        <v>1.3</v>
      </c>
      <c r="J62">
        <v>0.8</v>
      </c>
      <c r="K62">
        <v>-1.6</v>
      </c>
      <c r="N62">
        <v>1.43</v>
      </c>
      <c r="Q62">
        <v>9325</v>
      </c>
    </row>
    <row r="63" spans="1:17" x14ac:dyDescent="0.3">
      <c r="A63" t="s">
        <v>105</v>
      </c>
      <c r="B63" t="s">
        <v>53</v>
      </c>
      <c r="C63">
        <v>7.3</v>
      </c>
      <c r="D63">
        <v>3.9</v>
      </c>
      <c r="G63">
        <v>8.4</v>
      </c>
      <c r="J63">
        <v>1.29</v>
      </c>
      <c r="K63">
        <v>2.02</v>
      </c>
      <c r="N63">
        <v>2.4</v>
      </c>
      <c r="Q63">
        <v>5420</v>
      </c>
    </row>
    <row r="64" spans="1:17" x14ac:dyDescent="0.3">
      <c r="A64" t="s">
        <v>100</v>
      </c>
      <c r="B64" t="s">
        <v>77</v>
      </c>
      <c r="C64">
        <v>7.3</v>
      </c>
      <c r="D64">
        <v>0.7</v>
      </c>
      <c r="G64">
        <v>0</v>
      </c>
      <c r="J64">
        <v>1.1100000000000001</v>
      </c>
      <c r="K64">
        <v>0.16</v>
      </c>
      <c r="N64">
        <v>-0.38</v>
      </c>
      <c r="Q64">
        <v>6483</v>
      </c>
    </row>
    <row r="65" spans="1:17" x14ac:dyDescent="0.3">
      <c r="A65" t="s">
        <v>113</v>
      </c>
      <c r="B65" t="s">
        <v>48</v>
      </c>
      <c r="C65">
        <v>7.2</v>
      </c>
      <c r="D65">
        <v>-0.2</v>
      </c>
      <c r="E65">
        <v>-0.4</v>
      </c>
      <c r="G65">
        <v>-0.1</v>
      </c>
      <c r="J65">
        <v>1.1100000000000001</v>
      </c>
      <c r="K65">
        <v>-0.3</v>
      </c>
      <c r="L65">
        <v>-5.23</v>
      </c>
      <c r="N65">
        <v>-0.19</v>
      </c>
      <c r="Q65">
        <v>10843</v>
      </c>
    </row>
    <row r="66" spans="1:17" x14ac:dyDescent="0.3">
      <c r="A66" t="s">
        <v>231</v>
      </c>
      <c r="B66" t="s">
        <v>34</v>
      </c>
      <c r="C66">
        <v>7.2</v>
      </c>
      <c r="D66">
        <v>7.9</v>
      </c>
      <c r="F66">
        <v>0.8</v>
      </c>
      <c r="G66">
        <v>-1.9</v>
      </c>
      <c r="J66">
        <v>0.94</v>
      </c>
      <c r="K66">
        <v>3.77</v>
      </c>
      <c r="M66">
        <v>1.2</v>
      </c>
      <c r="N66">
        <v>-2.42</v>
      </c>
      <c r="Q66">
        <v>6941</v>
      </c>
    </row>
    <row r="67" spans="1:17" x14ac:dyDescent="0.3">
      <c r="A67" t="s">
        <v>52</v>
      </c>
      <c r="B67" t="s">
        <v>53</v>
      </c>
      <c r="C67">
        <v>7.1</v>
      </c>
      <c r="D67">
        <v>-0.4</v>
      </c>
      <c r="E67">
        <v>0.2</v>
      </c>
      <c r="F67">
        <v>3.4</v>
      </c>
      <c r="G67">
        <v>22.2</v>
      </c>
      <c r="J67">
        <v>0.65</v>
      </c>
      <c r="K67">
        <v>-4.93</v>
      </c>
      <c r="L67">
        <v>0.04</v>
      </c>
      <c r="M67">
        <v>1.02</v>
      </c>
      <c r="N67">
        <v>2.99</v>
      </c>
      <c r="Q67">
        <v>14444</v>
      </c>
    </row>
    <row r="68" spans="1:17" x14ac:dyDescent="0.3">
      <c r="A68" t="s">
        <v>45</v>
      </c>
      <c r="B68" t="s">
        <v>46</v>
      </c>
      <c r="C68">
        <v>7.1</v>
      </c>
      <c r="D68">
        <v>8.1999999999999993</v>
      </c>
      <c r="G68">
        <v>-1</v>
      </c>
      <c r="J68">
        <v>1.53</v>
      </c>
      <c r="K68">
        <v>2.1</v>
      </c>
      <c r="N68">
        <v>-2.3199999999999998</v>
      </c>
      <c r="Q68">
        <v>13911</v>
      </c>
    </row>
    <row r="69" spans="1:17" x14ac:dyDescent="0.3">
      <c r="A69" t="s">
        <v>195</v>
      </c>
      <c r="B69" t="s">
        <v>30</v>
      </c>
      <c r="C69">
        <v>7</v>
      </c>
      <c r="D69">
        <v>-3.3</v>
      </c>
      <c r="G69">
        <v>-1.7</v>
      </c>
      <c r="J69">
        <v>0.94</v>
      </c>
      <c r="K69">
        <v>-1.6</v>
      </c>
      <c r="N69">
        <v>-2.64</v>
      </c>
      <c r="Q69">
        <v>11903</v>
      </c>
    </row>
    <row r="70" spans="1:17" x14ac:dyDescent="0.3">
      <c r="A70" t="s">
        <v>87</v>
      </c>
      <c r="B70" t="s">
        <v>83</v>
      </c>
      <c r="C70">
        <v>6.8</v>
      </c>
      <c r="D70">
        <v>2.6</v>
      </c>
      <c r="F70">
        <v>-0.1</v>
      </c>
      <c r="G70">
        <v>-1.6</v>
      </c>
      <c r="J70">
        <v>1.1299999999999999</v>
      </c>
      <c r="K70">
        <v>0.79</v>
      </c>
      <c r="M70">
        <v>-0.46</v>
      </c>
      <c r="N70">
        <v>-2.2000000000000002</v>
      </c>
      <c r="Q70">
        <v>14966</v>
      </c>
    </row>
    <row r="71" spans="1:17" x14ac:dyDescent="0.3">
      <c r="A71" t="s">
        <v>123</v>
      </c>
      <c r="B71" t="s">
        <v>48</v>
      </c>
      <c r="C71">
        <v>6.7</v>
      </c>
      <c r="D71">
        <v>-2</v>
      </c>
      <c r="E71">
        <v>-0.6</v>
      </c>
      <c r="H71">
        <v>4.3</v>
      </c>
      <c r="J71">
        <v>1.22</v>
      </c>
      <c r="K71">
        <v>-2.3199999999999998</v>
      </c>
      <c r="L71">
        <v>-0.46</v>
      </c>
      <c r="O71">
        <v>4.05</v>
      </c>
      <c r="Q71">
        <v>11847</v>
      </c>
    </row>
    <row r="72" spans="1:17" x14ac:dyDescent="0.3">
      <c r="A72" t="s">
        <v>49</v>
      </c>
      <c r="B72" t="s">
        <v>50</v>
      </c>
      <c r="C72">
        <v>6.7</v>
      </c>
      <c r="D72">
        <v>13.9</v>
      </c>
      <c r="G72">
        <v>0.5</v>
      </c>
      <c r="J72">
        <v>1.06</v>
      </c>
      <c r="K72">
        <v>2.77</v>
      </c>
      <c r="N72">
        <v>7.81</v>
      </c>
      <c r="Q72">
        <v>14986</v>
      </c>
    </row>
    <row r="73" spans="1:17" x14ac:dyDescent="0.3">
      <c r="A73" t="s">
        <v>69</v>
      </c>
      <c r="B73" t="s">
        <v>66</v>
      </c>
      <c r="C73">
        <v>6.5</v>
      </c>
      <c r="D73">
        <v>7.4</v>
      </c>
      <c r="F73">
        <v>-0.6</v>
      </c>
      <c r="J73">
        <v>1.22</v>
      </c>
      <c r="K73">
        <v>1.52</v>
      </c>
      <c r="M73">
        <v>-1.38</v>
      </c>
      <c r="Q73">
        <v>13449</v>
      </c>
    </row>
    <row r="74" spans="1:17" x14ac:dyDescent="0.3">
      <c r="A74" t="s">
        <v>256</v>
      </c>
      <c r="B74" t="s">
        <v>102</v>
      </c>
      <c r="C74">
        <v>6.2</v>
      </c>
      <c r="D74">
        <v>-2.4</v>
      </c>
      <c r="G74">
        <v>-3.2</v>
      </c>
      <c r="J74">
        <v>0.44</v>
      </c>
      <c r="K74">
        <v>-0.28999999999999998</v>
      </c>
      <c r="N74">
        <v>-0.82</v>
      </c>
      <c r="Q74">
        <v>14875</v>
      </c>
    </row>
    <row r="75" spans="1:17" x14ac:dyDescent="0.3">
      <c r="A75" t="s">
        <v>305</v>
      </c>
      <c r="B75" t="s">
        <v>62</v>
      </c>
      <c r="C75">
        <v>6.2</v>
      </c>
      <c r="D75">
        <v>-3.9</v>
      </c>
      <c r="G75">
        <v>-3.4</v>
      </c>
      <c r="J75">
        <v>0.63</v>
      </c>
      <c r="K75">
        <v>-0.85</v>
      </c>
      <c r="N75">
        <v>-1.34</v>
      </c>
      <c r="Q75">
        <v>15423</v>
      </c>
    </row>
    <row r="76" spans="1:17" x14ac:dyDescent="0.3">
      <c r="A76" t="s">
        <v>60</v>
      </c>
      <c r="B76" t="s">
        <v>48</v>
      </c>
      <c r="C76">
        <v>6.1</v>
      </c>
      <c r="D76">
        <v>2.2999999999999998</v>
      </c>
      <c r="G76">
        <v>2.4</v>
      </c>
      <c r="J76">
        <v>0.71</v>
      </c>
      <c r="K76">
        <v>0.81</v>
      </c>
      <c r="N76">
        <v>3.28</v>
      </c>
      <c r="Q76">
        <v>7146</v>
      </c>
    </row>
    <row r="77" spans="1:17" x14ac:dyDescent="0.3">
      <c r="A77" t="s">
        <v>25</v>
      </c>
      <c r="B77" t="s">
        <v>26</v>
      </c>
      <c r="C77">
        <v>6.1</v>
      </c>
      <c r="D77">
        <v>-0.7</v>
      </c>
      <c r="F77">
        <v>0</v>
      </c>
      <c r="H77">
        <v>12</v>
      </c>
      <c r="J77">
        <v>1.04</v>
      </c>
      <c r="K77">
        <v>-8.1199999999999992</v>
      </c>
      <c r="M77">
        <v>-3.89</v>
      </c>
      <c r="O77">
        <v>2.8</v>
      </c>
      <c r="Q77">
        <v>9073</v>
      </c>
    </row>
    <row r="78" spans="1:17" x14ac:dyDescent="0.3">
      <c r="A78" t="s">
        <v>37</v>
      </c>
      <c r="B78" t="s">
        <v>38</v>
      </c>
      <c r="C78">
        <v>6</v>
      </c>
      <c r="E78">
        <v>6.8</v>
      </c>
      <c r="F78">
        <v>12.4</v>
      </c>
      <c r="J78">
        <v>1.42</v>
      </c>
      <c r="L78">
        <v>2.84</v>
      </c>
      <c r="M78">
        <v>2.12</v>
      </c>
      <c r="Q78">
        <v>11428</v>
      </c>
    </row>
    <row r="79" spans="1:17" x14ac:dyDescent="0.3">
      <c r="A79" t="s">
        <v>274</v>
      </c>
      <c r="B79" t="s">
        <v>48</v>
      </c>
      <c r="C79">
        <v>5.9</v>
      </c>
      <c r="D79">
        <v>1.6</v>
      </c>
      <c r="F79">
        <v>-1.1000000000000001</v>
      </c>
      <c r="G79">
        <v>-2.2999999999999998</v>
      </c>
      <c r="J79">
        <v>0.93</v>
      </c>
      <c r="K79">
        <v>0.59</v>
      </c>
      <c r="M79">
        <v>-1.46</v>
      </c>
      <c r="N79">
        <v>-2.4500000000000002</v>
      </c>
      <c r="Q79">
        <v>7407</v>
      </c>
    </row>
    <row r="80" spans="1:17" x14ac:dyDescent="0.3">
      <c r="A80" t="s">
        <v>332</v>
      </c>
      <c r="B80" t="s">
        <v>146</v>
      </c>
      <c r="C80">
        <v>5.8</v>
      </c>
      <c r="D80">
        <v>-1.9</v>
      </c>
      <c r="E80">
        <v>-3</v>
      </c>
      <c r="G80">
        <v>-2.6</v>
      </c>
      <c r="J80">
        <v>1.17</v>
      </c>
      <c r="K80">
        <v>-4.03</v>
      </c>
      <c r="L80">
        <v>-1.63</v>
      </c>
      <c r="N80">
        <v>-6.95</v>
      </c>
      <c r="Q80">
        <v>7803</v>
      </c>
    </row>
    <row r="81" spans="1:17" x14ac:dyDescent="0.3">
      <c r="A81" t="s">
        <v>90</v>
      </c>
      <c r="B81" t="s">
        <v>56</v>
      </c>
      <c r="C81">
        <v>5.7</v>
      </c>
      <c r="E81">
        <v>0.1</v>
      </c>
      <c r="F81">
        <v>0.4</v>
      </c>
      <c r="G81">
        <v>8.5</v>
      </c>
      <c r="H81">
        <v>-1.6</v>
      </c>
      <c r="J81">
        <v>1.49</v>
      </c>
      <c r="L81">
        <v>0.24</v>
      </c>
      <c r="M81">
        <v>1.1200000000000001</v>
      </c>
      <c r="N81">
        <v>2.96</v>
      </c>
      <c r="O81">
        <v>-0.85</v>
      </c>
      <c r="Q81">
        <v>5640</v>
      </c>
    </row>
    <row r="82" spans="1:17" x14ac:dyDescent="0.3">
      <c r="A82" t="s">
        <v>47</v>
      </c>
      <c r="B82" t="s">
        <v>48</v>
      </c>
      <c r="C82">
        <v>5.7</v>
      </c>
      <c r="D82">
        <v>-2.5</v>
      </c>
      <c r="E82">
        <v>7.5</v>
      </c>
      <c r="G82">
        <v>0.1</v>
      </c>
      <c r="J82">
        <v>1.28</v>
      </c>
      <c r="K82">
        <v>-1.24</v>
      </c>
      <c r="L82">
        <v>2.54</v>
      </c>
      <c r="N82">
        <v>1.85</v>
      </c>
      <c r="Q82">
        <v>10756</v>
      </c>
    </row>
    <row r="83" spans="1:17" x14ac:dyDescent="0.3">
      <c r="A83" t="s">
        <v>44</v>
      </c>
      <c r="B83" t="s">
        <v>40</v>
      </c>
      <c r="C83">
        <v>5.6</v>
      </c>
      <c r="D83">
        <v>8.1999999999999993</v>
      </c>
      <c r="G83">
        <v>0</v>
      </c>
      <c r="J83">
        <v>0.83</v>
      </c>
      <c r="K83">
        <v>2.65</v>
      </c>
      <c r="N83">
        <v>0</v>
      </c>
      <c r="Q83">
        <v>10233</v>
      </c>
    </row>
    <row r="84" spans="1:17" x14ac:dyDescent="0.3">
      <c r="A84" t="s">
        <v>265</v>
      </c>
      <c r="B84" t="s">
        <v>48</v>
      </c>
      <c r="C84">
        <v>5.5</v>
      </c>
      <c r="D84">
        <v>0.4</v>
      </c>
      <c r="E84">
        <v>-2</v>
      </c>
      <c r="F84">
        <v>-2.7</v>
      </c>
      <c r="H84">
        <v>4.5</v>
      </c>
      <c r="J84">
        <v>0.39</v>
      </c>
      <c r="K84">
        <v>0.12</v>
      </c>
      <c r="L84">
        <v>-7.23</v>
      </c>
      <c r="M84">
        <v>-1.07</v>
      </c>
      <c r="O84">
        <v>0.61</v>
      </c>
      <c r="Q84">
        <v>8362</v>
      </c>
    </row>
    <row r="85" spans="1:17" x14ac:dyDescent="0.3">
      <c r="A85" t="s">
        <v>59</v>
      </c>
      <c r="B85" t="s">
        <v>53</v>
      </c>
      <c r="C85">
        <v>5.5</v>
      </c>
      <c r="D85">
        <v>-0.4</v>
      </c>
      <c r="E85">
        <v>-0.5</v>
      </c>
      <c r="F85">
        <v>2.2999999999999998</v>
      </c>
      <c r="G85">
        <v>0</v>
      </c>
      <c r="H85">
        <v>0.1</v>
      </c>
      <c r="J85">
        <v>1.07</v>
      </c>
      <c r="K85">
        <v>-1.65</v>
      </c>
      <c r="L85">
        <v>-15.17</v>
      </c>
      <c r="M85">
        <v>0.54</v>
      </c>
      <c r="N85">
        <v>-0.68</v>
      </c>
      <c r="O85">
        <v>2.4500000000000002</v>
      </c>
      <c r="Q85">
        <v>4806</v>
      </c>
    </row>
    <row r="86" spans="1:17" x14ac:dyDescent="0.3">
      <c r="A86" t="s">
        <v>289</v>
      </c>
      <c r="B86" t="s">
        <v>46</v>
      </c>
      <c r="C86">
        <v>5.4</v>
      </c>
      <c r="D86">
        <v>-8.1999999999999993</v>
      </c>
      <c r="F86">
        <v>13.7</v>
      </c>
      <c r="G86">
        <v>-4.9000000000000004</v>
      </c>
      <c r="J86">
        <v>0.4</v>
      </c>
      <c r="K86">
        <v>-1.53</v>
      </c>
      <c r="M86">
        <v>2.17</v>
      </c>
      <c r="N86">
        <v>-5.81</v>
      </c>
      <c r="Q86">
        <v>15038</v>
      </c>
    </row>
    <row r="87" spans="1:17" x14ac:dyDescent="0.3">
      <c r="A87" t="s">
        <v>343</v>
      </c>
      <c r="B87" t="s">
        <v>38</v>
      </c>
      <c r="C87">
        <v>5.4</v>
      </c>
      <c r="D87">
        <v>-8.1999999999999993</v>
      </c>
      <c r="F87">
        <v>-2.7</v>
      </c>
      <c r="G87">
        <v>-8.1999999999999993</v>
      </c>
      <c r="J87">
        <v>0.32</v>
      </c>
      <c r="K87">
        <v>-1.49</v>
      </c>
      <c r="M87">
        <v>-0.72</v>
      </c>
      <c r="N87">
        <v>-2.23</v>
      </c>
      <c r="Q87">
        <v>2717</v>
      </c>
    </row>
    <row r="88" spans="1:17" x14ac:dyDescent="0.3">
      <c r="A88" t="s">
        <v>264</v>
      </c>
      <c r="B88" t="s">
        <v>146</v>
      </c>
      <c r="C88">
        <v>5.0999999999999996</v>
      </c>
      <c r="D88">
        <v>-1.4</v>
      </c>
      <c r="G88">
        <v>-0.8</v>
      </c>
      <c r="J88">
        <v>0.67</v>
      </c>
      <c r="K88">
        <v>-0.82</v>
      </c>
      <c r="N88">
        <v>-0.5</v>
      </c>
      <c r="Q88">
        <v>10430</v>
      </c>
    </row>
    <row r="89" spans="1:17" x14ac:dyDescent="0.3">
      <c r="A89" t="s">
        <v>191</v>
      </c>
      <c r="B89" t="s">
        <v>62</v>
      </c>
      <c r="C89">
        <v>4.8</v>
      </c>
      <c r="F89">
        <v>3.2</v>
      </c>
      <c r="G89">
        <v>-1.9</v>
      </c>
      <c r="J89">
        <v>0.68</v>
      </c>
      <c r="M89">
        <v>0.87</v>
      </c>
      <c r="N89">
        <v>-1.17</v>
      </c>
      <c r="Q89">
        <v>14719</v>
      </c>
    </row>
    <row r="90" spans="1:17" x14ac:dyDescent="0.3">
      <c r="A90" t="s">
        <v>183</v>
      </c>
      <c r="B90" t="s">
        <v>89</v>
      </c>
      <c r="C90">
        <v>4.7</v>
      </c>
      <c r="D90">
        <v>7.7</v>
      </c>
      <c r="F90">
        <v>-5.6</v>
      </c>
      <c r="G90">
        <v>1.1000000000000001</v>
      </c>
      <c r="J90">
        <v>0.32</v>
      </c>
      <c r="K90">
        <v>1.1200000000000001</v>
      </c>
      <c r="M90">
        <v>-1.53</v>
      </c>
      <c r="N90">
        <v>0.83</v>
      </c>
      <c r="Q90">
        <v>13050</v>
      </c>
    </row>
    <row r="91" spans="1:17" x14ac:dyDescent="0.3">
      <c r="A91" t="s">
        <v>55</v>
      </c>
      <c r="B91" t="s">
        <v>56</v>
      </c>
      <c r="C91">
        <v>4.7</v>
      </c>
      <c r="D91">
        <v>3.2</v>
      </c>
      <c r="E91">
        <v>2.2000000000000002</v>
      </c>
      <c r="F91">
        <v>-0.2</v>
      </c>
      <c r="G91">
        <v>-0.4</v>
      </c>
      <c r="J91">
        <v>1.42</v>
      </c>
      <c r="K91">
        <v>2.42</v>
      </c>
      <c r="L91">
        <v>0.88</v>
      </c>
      <c r="M91">
        <v>-0.18</v>
      </c>
      <c r="N91">
        <v>-0.69</v>
      </c>
      <c r="Q91">
        <v>19479</v>
      </c>
    </row>
    <row r="92" spans="1:17" x14ac:dyDescent="0.3">
      <c r="A92" t="s">
        <v>273</v>
      </c>
      <c r="B92" t="s">
        <v>48</v>
      </c>
      <c r="C92">
        <v>4.7</v>
      </c>
      <c r="D92">
        <v>0.8</v>
      </c>
      <c r="G92">
        <v>0.2</v>
      </c>
      <c r="J92">
        <v>0.71</v>
      </c>
      <c r="K92">
        <v>0.14000000000000001</v>
      </c>
      <c r="N92">
        <v>7.22</v>
      </c>
      <c r="Q92">
        <v>5003</v>
      </c>
    </row>
    <row r="93" spans="1:17" x14ac:dyDescent="0.3">
      <c r="A93" t="s">
        <v>39</v>
      </c>
      <c r="B93" t="s">
        <v>40</v>
      </c>
      <c r="C93">
        <v>4.5</v>
      </c>
      <c r="D93">
        <v>11.2</v>
      </c>
      <c r="E93">
        <v>-3.2</v>
      </c>
      <c r="J93">
        <v>0.93</v>
      </c>
      <c r="K93">
        <v>2.16</v>
      </c>
      <c r="L93">
        <v>-2.04</v>
      </c>
      <c r="Q93">
        <v>1247</v>
      </c>
    </row>
    <row r="94" spans="1:17" x14ac:dyDescent="0.3">
      <c r="A94" t="s">
        <v>216</v>
      </c>
      <c r="B94" t="s">
        <v>50</v>
      </c>
      <c r="C94">
        <v>4.4000000000000004</v>
      </c>
      <c r="D94">
        <v>-1.2</v>
      </c>
      <c r="F94">
        <v>1.3</v>
      </c>
      <c r="G94">
        <v>-1.1000000000000001</v>
      </c>
      <c r="H94">
        <v>0.1</v>
      </c>
      <c r="J94">
        <v>0.3</v>
      </c>
      <c r="K94">
        <v>-0.17</v>
      </c>
      <c r="M94">
        <v>0.22</v>
      </c>
      <c r="N94">
        <v>-2.85</v>
      </c>
      <c r="O94">
        <v>0.11</v>
      </c>
      <c r="Q94">
        <v>9803</v>
      </c>
    </row>
    <row r="95" spans="1:17" x14ac:dyDescent="0.3">
      <c r="A95" t="s">
        <v>86</v>
      </c>
      <c r="B95" t="s">
        <v>48</v>
      </c>
      <c r="C95">
        <v>4.3</v>
      </c>
      <c r="E95">
        <v>-3.2</v>
      </c>
      <c r="F95">
        <v>0.9</v>
      </c>
      <c r="G95">
        <v>6.4</v>
      </c>
      <c r="J95">
        <v>0.63</v>
      </c>
      <c r="L95">
        <v>-1.49</v>
      </c>
      <c r="M95">
        <v>0.32</v>
      </c>
      <c r="N95">
        <v>2.87</v>
      </c>
      <c r="Q95">
        <v>19291</v>
      </c>
    </row>
    <row r="96" spans="1:17" x14ac:dyDescent="0.3">
      <c r="A96" t="s">
        <v>178</v>
      </c>
      <c r="B96" t="s">
        <v>32</v>
      </c>
      <c r="C96">
        <v>4.3</v>
      </c>
      <c r="D96">
        <v>3.8</v>
      </c>
      <c r="H96">
        <v>6.9</v>
      </c>
      <c r="J96">
        <v>0.38</v>
      </c>
      <c r="K96">
        <v>0.89</v>
      </c>
      <c r="O96">
        <v>1.6</v>
      </c>
      <c r="Q96">
        <v>16401</v>
      </c>
    </row>
    <row r="97" spans="1:17" x14ac:dyDescent="0.3">
      <c r="A97" t="s">
        <v>245</v>
      </c>
      <c r="B97" t="s">
        <v>56</v>
      </c>
      <c r="C97">
        <v>4.3</v>
      </c>
      <c r="D97">
        <v>0</v>
      </c>
      <c r="J97">
        <v>0.79</v>
      </c>
      <c r="K97">
        <v>-0.01</v>
      </c>
      <c r="Q97">
        <v>15288</v>
      </c>
    </row>
    <row r="98" spans="1:17" x14ac:dyDescent="0.3">
      <c r="A98" t="s">
        <v>241</v>
      </c>
      <c r="B98" t="s">
        <v>98</v>
      </c>
      <c r="C98">
        <v>4.0999999999999996</v>
      </c>
      <c r="E98">
        <v>2.7</v>
      </c>
      <c r="F98">
        <v>0.7</v>
      </c>
      <c r="G98">
        <v>-4.3</v>
      </c>
      <c r="J98">
        <v>0.3</v>
      </c>
      <c r="L98">
        <v>0.48</v>
      </c>
      <c r="M98">
        <v>0.11</v>
      </c>
      <c r="N98">
        <v>-1.0900000000000001</v>
      </c>
      <c r="Q98">
        <v>11156</v>
      </c>
    </row>
    <row r="99" spans="1:17" x14ac:dyDescent="0.3">
      <c r="A99" t="s">
        <v>155</v>
      </c>
      <c r="B99" t="s">
        <v>53</v>
      </c>
      <c r="C99">
        <v>4</v>
      </c>
      <c r="D99">
        <v>2.4</v>
      </c>
      <c r="J99">
        <v>0.43</v>
      </c>
      <c r="K99">
        <v>1.83</v>
      </c>
      <c r="Q99">
        <v>3096</v>
      </c>
    </row>
    <row r="100" spans="1:17" x14ac:dyDescent="0.3">
      <c r="A100" t="s">
        <v>124</v>
      </c>
      <c r="B100" t="s">
        <v>89</v>
      </c>
      <c r="C100">
        <v>3.9</v>
      </c>
      <c r="D100">
        <v>-0.6</v>
      </c>
      <c r="G100">
        <v>29.4</v>
      </c>
      <c r="J100">
        <v>0.24</v>
      </c>
      <c r="K100">
        <v>-0.12</v>
      </c>
      <c r="N100">
        <v>2.87</v>
      </c>
      <c r="Q100">
        <v>15689</v>
      </c>
    </row>
    <row r="101" spans="1:17" x14ac:dyDescent="0.3">
      <c r="A101" t="s">
        <v>192</v>
      </c>
      <c r="B101" t="s">
        <v>193</v>
      </c>
      <c r="C101">
        <v>3.8</v>
      </c>
      <c r="E101">
        <v>-0.4</v>
      </c>
      <c r="F101">
        <v>-3.6</v>
      </c>
      <c r="G101">
        <v>4.8</v>
      </c>
      <c r="J101">
        <v>0.3</v>
      </c>
      <c r="L101">
        <v>-0.06</v>
      </c>
      <c r="M101">
        <v>-0.69</v>
      </c>
      <c r="N101">
        <v>0.62</v>
      </c>
      <c r="Q101">
        <v>15467</v>
      </c>
    </row>
    <row r="102" spans="1:17" x14ac:dyDescent="0.3">
      <c r="A102" t="s">
        <v>318</v>
      </c>
      <c r="B102" t="s">
        <v>71</v>
      </c>
      <c r="C102">
        <v>3.8</v>
      </c>
      <c r="D102">
        <v>-0.9</v>
      </c>
      <c r="G102">
        <v>0.1</v>
      </c>
      <c r="J102">
        <v>0.67</v>
      </c>
      <c r="K102">
        <v>-0.26</v>
      </c>
      <c r="N102">
        <v>0.08</v>
      </c>
      <c r="Q102">
        <v>4300</v>
      </c>
    </row>
    <row r="103" spans="1:17" x14ac:dyDescent="0.3">
      <c r="A103" t="s">
        <v>280</v>
      </c>
      <c r="B103" t="s">
        <v>28</v>
      </c>
      <c r="C103">
        <v>3.8</v>
      </c>
      <c r="D103">
        <v>-2.1</v>
      </c>
      <c r="F103">
        <v>0.1</v>
      </c>
      <c r="G103">
        <v>0.7</v>
      </c>
      <c r="J103">
        <v>0.53</v>
      </c>
      <c r="K103">
        <v>-0.9</v>
      </c>
      <c r="M103">
        <v>0.72</v>
      </c>
      <c r="N103">
        <v>0.4</v>
      </c>
      <c r="Q103">
        <v>16794</v>
      </c>
    </row>
    <row r="104" spans="1:17" x14ac:dyDescent="0.3">
      <c r="A104" t="s">
        <v>316</v>
      </c>
      <c r="B104" t="s">
        <v>102</v>
      </c>
      <c r="C104">
        <v>3.8</v>
      </c>
      <c r="F104">
        <v>-3.6</v>
      </c>
      <c r="G104">
        <v>2.2999999999999998</v>
      </c>
      <c r="J104">
        <v>0.36</v>
      </c>
      <c r="M104">
        <v>-1.04</v>
      </c>
      <c r="N104">
        <v>0.56999999999999995</v>
      </c>
      <c r="Q104">
        <v>17085</v>
      </c>
    </row>
    <row r="105" spans="1:17" x14ac:dyDescent="0.3">
      <c r="A105" t="s">
        <v>148</v>
      </c>
      <c r="B105" t="s">
        <v>53</v>
      </c>
      <c r="C105">
        <v>3.7</v>
      </c>
      <c r="D105">
        <v>2.6</v>
      </c>
      <c r="E105">
        <v>3.6</v>
      </c>
      <c r="G105">
        <v>-2.8</v>
      </c>
      <c r="J105">
        <v>0.8</v>
      </c>
      <c r="K105">
        <v>0.7</v>
      </c>
      <c r="L105">
        <v>3.32</v>
      </c>
      <c r="N105">
        <v>-5</v>
      </c>
      <c r="Q105">
        <v>12095</v>
      </c>
    </row>
    <row r="106" spans="1:17" x14ac:dyDescent="0.3">
      <c r="A106" t="s">
        <v>185</v>
      </c>
      <c r="B106" t="s">
        <v>83</v>
      </c>
      <c r="C106">
        <v>3.7</v>
      </c>
      <c r="D106">
        <v>3</v>
      </c>
      <c r="F106">
        <v>9.4</v>
      </c>
      <c r="G106">
        <v>2.1</v>
      </c>
      <c r="J106">
        <v>0.26</v>
      </c>
      <c r="K106">
        <v>0.28000000000000003</v>
      </c>
      <c r="M106">
        <v>1.58</v>
      </c>
      <c r="N106">
        <v>1.22</v>
      </c>
      <c r="Q106">
        <v>5524</v>
      </c>
    </row>
    <row r="107" spans="1:17" x14ac:dyDescent="0.3">
      <c r="A107" t="s">
        <v>97</v>
      </c>
      <c r="B107" t="s">
        <v>98</v>
      </c>
      <c r="C107">
        <v>3.4</v>
      </c>
      <c r="E107">
        <v>2.1</v>
      </c>
      <c r="F107">
        <v>-1</v>
      </c>
      <c r="G107">
        <v>6.5</v>
      </c>
      <c r="J107">
        <v>0.62</v>
      </c>
      <c r="L107">
        <v>1.45</v>
      </c>
      <c r="M107">
        <v>-1</v>
      </c>
      <c r="N107">
        <v>2.5099999999999998</v>
      </c>
      <c r="Q107">
        <v>16918</v>
      </c>
    </row>
    <row r="108" spans="1:17" x14ac:dyDescent="0.3">
      <c r="A108" t="s">
        <v>229</v>
      </c>
      <c r="B108" t="s">
        <v>62</v>
      </c>
      <c r="C108">
        <v>3.2</v>
      </c>
      <c r="F108">
        <v>3.1</v>
      </c>
      <c r="G108">
        <v>0.9</v>
      </c>
      <c r="J108">
        <v>0.46</v>
      </c>
      <c r="M108">
        <v>0.66</v>
      </c>
      <c r="N108">
        <v>0.42</v>
      </c>
      <c r="Q108">
        <v>10190</v>
      </c>
    </row>
    <row r="109" spans="1:17" x14ac:dyDescent="0.3">
      <c r="A109" t="s">
        <v>196</v>
      </c>
      <c r="B109" t="s">
        <v>26</v>
      </c>
      <c r="C109">
        <v>3.2</v>
      </c>
      <c r="D109">
        <v>3.4</v>
      </c>
      <c r="G109">
        <v>2.7</v>
      </c>
      <c r="J109">
        <v>0.56999999999999995</v>
      </c>
      <c r="K109">
        <v>0.94</v>
      </c>
      <c r="N109">
        <v>2.34</v>
      </c>
      <c r="Q109">
        <v>14682</v>
      </c>
    </row>
    <row r="110" spans="1:17" x14ac:dyDescent="0.3">
      <c r="A110" t="s">
        <v>107</v>
      </c>
      <c r="B110" t="s">
        <v>32</v>
      </c>
      <c r="C110">
        <v>3.2</v>
      </c>
      <c r="D110">
        <v>-0.8</v>
      </c>
      <c r="H110">
        <v>8</v>
      </c>
      <c r="J110">
        <v>0.84</v>
      </c>
      <c r="K110">
        <v>-8.92</v>
      </c>
      <c r="O110">
        <v>1.45</v>
      </c>
      <c r="Q110">
        <v>8823</v>
      </c>
    </row>
    <row r="111" spans="1:17" x14ac:dyDescent="0.3">
      <c r="A111" t="s">
        <v>175</v>
      </c>
      <c r="B111" t="s">
        <v>40</v>
      </c>
      <c r="C111">
        <v>3</v>
      </c>
      <c r="E111">
        <v>-3.6</v>
      </c>
      <c r="F111">
        <v>6.3</v>
      </c>
      <c r="G111">
        <v>0.9</v>
      </c>
      <c r="J111">
        <v>0.19</v>
      </c>
      <c r="L111">
        <v>-0.67</v>
      </c>
      <c r="M111">
        <v>1.25</v>
      </c>
      <c r="N111">
        <v>2.75</v>
      </c>
      <c r="Q111">
        <v>11828</v>
      </c>
    </row>
    <row r="112" spans="1:17" x14ac:dyDescent="0.3">
      <c r="A112" t="s">
        <v>116</v>
      </c>
      <c r="B112" t="s">
        <v>56</v>
      </c>
      <c r="C112">
        <v>3</v>
      </c>
      <c r="D112">
        <v>4.9000000000000004</v>
      </c>
      <c r="J112">
        <v>0.68</v>
      </c>
      <c r="K112">
        <v>0.96</v>
      </c>
      <c r="Q112">
        <v>9111</v>
      </c>
    </row>
    <row r="113" spans="1:17" x14ac:dyDescent="0.3">
      <c r="A113" t="s">
        <v>138</v>
      </c>
      <c r="B113" t="s">
        <v>77</v>
      </c>
      <c r="C113">
        <v>2.9</v>
      </c>
      <c r="E113">
        <v>2.5</v>
      </c>
      <c r="F113">
        <v>-0.2</v>
      </c>
      <c r="G113">
        <v>-0.3</v>
      </c>
      <c r="J113">
        <v>0.59</v>
      </c>
      <c r="L113">
        <v>0.6</v>
      </c>
      <c r="M113">
        <v>-0.15</v>
      </c>
      <c r="N113">
        <v>-6.08</v>
      </c>
      <c r="Q113">
        <v>11753</v>
      </c>
    </row>
    <row r="114" spans="1:17" x14ac:dyDescent="0.3">
      <c r="A114" t="s">
        <v>157</v>
      </c>
      <c r="B114" t="s">
        <v>30</v>
      </c>
      <c r="C114">
        <v>2.7</v>
      </c>
      <c r="D114">
        <v>-4.5</v>
      </c>
      <c r="G114">
        <v>-0.2</v>
      </c>
      <c r="J114">
        <v>0.27</v>
      </c>
      <c r="K114">
        <v>-2.64</v>
      </c>
      <c r="N114">
        <v>-4.7699999999999996</v>
      </c>
      <c r="Q114">
        <v>13549</v>
      </c>
    </row>
    <row r="115" spans="1:17" x14ac:dyDescent="0.3">
      <c r="A115" t="s">
        <v>215</v>
      </c>
      <c r="B115" t="s">
        <v>48</v>
      </c>
      <c r="C115">
        <v>2.6</v>
      </c>
      <c r="D115">
        <v>-1.6</v>
      </c>
      <c r="E115">
        <v>-0.9</v>
      </c>
      <c r="F115">
        <v>1.1000000000000001</v>
      </c>
      <c r="G115">
        <v>-1.7</v>
      </c>
      <c r="J115">
        <v>0.21</v>
      </c>
      <c r="K115">
        <v>-0.71</v>
      </c>
      <c r="L115">
        <v>-6.75</v>
      </c>
      <c r="M115">
        <v>0.14000000000000001</v>
      </c>
      <c r="N115">
        <v>-1</v>
      </c>
      <c r="Q115">
        <v>7593</v>
      </c>
    </row>
    <row r="116" spans="1:17" x14ac:dyDescent="0.3">
      <c r="A116" t="s">
        <v>203</v>
      </c>
      <c r="B116" t="s">
        <v>48</v>
      </c>
      <c r="C116">
        <v>2.6</v>
      </c>
      <c r="E116">
        <v>-3.8</v>
      </c>
      <c r="F116">
        <v>-5.6</v>
      </c>
      <c r="G116">
        <v>11.1</v>
      </c>
      <c r="J116">
        <v>0.26</v>
      </c>
      <c r="L116">
        <v>-1.54</v>
      </c>
      <c r="M116">
        <v>-3.44</v>
      </c>
      <c r="N116">
        <v>1.27</v>
      </c>
      <c r="Q116">
        <v>19309</v>
      </c>
    </row>
    <row r="117" spans="1:17" x14ac:dyDescent="0.3">
      <c r="A117" t="s">
        <v>302</v>
      </c>
      <c r="B117" t="s">
        <v>159</v>
      </c>
      <c r="C117">
        <v>2.6</v>
      </c>
      <c r="D117">
        <v>-6.2</v>
      </c>
      <c r="E117">
        <v>0.9</v>
      </c>
      <c r="G117">
        <v>-2.9</v>
      </c>
      <c r="J117">
        <v>0.51</v>
      </c>
      <c r="K117">
        <v>-3.77</v>
      </c>
      <c r="L117">
        <v>0.62</v>
      </c>
      <c r="N117">
        <v>-2.8</v>
      </c>
      <c r="Q117">
        <v>17735</v>
      </c>
    </row>
    <row r="118" spans="1:17" x14ac:dyDescent="0.3">
      <c r="A118" t="s">
        <v>284</v>
      </c>
      <c r="B118" t="s">
        <v>98</v>
      </c>
      <c r="C118">
        <v>2.6</v>
      </c>
      <c r="D118">
        <v>-0.3</v>
      </c>
      <c r="F118">
        <v>-4.5</v>
      </c>
      <c r="G118">
        <v>1.2</v>
      </c>
      <c r="J118">
        <v>0.42</v>
      </c>
      <c r="K118">
        <v>-3.38</v>
      </c>
      <c r="M118">
        <v>-3.29</v>
      </c>
      <c r="N118">
        <v>0.26</v>
      </c>
      <c r="Q118">
        <v>12022</v>
      </c>
    </row>
    <row r="119" spans="1:17" x14ac:dyDescent="0.3">
      <c r="A119" t="s">
        <v>119</v>
      </c>
      <c r="B119" t="s">
        <v>48</v>
      </c>
      <c r="C119">
        <v>2.5</v>
      </c>
      <c r="F119">
        <v>9.9</v>
      </c>
      <c r="J119">
        <v>0.38</v>
      </c>
      <c r="M119">
        <v>2.2400000000000002</v>
      </c>
      <c r="Q119">
        <v>18337</v>
      </c>
    </row>
    <row r="120" spans="1:17" x14ac:dyDescent="0.3">
      <c r="A120" t="s">
        <v>258</v>
      </c>
      <c r="B120" t="s">
        <v>75</v>
      </c>
      <c r="C120">
        <v>2.5</v>
      </c>
      <c r="D120">
        <v>-1.9</v>
      </c>
      <c r="F120">
        <v>-2.2000000000000002</v>
      </c>
      <c r="G120">
        <v>2.6</v>
      </c>
      <c r="J120">
        <v>0.25</v>
      </c>
      <c r="K120">
        <v>-0.35</v>
      </c>
      <c r="M120">
        <v>-1.19</v>
      </c>
      <c r="N120">
        <v>1.47</v>
      </c>
      <c r="Q120">
        <v>10811</v>
      </c>
    </row>
    <row r="121" spans="1:17" x14ac:dyDescent="0.3">
      <c r="A121" t="s">
        <v>73</v>
      </c>
      <c r="B121" t="s">
        <v>28</v>
      </c>
      <c r="C121">
        <v>2.5</v>
      </c>
      <c r="D121">
        <v>4.8</v>
      </c>
      <c r="E121">
        <v>7.4</v>
      </c>
      <c r="G121">
        <v>3.1</v>
      </c>
      <c r="J121">
        <v>0.52</v>
      </c>
      <c r="K121">
        <v>2.73</v>
      </c>
      <c r="L121">
        <v>5.52</v>
      </c>
      <c r="N121">
        <v>1.75</v>
      </c>
      <c r="Q121">
        <v>13764</v>
      </c>
    </row>
    <row r="122" spans="1:17" x14ac:dyDescent="0.3">
      <c r="A122" t="s">
        <v>160</v>
      </c>
      <c r="B122" t="s">
        <v>75</v>
      </c>
      <c r="C122">
        <v>2.5</v>
      </c>
      <c r="E122">
        <v>8.1999999999999993</v>
      </c>
      <c r="F122">
        <v>1</v>
      </c>
      <c r="G122">
        <v>-5</v>
      </c>
      <c r="J122">
        <v>0.7</v>
      </c>
      <c r="L122">
        <v>1.68</v>
      </c>
      <c r="M122">
        <v>0.52</v>
      </c>
      <c r="N122">
        <v>-5.19</v>
      </c>
      <c r="Q122">
        <v>9388</v>
      </c>
    </row>
    <row r="123" spans="1:17" x14ac:dyDescent="0.3">
      <c r="A123" t="s">
        <v>240</v>
      </c>
      <c r="B123" t="s">
        <v>38</v>
      </c>
      <c r="C123">
        <v>2.2999999999999998</v>
      </c>
      <c r="D123">
        <v>5.6</v>
      </c>
      <c r="G123">
        <v>2</v>
      </c>
      <c r="J123">
        <v>0.2</v>
      </c>
      <c r="K123">
        <v>0.59</v>
      </c>
      <c r="N123">
        <v>0.53</v>
      </c>
      <c r="Q123">
        <v>10603</v>
      </c>
    </row>
    <row r="124" spans="1:17" x14ac:dyDescent="0.3">
      <c r="A124" t="s">
        <v>106</v>
      </c>
      <c r="B124" t="s">
        <v>75</v>
      </c>
      <c r="C124">
        <v>2.2000000000000002</v>
      </c>
      <c r="D124">
        <v>0.7</v>
      </c>
      <c r="F124">
        <v>3.7</v>
      </c>
      <c r="G124">
        <v>-1</v>
      </c>
      <c r="J124">
        <v>0.28999999999999998</v>
      </c>
      <c r="K124">
        <v>0.66</v>
      </c>
      <c r="M124">
        <v>1.64</v>
      </c>
      <c r="N124">
        <v>-1.19</v>
      </c>
      <c r="Q124">
        <v>16943</v>
      </c>
    </row>
    <row r="125" spans="1:17" x14ac:dyDescent="0.3">
      <c r="A125" t="s">
        <v>101</v>
      </c>
      <c r="B125" t="s">
        <v>102</v>
      </c>
      <c r="C125">
        <v>2.2000000000000002</v>
      </c>
      <c r="D125">
        <v>3.2</v>
      </c>
      <c r="G125">
        <v>5.4</v>
      </c>
      <c r="J125">
        <v>0.73</v>
      </c>
      <c r="K125">
        <v>0.98</v>
      </c>
      <c r="N125">
        <v>4.0599999999999996</v>
      </c>
      <c r="Q125">
        <v>18282</v>
      </c>
    </row>
    <row r="126" spans="1:17" x14ac:dyDescent="0.3">
      <c r="A126" t="s">
        <v>219</v>
      </c>
      <c r="B126" t="s">
        <v>40</v>
      </c>
      <c r="C126">
        <v>2.2000000000000002</v>
      </c>
      <c r="D126">
        <v>1.2</v>
      </c>
      <c r="H126">
        <v>-2.2000000000000002</v>
      </c>
      <c r="J126">
        <v>0.22</v>
      </c>
      <c r="K126">
        <v>0.44</v>
      </c>
      <c r="O126">
        <v>-12.29</v>
      </c>
      <c r="Q126">
        <v>15552</v>
      </c>
    </row>
    <row r="127" spans="1:17" x14ac:dyDescent="0.3">
      <c r="A127" t="s">
        <v>145</v>
      </c>
      <c r="B127" t="s">
        <v>146</v>
      </c>
      <c r="C127">
        <v>2.1</v>
      </c>
      <c r="D127">
        <v>4</v>
      </c>
      <c r="F127">
        <v>-5.6</v>
      </c>
      <c r="G127">
        <v>12.3</v>
      </c>
      <c r="J127">
        <v>0.16</v>
      </c>
      <c r="K127">
        <v>1.05</v>
      </c>
      <c r="M127">
        <v>-3.43</v>
      </c>
      <c r="N127">
        <v>1.58</v>
      </c>
      <c r="Q127">
        <v>16269</v>
      </c>
    </row>
    <row r="128" spans="1:17" x14ac:dyDescent="0.3">
      <c r="A128" t="s">
        <v>309</v>
      </c>
      <c r="B128" t="s">
        <v>36</v>
      </c>
      <c r="C128">
        <v>2.1</v>
      </c>
      <c r="D128">
        <v>-2.5</v>
      </c>
      <c r="J128">
        <v>0.36</v>
      </c>
      <c r="K128">
        <v>-0.77</v>
      </c>
      <c r="Q128">
        <v>15042</v>
      </c>
    </row>
    <row r="129" spans="1:17" x14ac:dyDescent="0.3">
      <c r="A129" t="s">
        <v>184</v>
      </c>
      <c r="B129" t="s">
        <v>34</v>
      </c>
      <c r="C129">
        <v>2.1</v>
      </c>
      <c r="D129">
        <v>-1</v>
      </c>
      <c r="E129">
        <v>4.2</v>
      </c>
      <c r="F129">
        <v>5.4</v>
      </c>
      <c r="G129">
        <v>4.7</v>
      </c>
      <c r="J129">
        <v>0.14000000000000001</v>
      </c>
      <c r="K129">
        <v>-3.64</v>
      </c>
      <c r="L129">
        <v>0.85</v>
      </c>
      <c r="M129">
        <v>1.08</v>
      </c>
      <c r="N129">
        <v>1.3</v>
      </c>
      <c r="Q129">
        <v>7754</v>
      </c>
    </row>
    <row r="130" spans="1:17" x14ac:dyDescent="0.3">
      <c r="A130" t="s">
        <v>307</v>
      </c>
      <c r="B130" t="s">
        <v>95</v>
      </c>
      <c r="C130">
        <v>2.1</v>
      </c>
      <c r="D130">
        <v>-10</v>
      </c>
      <c r="F130">
        <v>-2.7</v>
      </c>
      <c r="G130">
        <v>-1.9</v>
      </c>
      <c r="J130">
        <v>0.15</v>
      </c>
      <c r="K130">
        <v>-2.3199999999999998</v>
      </c>
      <c r="M130">
        <v>-1.07</v>
      </c>
      <c r="N130">
        <v>-8.1199999999999992</v>
      </c>
      <c r="Q130">
        <v>11189</v>
      </c>
    </row>
    <row r="131" spans="1:17" x14ac:dyDescent="0.3">
      <c r="A131" t="s">
        <v>141</v>
      </c>
      <c r="B131" t="s">
        <v>98</v>
      </c>
      <c r="C131">
        <v>2</v>
      </c>
      <c r="D131">
        <v>-2</v>
      </c>
      <c r="F131">
        <v>7</v>
      </c>
      <c r="G131">
        <v>-2.2000000000000002</v>
      </c>
      <c r="J131">
        <v>0.42</v>
      </c>
      <c r="K131">
        <v>-0.67</v>
      </c>
      <c r="M131">
        <v>2.6</v>
      </c>
      <c r="N131">
        <v>-0.84</v>
      </c>
      <c r="Q131">
        <v>18333</v>
      </c>
    </row>
    <row r="132" spans="1:17" x14ac:dyDescent="0.3">
      <c r="A132" t="s">
        <v>235</v>
      </c>
      <c r="B132" t="s">
        <v>127</v>
      </c>
      <c r="C132">
        <v>2</v>
      </c>
      <c r="D132">
        <v>1.6</v>
      </c>
      <c r="F132">
        <v>-1.3</v>
      </c>
      <c r="G132">
        <v>2.5</v>
      </c>
      <c r="J132">
        <v>0.17</v>
      </c>
      <c r="K132">
        <v>0.28000000000000003</v>
      </c>
      <c r="M132">
        <v>-0.69</v>
      </c>
      <c r="N132">
        <v>0.98</v>
      </c>
      <c r="Q132">
        <v>3542</v>
      </c>
    </row>
    <row r="133" spans="1:17" x14ac:dyDescent="0.3">
      <c r="A133" t="s">
        <v>270</v>
      </c>
      <c r="B133" t="s">
        <v>159</v>
      </c>
      <c r="C133">
        <v>2</v>
      </c>
      <c r="D133">
        <v>-0.2</v>
      </c>
      <c r="F133">
        <v>-6.1</v>
      </c>
      <c r="G133">
        <v>0.1</v>
      </c>
      <c r="J133">
        <v>0.11</v>
      </c>
      <c r="K133">
        <v>-0.04</v>
      </c>
      <c r="M133">
        <v>-1.87</v>
      </c>
      <c r="N133">
        <v>0.16</v>
      </c>
      <c r="Q133">
        <v>16207</v>
      </c>
    </row>
    <row r="134" spans="1:17" x14ac:dyDescent="0.3">
      <c r="A134" t="s">
        <v>238</v>
      </c>
      <c r="B134" t="s">
        <v>159</v>
      </c>
      <c r="C134">
        <v>1.8</v>
      </c>
      <c r="D134">
        <v>1.4</v>
      </c>
      <c r="G134">
        <v>-6.7</v>
      </c>
      <c r="J134">
        <v>0.25</v>
      </c>
      <c r="K134">
        <v>0.51</v>
      </c>
      <c r="N134">
        <v>-10.94</v>
      </c>
      <c r="Q134">
        <v>15761</v>
      </c>
    </row>
    <row r="135" spans="1:17" x14ac:dyDescent="0.3">
      <c r="A135" t="s">
        <v>218</v>
      </c>
      <c r="B135" t="s">
        <v>83</v>
      </c>
      <c r="C135">
        <v>1.7</v>
      </c>
      <c r="D135">
        <v>-3.9</v>
      </c>
      <c r="G135">
        <v>3.7</v>
      </c>
      <c r="J135">
        <v>0.4</v>
      </c>
      <c r="K135">
        <v>-4.5</v>
      </c>
      <c r="N135">
        <v>1.19</v>
      </c>
      <c r="Q135">
        <v>3132</v>
      </c>
    </row>
    <row r="136" spans="1:17" x14ac:dyDescent="0.3">
      <c r="A136" t="s">
        <v>162</v>
      </c>
      <c r="B136" t="s">
        <v>75</v>
      </c>
      <c r="C136">
        <v>1.6</v>
      </c>
      <c r="D136">
        <v>-2.5</v>
      </c>
      <c r="E136">
        <v>-0.2</v>
      </c>
      <c r="G136">
        <v>2</v>
      </c>
      <c r="J136">
        <v>0.16</v>
      </c>
      <c r="K136">
        <v>-1.19</v>
      </c>
      <c r="L136">
        <v>-0.05</v>
      </c>
      <c r="N136">
        <v>0.72</v>
      </c>
      <c r="Q136">
        <v>9434</v>
      </c>
    </row>
    <row r="137" spans="1:17" x14ac:dyDescent="0.3">
      <c r="A137" t="s">
        <v>351</v>
      </c>
      <c r="B137" t="s">
        <v>26</v>
      </c>
      <c r="C137">
        <v>1.6</v>
      </c>
      <c r="D137">
        <v>5.8</v>
      </c>
      <c r="J137">
        <v>0.32</v>
      </c>
      <c r="K137">
        <v>1.43</v>
      </c>
      <c r="Q137">
        <v>17793</v>
      </c>
    </row>
    <row r="138" spans="1:17" x14ac:dyDescent="0.3">
      <c r="A138" t="s">
        <v>227</v>
      </c>
      <c r="B138" t="s">
        <v>58</v>
      </c>
      <c r="C138">
        <v>1.6</v>
      </c>
      <c r="D138">
        <v>1.8</v>
      </c>
      <c r="F138">
        <v>2.5</v>
      </c>
      <c r="G138">
        <v>7</v>
      </c>
      <c r="J138">
        <v>0.09</v>
      </c>
      <c r="K138">
        <v>0.38</v>
      </c>
      <c r="M138">
        <v>0.86</v>
      </c>
      <c r="N138">
        <v>1.42</v>
      </c>
      <c r="Q138">
        <v>11762</v>
      </c>
    </row>
    <row r="139" spans="1:17" x14ac:dyDescent="0.3">
      <c r="A139" t="s">
        <v>225</v>
      </c>
      <c r="B139" t="s">
        <v>127</v>
      </c>
      <c r="C139">
        <v>1.6</v>
      </c>
      <c r="D139">
        <v>1</v>
      </c>
      <c r="F139">
        <v>1.4</v>
      </c>
      <c r="G139">
        <v>-1.4</v>
      </c>
      <c r="J139">
        <v>0.28000000000000003</v>
      </c>
      <c r="K139">
        <v>0.18</v>
      </c>
      <c r="M139">
        <v>0.81</v>
      </c>
      <c r="N139">
        <v>-68.13</v>
      </c>
      <c r="Q139">
        <v>14993</v>
      </c>
    </row>
    <row r="140" spans="1:17" x14ac:dyDescent="0.3">
      <c r="A140" t="s">
        <v>299</v>
      </c>
      <c r="B140" t="s">
        <v>48</v>
      </c>
      <c r="C140">
        <v>1.5</v>
      </c>
      <c r="E140">
        <v>-3.6</v>
      </c>
      <c r="F140">
        <v>-2.2000000000000002</v>
      </c>
      <c r="G140">
        <v>-0.2</v>
      </c>
      <c r="J140">
        <v>0.12</v>
      </c>
      <c r="L140">
        <v>-3.17</v>
      </c>
      <c r="M140">
        <v>-0.35</v>
      </c>
      <c r="N140">
        <v>-0.55000000000000004</v>
      </c>
      <c r="Q140">
        <v>11426</v>
      </c>
    </row>
    <row r="141" spans="1:17" x14ac:dyDescent="0.3">
      <c r="A141" t="s">
        <v>272</v>
      </c>
      <c r="B141" t="s">
        <v>95</v>
      </c>
      <c r="C141">
        <v>1.4</v>
      </c>
      <c r="E141">
        <v>-6.8</v>
      </c>
      <c r="F141">
        <v>-0.9</v>
      </c>
      <c r="G141">
        <v>-1.9</v>
      </c>
      <c r="J141">
        <v>0.12</v>
      </c>
      <c r="L141">
        <v>-2.56</v>
      </c>
      <c r="M141">
        <v>-0.31</v>
      </c>
      <c r="N141">
        <v>-0.48</v>
      </c>
      <c r="Q141">
        <v>4153</v>
      </c>
    </row>
    <row r="142" spans="1:17" x14ac:dyDescent="0.3">
      <c r="A142" t="s">
        <v>111</v>
      </c>
      <c r="B142" t="s">
        <v>93</v>
      </c>
      <c r="C142">
        <v>1.4</v>
      </c>
      <c r="D142">
        <v>21.8</v>
      </c>
      <c r="F142">
        <v>1</v>
      </c>
      <c r="G142">
        <v>-3.1</v>
      </c>
      <c r="J142">
        <v>0.08</v>
      </c>
      <c r="K142">
        <v>1.78</v>
      </c>
      <c r="M142">
        <v>0.87</v>
      </c>
      <c r="N142">
        <v>-1.61</v>
      </c>
      <c r="Q142">
        <v>9323</v>
      </c>
    </row>
    <row r="143" spans="1:17" x14ac:dyDescent="0.3">
      <c r="A143" t="s">
        <v>144</v>
      </c>
      <c r="B143" t="s">
        <v>50</v>
      </c>
      <c r="C143">
        <v>1.3</v>
      </c>
      <c r="D143">
        <v>11.3</v>
      </c>
      <c r="G143">
        <v>-1.1000000000000001</v>
      </c>
      <c r="J143">
        <v>0.19</v>
      </c>
      <c r="K143">
        <v>2.17</v>
      </c>
      <c r="N143">
        <v>-15.99</v>
      </c>
      <c r="Q143">
        <v>12777</v>
      </c>
    </row>
    <row r="144" spans="1:17" x14ac:dyDescent="0.3">
      <c r="A144" t="s">
        <v>202</v>
      </c>
      <c r="B144" t="s">
        <v>93</v>
      </c>
      <c r="C144">
        <v>1.3</v>
      </c>
      <c r="D144">
        <v>1.1000000000000001</v>
      </c>
      <c r="G144">
        <v>-1.8</v>
      </c>
      <c r="J144">
        <v>0.14000000000000001</v>
      </c>
      <c r="K144">
        <v>1.85</v>
      </c>
      <c r="N144">
        <v>-2.79</v>
      </c>
      <c r="Q144">
        <v>1581</v>
      </c>
    </row>
    <row r="145" spans="1:17" x14ac:dyDescent="0.3">
      <c r="A145" t="s">
        <v>298</v>
      </c>
      <c r="B145" t="s">
        <v>143</v>
      </c>
      <c r="C145">
        <v>1.3</v>
      </c>
      <c r="D145">
        <v>-0.3</v>
      </c>
      <c r="E145">
        <v>-4.3</v>
      </c>
      <c r="G145">
        <v>0.2</v>
      </c>
      <c r="J145">
        <v>0.22</v>
      </c>
      <c r="K145">
        <v>-4.5</v>
      </c>
      <c r="L145">
        <v>-0.72</v>
      </c>
      <c r="N145">
        <v>0.16</v>
      </c>
      <c r="Q145">
        <v>5448</v>
      </c>
    </row>
    <row r="146" spans="1:17" x14ac:dyDescent="0.3">
      <c r="A146" t="s">
        <v>72</v>
      </c>
      <c r="B146" t="s">
        <v>34</v>
      </c>
      <c r="C146">
        <v>1.2</v>
      </c>
      <c r="D146">
        <v>9.9</v>
      </c>
      <c r="H146">
        <v>2.2000000000000002</v>
      </c>
      <c r="J146">
        <v>0.15</v>
      </c>
      <c r="K146">
        <v>2.67</v>
      </c>
      <c r="O146">
        <v>0.81</v>
      </c>
      <c r="Q146">
        <v>14309</v>
      </c>
    </row>
    <row r="147" spans="1:17" x14ac:dyDescent="0.3">
      <c r="A147" t="s">
        <v>212</v>
      </c>
      <c r="B147" t="s">
        <v>28</v>
      </c>
      <c r="C147">
        <v>1.2</v>
      </c>
      <c r="D147">
        <v>3.9</v>
      </c>
      <c r="F147">
        <v>-0.5</v>
      </c>
      <c r="G147">
        <v>-0.8</v>
      </c>
      <c r="J147">
        <v>0.14000000000000001</v>
      </c>
      <c r="K147">
        <v>0.9</v>
      </c>
      <c r="M147">
        <v>-0.49</v>
      </c>
      <c r="N147">
        <v>-0.89</v>
      </c>
      <c r="Q147">
        <v>5401</v>
      </c>
    </row>
    <row r="148" spans="1:17" x14ac:dyDescent="0.3">
      <c r="A148" t="s">
        <v>88</v>
      </c>
      <c r="B148" t="s">
        <v>89</v>
      </c>
      <c r="C148">
        <v>1.2</v>
      </c>
      <c r="D148">
        <v>11.6</v>
      </c>
      <c r="E148">
        <v>-0.2</v>
      </c>
      <c r="F148">
        <v>16.899999999999999</v>
      </c>
      <c r="G148">
        <v>4.3</v>
      </c>
      <c r="J148">
        <v>0.08</v>
      </c>
      <c r="K148">
        <v>1.84</v>
      </c>
      <c r="L148">
        <v>-1.33</v>
      </c>
      <c r="M148">
        <v>2.35</v>
      </c>
      <c r="N148">
        <v>2.42</v>
      </c>
      <c r="Q148">
        <v>12768</v>
      </c>
    </row>
    <row r="149" spans="1:17" x14ac:dyDescent="0.3">
      <c r="A149" t="s">
        <v>221</v>
      </c>
      <c r="B149" t="s">
        <v>127</v>
      </c>
      <c r="C149">
        <v>1.1000000000000001</v>
      </c>
      <c r="D149">
        <v>10.3</v>
      </c>
      <c r="G149">
        <v>0.3</v>
      </c>
      <c r="H149">
        <v>-0.5</v>
      </c>
      <c r="J149">
        <v>0.06</v>
      </c>
      <c r="K149">
        <v>1.2</v>
      </c>
      <c r="N149">
        <v>2.54</v>
      </c>
      <c r="O149">
        <v>-1.21</v>
      </c>
      <c r="Q149">
        <v>15734</v>
      </c>
    </row>
    <row r="150" spans="1:17" x14ac:dyDescent="0.3">
      <c r="A150" t="s">
        <v>54</v>
      </c>
      <c r="B150" t="s">
        <v>28</v>
      </c>
      <c r="C150">
        <v>1.1000000000000001</v>
      </c>
      <c r="D150">
        <v>5.5</v>
      </c>
      <c r="F150">
        <v>7.9</v>
      </c>
      <c r="J150">
        <v>0.37</v>
      </c>
      <c r="K150">
        <v>2.25</v>
      </c>
      <c r="M150">
        <v>2.69</v>
      </c>
      <c r="Q150">
        <v>7005</v>
      </c>
    </row>
    <row r="151" spans="1:17" x14ac:dyDescent="0.3">
      <c r="A151" t="s">
        <v>110</v>
      </c>
      <c r="B151" t="s">
        <v>62</v>
      </c>
      <c r="C151">
        <v>0.9</v>
      </c>
      <c r="D151">
        <v>8.3000000000000007</v>
      </c>
      <c r="H151">
        <v>-1.2</v>
      </c>
      <c r="J151">
        <v>0.19</v>
      </c>
      <c r="K151">
        <v>1.59</v>
      </c>
      <c r="O151">
        <v>-9.23</v>
      </c>
      <c r="Q151">
        <v>13360</v>
      </c>
    </row>
    <row r="152" spans="1:17" x14ac:dyDescent="0.3">
      <c r="A152" t="s">
        <v>79</v>
      </c>
      <c r="B152" t="s">
        <v>34</v>
      </c>
      <c r="C152">
        <v>0.9</v>
      </c>
      <c r="D152">
        <v>8.5</v>
      </c>
      <c r="F152">
        <v>5.7</v>
      </c>
      <c r="G152">
        <v>5.6</v>
      </c>
      <c r="J152">
        <v>0.17</v>
      </c>
      <c r="K152">
        <v>3.47</v>
      </c>
      <c r="M152">
        <v>3.46</v>
      </c>
      <c r="N152">
        <v>2.5</v>
      </c>
      <c r="Q152">
        <v>4020</v>
      </c>
    </row>
    <row r="153" spans="1:17" x14ac:dyDescent="0.3">
      <c r="A153" t="s">
        <v>226</v>
      </c>
      <c r="B153" t="s">
        <v>38</v>
      </c>
      <c r="C153">
        <v>0.8</v>
      </c>
      <c r="E153">
        <v>0.5</v>
      </c>
      <c r="F153">
        <v>1.7</v>
      </c>
      <c r="G153">
        <v>-3.1</v>
      </c>
      <c r="J153">
        <v>0.08</v>
      </c>
      <c r="L153">
        <v>0.14000000000000001</v>
      </c>
      <c r="M153">
        <v>3.65</v>
      </c>
      <c r="N153">
        <v>-0.65</v>
      </c>
      <c r="Q153">
        <v>3184</v>
      </c>
    </row>
    <row r="154" spans="1:17" x14ac:dyDescent="0.3">
      <c r="A154" t="s">
        <v>118</v>
      </c>
      <c r="B154" t="s">
        <v>48</v>
      </c>
      <c r="C154">
        <v>0.8</v>
      </c>
      <c r="D154">
        <v>1.7</v>
      </c>
      <c r="E154">
        <v>5.5</v>
      </c>
      <c r="G154">
        <v>0.9</v>
      </c>
      <c r="J154">
        <v>0.16</v>
      </c>
      <c r="K154">
        <v>2.8</v>
      </c>
      <c r="L154">
        <v>2.63</v>
      </c>
      <c r="N154">
        <v>0.96</v>
      </c>
      <c r="Q154">
        <v>11710</v>
      </c>
    </row>
    <row r="155" spans="1:17" x14ac:dyDescent="0.3">
      <c r="A155" t="s">
        <v>209</v>
      </c>
      <c r="B155" t="s">
        <v>48</v>
      </c>
      <c r="C155">
        <v>0.8</v>
      </c>
      <c r="D155">
        <v>-2.1</v>
      </c>
      <c r="F155">
        <v>-0.4</v>
      </c>
      <c r="J155">
        <v>0.17</v>
      </c>
      <c r="K155">
        <v>-1.34</v>
      </c>
      <c r="M155">
        <v>-0.15</v>
      </c>
      <c r="Q155">
        <v>3950</v>
      </c>
    </row>
    <row r="156" spans="1:17" x14ac:dyDescent="0.3">
      <c r="A156" t="s">
        <v>35</v>
      </c>
      <c r="B156" t="s">
        <v>36</v>
      </c>
      <c r="C156">
        <v>0.8</v>
      </c>
      <c r="D156">
        <v>12.8</v>
      </c>
      <c r="J156">
        <v>0.19</v>
      </c>
      <c r="K156">
        <v>3.21</v>
      </c>
      <c r="Q156">
        <v>12910</v>
      </c>
    </row>
    <row r="157" spans="1:17" x14ac:dyDescent="0.3">
      <c r="A157" t="s">
        <v>194</v>
      </c>
      <c r="B157" t="s">
        <v>62</v>
      </c>
      <c r="C157">
        <v>0.7</v>
      </c>
      <c r="D157">
        <v>1.4</v>
      </c>
      <c r="G157">
        <v>4.2</v>
      </c>
      <c r="J157">
        <v>0.22</v>
      </c>
      <c r="K157">
        <v>0.32</v>
      </c>
      <c r="N157">
        <v>1.0900000000000001</v>
      </c>
      <c r="Q157">
        <v>12800</v>
      </c>
    </row>
    <row r="158" spans="1:17" x14ac:dyDescent="0.3">
      <c r="A158" t="s">
        <v>165</v>
      </c>
      <c r="B158" t="s">
        <v>98</v>
      </c>
      <c r="C158">
        <v>0.7</v>
      </c>
      <c r="D158">
        <v>4.9000000000000004</v>
      </c>
      <c r="J158">
        <v>0.12</v>
      </c>
      <c r="K158">
        <v>1.41</v>
      </c>
      <c r="Q158">
        <v>12988</v>
      </c>
    </row>
    <row r="159" spans="1:17" x14ac:dyDescent="0.3">
      <c r="A159" t="s">
        <v>154</v>
      </c>
      <c r="B159" t="s">
        <v>28</v>
      </c>
      <c r="C159">
        <v>0.6</v>
      </c>
      <c r="D159">
        <v>1</v>
      </c>
      <c r="G159">
        <v>-1.7</v>
      </c>
      <c r="J159">
        <v>0.1</v>
      </c>
      <c r="K159">
        <v>0.28999999999999998</v>
      </c>
      <c r="N159">
        <v>-3.89</v>
      </c>
      <c r="Q159">
        <v>2391</v>
      </c>
    </row>
    <row r="160" spans="1:17" x14ac:dyDescent="0.3">
      <c r="A160" t="s">
        <v>341</v>
      </c>
      <c r="B160" t="s">
        <v>48</v>
      </c>
      <c r="C160">
        <v>0.6</v>
      </c>
      <c r="D160">
        <v>-1.3</v>
      </c>
      <c r="E160">
        <v>1.6</v>
      </c>
      <c r="G160">
        <v>-0.4</v>
      </c>
      <c r="J160">
        <v>0.11</v>
      </c>
      <c r="K160">
        <v>-0.73</v>
      </c>
      <c r="L160">
        <v>1.75</v>
      </c>
      <c r="N160">
        <v>-0.21</v>
      </c>
      <c r="Q160">
        <v>6627</v>
      </c>
    </row>
    <row r="161" spans="1:17" x14ac:dyDescent="0.3">
      <c r="A161" t="s">
        <v>233</v>
      </c>
      <c r="B161" t="s">
        <v>143</v>
      </c>
      <c r="C161">
        <v>0.6</v>
      </c>
      <c r="D161">
        <v>0.1</v>
      </c>
      <c r="F161">
        <v>-0.2</v>
      </c>
      <c r="G161">
        <v>4.5</v>
      </c>
      <c r="H161">
        <v>0.3</v>
      </c>
      <c r="J161">
        <v>0.09</v>
      </c>
      <c r="K161">
        <v>3.91</v>
      </c>
      <c r="M161">
        <v>-0.94</v>
      </c>
      <c r="N161">
        <v>0.94</v>
      </c>
      <c r="O161">
        <v>0.21</v>
      </c>
      <c r="Q161">
        <v>14524</v>
      </c>
    </row>
    <row r="162" spans="1:17" x14ac:dyDescent="0.3">
      <c r="A162" t="s">
        <v>342</v>
      </c>
      <c r="B162" t="s">
        <v>93</v>
      </c>
      <c r="C162">
        <v>0.5</v>
      </c>
      <c r="D162">
        <v>-2.7</v>
      </c>
      <c r="F162">
        <v>-0.4</v>
      </c>
      <c r="G162">
        <v>-3.6</v>
      </c>
      <c r="J162">
        <v>0.08</v>
      </c>
      <c r="K162">
        <v>-1.1299999999999999</v>
      </c>
      <c r="M162">
        <v>-0.38</v>
      </c>
      <c r="N162">
        <v>-4.2300000000000004</v>
      </c>
      <c r="Q162">
        <v>12972</v>
      </c>
    </row>
    <row r="163" spans="1:17" x14ac:dyDescent="0.3">
      <c r="A163" t="s">
        <v>179</v>
      </c>
      <c r="B163" t="s">
        <v>93</v>
      </c>
      <c r="C163">
        <v>0.5</v>
      </c>
      <c r="D163">
        <v>-2.2999999999999998</v>
      </c>
      <c r="E163">
        <v>5.9</v>
      </c>
      <c r="F163">
        <v>-0.7</v>
      </c>
      <c r="G163">
        <v>3.3</v>
      </c>
      <c r="J163">
        <v>0.06</v>
      </c>
      <c r="K163">
        <v>-2.73</v>
      </c>
      <c r="L163">
        <v>0.79</v>
      </c>
      <c r="M163">
        <v>-0.45</v>
      </c>
      <c r="N163">
        <v>0.44</v>
      </c>
      <c r="Q163">
        <v>3284</v>
      </c>
    </row>
    <row r="164" spans="1:17" x14ac:dyDescent="0.3">
      <c r="A164" t="s">
        <v>313</v>
      </c>
      <c r="B164" t="s">
        <v>71</v>
      </c>
      <c r="C164">
        <v>0.5</v>
      </c>
      <c r="F164">
        <v>2</v>
      </c>
      <c r="G164">
        <v>-0.5</v>
      </c>
      <c r="J164">
        <v>0.1</v>
      </c>
      <c r="M164">
        <v>0.8</v>
      </c>
      <c r="N164">
        <v>-0.77</v>
      </c>
      <c r="Q164">
        <v>9490</v>
      </c>
    </row>
    <row r="165" spans="1:17" x14ac:dyDescent="0.3">
      <c r="A165" t="s">
        <v>207</v>
      </c>
      <c r="B165" t="s">
        <v>159</v>
      </c>
      <c r="C165">
        <v>0.5</v>
      </c>
      <c r="D165">
        <v>1.5</v>
      </c>
      <c r="E165">
        <v>-2.5</v>
      </c>
      <c r="F165">
        <v>-0.7</v>
      </c>
      <c r="G165">
        <v>0.5</v>
      </c>
      <c r="J165">
        <v>0.12</v>
      </c>
      <c r="K165">
        <v>1.37</v>
      </c>
      <c r="L165">
        <v>-0.78</v>
      </c>
      <c r="M165">
        <v>-0.89</v>
      </c>
      <c r="N165">
        <v>0.12</v>
      </c>
      <c r="Q165">
        <v>12575</v>
      </c>
    </row>
    <row r="166" spans="1:17" x14ac:dyDescent="0.3">
      <c r="A166" t="s">
        <v>319</v>
      </c>
      <c r="B166" t="s">
        <v>89</v>
      </c>
      <c r="C166">
        <v>0.4</v>
      </c>
      <c r="E166">
        <v>-6.9</v>
      </c>
      <c r="F166">
        <v>-1</v>
      </c>
      <c r="H166">
        <v>3.9</v>
      </c>
      <c r="J166">
        <v>0.03</v>
      </c>
      <c r="L166">
        <v>-4.5599999999999996</v>
      </c>
      <c r="M166">
        <v>-0.2</v>
      </c>
      <c r="O166">
        <v>1.31</v>
      </c>
      <c r="Q166">
        <v>16358</v>
      </c>
    </row>
    <row r="167" spans="1:17" x14ac:dyDescent="0.3">
      <c r="A167" t="s">
        <v>205</v>
      </c>
      <c r="B167" t="s">
        <v>71</v>
      </c>
      <c r="C167">
        <v>0.4</v>
      </c>
      <c r="D167">
        <v>1.4</v>
      </c>
      <c r="G167">
        <v>-0.4</v>
      </c>
      <c r="J167">
        <v>0.08</v>
      </c>
      <c r="K167">
        <v>0.81</v>
      </c>
      <c r="N167">
        <v>-0.11</v>
      </c>
      <c r="Q167">
        <v>12890</v>
      </c>
    </row>
    <row r="168" spans="1:17" x14ac:dyDescent="0.3">
      <c r="A168" t="s">
        <v>201</v>
      </c>
      <c r="B168" t="s">
        <v>53</v>
      </c>
      <c r="C168">
        <v>0.2</v>
      </c>
      <c r="D168">
        <v>19</v>
      </c>
      <c r="E168">
        <v>0.4</v>
      </c>
      <c r="F168">
        <v>-0.8</v>
      </c>
      <c r="G168">
        <v>4.3</v>
      </c>
      <c r="J168">
        <v>0.02</v>
      </c>
      <c r="K168">
        <v>2.54</v>
      </c>
      <c r="L168">
        <v>2.2000000000000002</v>
      </c>
      <c r="M168">
        <v>-0.43</v>
      </c>
      <c r="N168">
        <v>0.74</v>
      </c>
      <c r="Q168">
        <v>18498</v>
      </c>
    </row>
    <row r="169" spans="1:17" x14ac:dyDescent="0.3">
      <c r="A169" t="s">
        <v>190</v>
      </c>
      <c r="B169" t="s">
        <v>28</v>
      </c>
      <c r="C169">
        <v>0.1</v>
      </c>
      <c r="D169">
        <v>-2.1</v>
      </c>
      <c r="E169">
        <v>-2.4</v>
      </c>
      <c r="F169">
        <v>-3.7</v>
      </c>
      <c r="G169">
        <v>10.1</v>
      </c>
      <c r="J169">
        <v>0.02</v>
      </c>
      <c r="K169">
        <v>-7.55</v>
      </c>
      <c r="L169">
        <v>-0.17</v>
      </c>
      <c r="M169">
        <v>-1.35</v>
      </c>
      <c r="N169">
        <v>1.69</v>
      </c>
      <c r="Q169">
        <v>8779</v>
      </c>
    </row>
    <row r="170" spans="1:17" x14ac:dyDescent="0.3">
      <c r="A170" t="s">
        <v>94</v>
      </c>
      <c r="B170" t="s">
        <v>95</v>
      </c>
      <c r="C170">
        <v>0</v>
      </c>
      <c r="H170">
        <v>11.2</v>
      </c>
      <c r="J170">
        <v>0.01</v>
      </c>
      <c r="O170">
        <v>1.53</v>
      </c>
      <c r="Q170">
        <v>11804</v>
      </c>
    </row>
    <row r="171" spans="1:17" x14ac:dyDescent="0.3">
      <c r="A171" t="s">
        <v>133</v>
      </c>
      <c r="B171" t="s">
        <v>53</v>
      </c>
      <c r="C171">
        <v>0</v>
      </c>
      <c r="D171">
        <v>-1.4</v>
      </c>
      <c r="F171">
        <v>8.8000000000000007</v>
      </c>
      <c r="G171">
        <v>-0.1</v>
      </c>
      <c r="J171">
        <v>0</v>
      </c>
      <c r="K171">
        <v>-0.52</v>
      </c>
      <c r="M171">
        <v>2.13</v>
      </c>
      <c r="N171">
        <v>-0.05</v>
      </c>
      <c r="Q171">
        <v>13273</v>
      </c>
    </row>
    <row r="172" spans="1:17" x14ac:dyDescent="0.3">
      <c r="A172" t="s">
        <v>259</v>
      </c>
      <c r="B172" t="s">
        <v>93</v>
      </c>
      <c r="C172">
        <v>0</v>
      </c>
      <c r="E172">
        <v>7.5</v>
      </c>
      <c r="F172">
        <v>-3.4</v>
      </c>
      <c r="G172">
        <v>5.9</v>
      </c>
      <c r="J172">
        <v>-2.98</v>
      </c>
      <c r="L172">
        <v>0.86</v>
      </c>
      <c r="M172">
        <v>-4.04</v>
      </c>
      <c r="N172">
        <v>2.36</v>
      </c>
      <c r="Q172">
        <v>15855</v>
      </c>
    </row>
    <row r="173" spans="1:17" x14ac:dyDescent="0.3">
      <c r="A173" t="s">
        <v>334</v>
      </c>
      <c r="B173" t="s">
        <v>46</v>
      </c>
      <c r="C173">
        <v>-0.1</v>
      </c>
      <c r="D173">
        <v>-1.2</v>
      </c>
      <c r="E173">
        <v>1.2</v>
      </c>
      <c r="F173">
        <v>-2.8</v>
      </c>
      <c r="G173">
        <v>-0.8</v>
      </c>
      <c r="J173">
        <v>-6.2</v>
      </c>
      <c r="K173">
        <v>-1.1299999999999999</v>
      </c>
      <c r="L173">
        <v>0.13</v>
      </c>
      <c r="M173">
        <v>-2.88</v>
      </c>
      <c r="N173">
        <v>-0.88</v>
      </c>
      <c r="Q173">
        <v>8110</v>
      </c>
    </row>
    <row r="174" spans="1:17" x14ac:dyDescent="0.3">
      <c r="A174" t="s">
        <v>91</v>
      </c>
      <c r="B174" t="s">
        <v>89</v>
      </c>
      <c r="C174">
        <v>-0.2</v>
      </c>
      <c r="D174">
        <v>-0.3</v>
      </c>
      <c r="E174">
        <v>4.5</v>
      </c>
      <c r="F174">
        <v>0.8</v>
      </c>
      <c r="G174">
        <v>6.8</v>
      </c>
      <c r="J174">
        <v>-0.05</v>
      </c>
      <c r="K174">
        <v>-0.26</v>
      </c>
      <c r="L174">
        <v>1.19</v>
      </c>
      <c r="M174">
        <v>0.84</v>
      </c>
      <c r="N174">
        <v>2.64</v>
      </c>
      <c r="Q174">
        <v>14843</v>
      </c>
    </row>
    <row r="175" spans="1:17" x14ac:dyDescent="0.3">
      <c r="A175" t="s">
        <v>198</v>
      </c>
      <c r="B175" t="s">
        <v>75</v>
      </c>
      <c r="C175">
        <v>-0.2</v>
      </c>
      <c r="D175">
        <v>6.4</v>
      </c>
      <c r="F175">
        <v>1.8</v>
      </c>
      <c r="G175">
        <v>-3.2</v>
      </c>
      <c r="J175">
        <v>-0.02</v>
      </c>
      <c r="K175">
        <v>1.51</v>
      </c>
      <c r="M175">
        <v>0.27</v>
      </c>
      <c r="N175">
        <v>-4.95</v>
      </c>
      <c r="Q175">
        <v>13743</v>
      </c>
    </row>
    <row r="176" spans="1:17" x14ac:dyDescent="0.3">
      <c r="A176" t="s">
        <v>295</v>
      </c>
      <c r="B176" t="s">
        <v>34</v>
      </c>
      <c r="C176">
        <v>-0.3</v>
      </c>
      <c r="D176">
        <v>3.6</v>
      </c>
      <c r="E176">
        <v>-1.2</v>
      </c>
      <c r="F176">
        <v>-0.9</v>
      </c>
      <c r="G176">
        <v>-1.5</v>
      </c>
      <c r="J176">
        <v>-0.05</v>
      </c>
      <c r="K176">
        <v>2.95</v>
      </c>
      <c r="L176">
        <v>-0.77</v>
      </c>
      <c r="M176">
        <v>-0.88</v>
      </c>
      <c r="N176">
        <v>-1.31</v>
      </c>
      <c r="Q176">
        <v>16980</v>
      </c>
    </row>
    <row r="177" spans="1:17" x14ac:dyDescent="0.3">
      <c r="A177" t="s">
        <v>344</v>
      </c>
      <c r="B177" t="s">
        <v>48</v>
      </c>
      <c r="C177">
        <v>-0.3</v>
      </c>
      <c r="D177">
        <v>-5.2</v>
      </c>
      <c r="F177">
        <v>-3.3</v>
      </c>
      <c r="G177">
        <v>-2.6</v>
      </c>
      <c r="J177">
        <v>-0.04</v>
      </c>
      <c r="K177">
        <v>-1.59</v>
      </c>
      <c r="M177">
        <v>-1.93</v>
      </c>
      <c r="N177">
        <v>-2.81</v>
      </c>
      <c r="Q177">
        <v>13761</v>
      </c>
    </row>
    <row r="178" spans="1:17" x14ac:dyDescent="0.3">
      <c r="A178" t="s">
        <v>173</v>
      </c>
      <c r="B178" t="s">
        <v>56</v>
      </c>
      <c r="C178">
        <v>-0.4</v>
      </c>
      <c r="D178">
        <v>3.2</v>
      </c>
      <c r="F178">
        <v>-2.5</v>
      </c>
      <c r="G178">
        <v>2.2000000000000002</v>
      </c>
      <c r="J178">
        <v>-0.04</v>
      </c>
      <c r="K178">
        <v>0.9</v>
      </c>
      <c r="M178">
        <v>-1.32</v>
      </c>
      <c r="N178">
        <v>0.55000000000000004</v>
      </c>
      <c r="Q178">
        <v>19979</v>
      </c>
    </row>
    <row r="179" spans="1:17" x14ac:dyDescent="0.3">
      <c r="A179" t="s">
        <v>358</v>
      </c>
      <c r="B179" t="s">
        <v>48</v>
      </c>
      <c r="C179">
        <v>-0.5</v>
      </c>
      <c r="E179">
        <v>-2.1</v>
      </c>
      <c r="F179">
        <v>-2.5</v>
      </c>
      <c r="J179">
        <v>-7.0000000000000007E-2</v>
      </c>
      <c r="L179">
        <v>-0.64</v>
      </c>
      <c r="M179">
        <v>-1.79</v>
      </c>
      <c r="Q179">
        <v>12857</v>
      </c>
    </row>
    <row r="180" spans="1:17" x14ac:dyDescent="0.3">
      <c r="A180" t="s">
        <v>84</v>
      </c>
      <c r="B180" t="s">
        <v>43</v>
      </c>
      <c r="C180">
        <v>-0.5</v>
      </c>
      <c r="E180">
        <v>10.7</v>
      </c>
      <c r="J180">
        <v>-0.19</v>
      </c>
      <c r="L180">
        <v>1.55</v>
      </c>
      <c r="Q180">
        <v>6661</v>
      </c>
    </row>
    <row r="181" spans="1:17" x14ac:dyDescent="0.3">
      <c r="A181" t="s">
        <v>260</v>
      </c>
      <c r="B181" t="s">
        <v>48</v>
      </c>
      <c r="C181">
        <v>-0.6</v>
      </c>
      <c r="E181">
        <v>-0.9</v>
      </c>
      <c r="F181">
        <v>0.9</v>
      </c>
      <c r="H181">
        <v>1</v>
      </c>
      <c r="J181">
        <v>-0.12</v>
      </c>
      <c r="L181">
        <v>-1.96</v>
      </c>
      <c r="M181">
        <v>0.56000000000000005</v>
      </c>
      <c r="O181">
        <v>0.31</v>
      </c>
      <c r="Q181">
        <v>5224</v>
      </c>
    </row>
    <row r="182" spans="1:17" x14ac:dyDescent="0.3">
      <c r="A182" t="s">
        <v>326</v>
      </c>
      <c r="B182" t="s">
        <v>46</v>
      </c>
      <c r="C182">
        <v>-0.6</v>
      </c>
      <c r="D182">
        <v>0.1</v>
      </c>
      <c r="F182">
        <v>-3.7</v>
      </c>
      <c r="G182">
        <v>0.5</v>
      </c>
      <c r="J182">
        <v>-0.09</v>
      </c>
      <c r="K182">
        <v>0.02</v>
      </c>
      <c r="M182">
        <v>-3.86</v>
      </c>
      <c r="N182">
        <v>0.37</v>
      </c>
      <c r="Q182">
        <v>14663</v>
      </c>
    </row>
    <row r="183" spans="1:17" x14ac:dyDescent="0.3">
      <c r="A183" t="s">
        <v>286</v>
      </c>
      <c r="B183" t="s">
        <v>43</v>
      </c>
      <c r="C183">
        <v>-0.7</v>
      </c>
      <c r="D183">
        <v>1.6</v>
      </c>
      <c r="F183">
        <v>-4.0999999999999996</v>
      </c>
      <c r="G183">
        <v>2.6</v>
      </c>
      <c r="J183">
        <v>-0.25</v>
      </c>
      <c r="K183">
        <v>0.32</v>
      </c>
      <c r="M183">
        <v>-2.1</v>
      </c>
      <c r="N183">
        <v>3.37</v>
      </c>
      <c r="Q183">
        <v>16159</v>
      </c>
    </row>
    <row r="184" spans="1:17" x14ac:dyDescent="0.3">
      <c r="A184" t="s">
        <v>121</v>
      </c>
      <c r="B184" t="s">
        <v>50</v>
      </c>
      <c r="C184">
        <v>-0.7</v>
      </c>
      <c r="D184">
        <v>5.6</v>
      </c>
      <c r="F184">
        <v>-1.8</v>
      </c>
      <c r="G184">
        <v>-0.8</v>
      </c>
      <c r="J184">
        <v>-0.04</v>
      </c>
      <c r="K184">
        <v>0.77</v>
      </c>
      <c r="M184">
        <v>-0.64</v>
      </c>
      <c r="N184">
        <v>-1.1399999999999999</v>
      </c>
      <c r="Q184">
        <v>19206</v>
      </c>
    </row>
    <row r="185" spans="1:17" x14ac:dyDescent="0.3">
      <c r="A185" t="s">
        <v>346</v>
      </c>
      <c r="B185" t="s">
        <v>58</v>
      </c>
      <c r="C185">
        <v>-0.7</v>
      </c>
      <c r="D185">
        <v>-2.8</v>
      </c>
      <c r="J185">
        <v>-0.11</v>
      </c>
      <c r="K185">
        <v>-0.78</v>
      </c>
      <c r="Q185">
        <v>14710</v>
      </c>
    </row>
    <row r="186" spans="1:17" x14ac:dyDescent="0.3">
      <c r="A186" t="s">
        <v>330</v>
      </c>
      <c r="B186" t="s">
        <v>146</v>
      </c>
      <c r="C186">
        <v>-0.8</v>
      </c>
      <c r="D186">
        <v>-1.8</v>
      </c>
      <c r="G186">
        <v>0.6</v>
      </c>
      <c r="J186">
        <v>-0.14000000000000001</v>
      </c>
      <c r="K186">
        <v>-0.35</v>
      </c>
      <c r="N186">
        <v>4</v>
      </c>
      <c r="Q186">
        <v>15832</v>
      </c>
    </row>
    <row r="187" spans="1:17" x14ac:dyDescent="0.3">
      <c r="A187" t="s">
        <v>224</v>
      </c>
      <c r="B187" t="s">
        <v>58</v>
      </c>
      <c r="C187">
        <v>-0.9</v>
      </c>
      <c r="D187">
        <v>-0.6</v>
      </c>
      <c r="F187">
        <v>-2.6</v>
      </c>
      <c r="G187">
        <v>2.1</v>
      </c>
      <c r="J187">
        <v>-0.06</v>
      </c>
      <c r="K187">
        <v>-0.16</v>
      </c>
      <c r="M187">
        <v>-0.66</v>
      </c>
      <c r="N187">
        <v>0.4</v>
      </c>
      <c r="Q187">
        <v>13361</v>
      </c>
    </row>
    <row r="188" spans="1:17" x14ac:dyDescent="0.3">
      <c r="A188" t="s">
        <v>239</v>
      </c>
      <c r="B188" t="s">
        <v>36</v>
      </c>
      <c r="C188">
        <v>-0.9</v>
      </c>
      <c r="D188">
        <v>-2.7</v>
      </c>
      <c r="E188">
        <v>1.2</v>
      </c>
      <c r="F188">
        <v>0.9</v>
      </c>
      <c r="G188">
        <v>0.7</v>
      </c>
      <c r="J188">
        <v>-0.14000000000000001</v>
      </c>
      <c r="K188">
        <v>-3.81</v>
      </c>
      <c r="L188">
        <v>0.37</v>
      </c>
      <c r="M188">
        <v>0.47</v>
      </c>
      <c r="N188">
        <v>0.6</v>
      </c>
      <c r="Q188">
        <v>18318</v>
      </c>
    </row>
    <row r="189" spans="1:17" x14ac:dyDescent="0.3">
      <c r="A189" t="s">
        <v>236</v>
      </c>
      <c r="B189" t="s">
        <v>48</v>
      </c>
      <c r="C189">
        <v>-0.9</v>
      </c>
      <c r="D189">
        <v>-0.2</v>
      </c>
      <c r="E189">
        <v>-2.6</v>
      </c>
      <c r="F189">
        <v>-4.8</v>
      </c>
      <c r="G189">
        <v>-0.1</v>
      </c>
      <c r="J189">
        <v>-0.06</v>
      </c>
      <c r="K189">
        <v>-0.03</v>
      </c>
      <c r="L189">
        <v>-2.0299999999999998</v>
      </c>
      <c r="M189">
        <v>-1.27</v>
      </c>
      <c r="N189">
        <v>-0.04</v>
      </c>
      <c r="Q189">
        <v>8753</v>
      </c>
    </row>
    <row r="190" spans="1:17" x14ac:dyDescent="0.3">
      <c r="A190" t="s">
        <v>261</v>
      </c>
      <c r="B190" t="s">
        <v>48</v>
      </c>
      <c r="C190">
        <v>-1</v>
      </c>
      <c r="D190">
        <v>0.6</v>
      </c>
      <c r="J190">
        <v>-0.25</v>
      </c>
      <c r="K190">
        <v>0.1</v>
      </c>
      <c r="Q190">
        <v>7466</v>
      </c>
    </row>
    <row r="191" spans="1:17" x14ac:dyDescent="0.3">
      <c r="A191" t="s">
        <v>315</v>
      </c>
      <c r="B191" t="s">
        <v>83</v>
      </c>
      <c r="C191">
        <v>-1</v>
      </c>
      <c r="D191">
        <v>-1.6</v>
      </c>
      <c r="F191">
        <v>0.3</v>
      </c>
      <c r="G191">
        <v>-6.8</v>
      </c>
      <c r="J191">
        <v>-0.09</v>
      </c>
      <c r="K191">
        <v>-0.69</v>
      </c>
      <c r="M191">
        <v>0.11</v>
      </c>
      <c r="N191">
        <v>-1.79</v>
      </c>
      <c r="Q191">
        <v>16981</v>
      </c>
    </row>
    <row r="192" spans="1:17" x14ac:dyDescent="0.3">
      <c r="A192" t="s">
        <v>300</v>
      </c>
      <c r="B192" t="s">
        <v>38</v>
      </c>
      <c r="C192">
        <v>-1.1000000000000001</v>
      </c>
      <c r="D192">
        <v>5.2</v>
      </c>
      <c r="G192">
        <v>-1.7</v>
      </c>
      <c r="J192">
        <v>-0.19</v>
      </c>
      <c r="K192">
        <v>1.68</v>
      </c>
      <c r="N192">
        <v>-2.0099999999999998</v>
      </c>
      <c r="Q192">
        <v>5615</v>
      </c>
    </row>
    <row r="193" spans="1:17" x14ac:dyDescent="0.3">
      <c r="A193" t="s">
        <v>335</v>
      </c>
      <c r="B193" t="s">
        <v>30</v>
      </c>
      <c r="C193">
        <v>-1.1000000000000001</v>
      </c>
      <c r="D193">
        <v>-6.5</v>
      </c>
      <c r="F193">
        <v>-0.9</v>
      </c>
      <c r="G193">
        <v>-5.5</v>
      </c>
      <c r="J193">
        <v>-7.0000000000000007E-2</v>
      </c>
      <c r="K193">
        <v>-1.39</v>
      </c>
      <c r="M193">
        <v>-3.72</v>
      </c>
      <c r="N193">
        <v>-1.92</v>
      </c>
      <c r="Q193">
        <v>16977</v>
      </c>
    </row>
    <row r="194" spans="1:17" x14ac:dyDescent="0.3">
      <c r="A194" t="s">
        <v>188</v>
      </c>
      <c r="B194" t="s">
        <v>48</v>
      </c>
      <c r="C194">
        <v>-1.1000000000000001</v>
      </c>
      <c r="D194">
        <v>0.9</v>
      </c>
      <c r="H194">
        <v>5.3</v>
      </c>
      <c r="J194">
        <v>-0.15</v>
      </c>
      <c r="K194">
        <v>0.32</v>
      </c>
      <c r="O194">
        <v>1.8</v>
      </c>
      <c r="Q194">
        <v>15947</v>
      </c>
    </row>
    <row r="195" spans="1:17" x14ac:dyDescent="0.3">
      <c r="A195" t="s">
        <v>372</v>
      </c>
      <c r="B195" t="s">
        <v>46</v>
      </c>
      <c r="C195">
        <v>-1.2</v>
      </c>
      <c r="E195">
        <v>-3.5</v>
      </c>
      <c r="F195">
        <v>-2.2999999999999998</v>
      </c>
      <c r="G195">
        <v>-3.5</v>
      </c>
      <c r="J195">
        <v>-0.3</v>
      </c>
      <c r="L195">
        <v>-1.93</v>
      </c>
      <c r="M195">
        <v>-1.82</v>
      </c>
      <c r="N195">
        <v>-1.07</v>
      </c>
      <c r="Q195">
        <v>10587</v>
      </c>
    </row>
    <row r="196" spans="1:17" x14ac:dyDescent="0.3">
      <c r="A196" t="s">
        <v>182</v>
      </c>
      <c r="B196" t="s">
        <v>34</v>
      </c>
      <c r="C196">
        <v>-1.2</v>
      </c>
      <c r="D196">
        <v>-0.3</v>
      </c>
      <c r="E196">
        <v>1.4</v>
      </c>
      <c r="F196">
        <v>-0.1</v>
      </c>
      <c r="G196">
        <v>3.9</v>
      </c>
      <c r="J196">
        <v>-0.09</v>
      </c>
      <c r="K196">
        <v>-0.06</v>
      </c>
      <c r="L196">
        <v>0.37</v>
      </c>
      <c r="M196">
        <v>-0.1</v>
      </c>
      <c r="N196">
        <v>1.1100000000000001</v>
      </c>
      <c r="Q196">
        <v>8223</v>
      </c>
    </row>
    <row r="197" spans="1:17" x14ac:dyDescent="0.3">
      <c r="A197" t="s">
        <v>287</v>
      </c>
      <c r="B197" t="s">
        <v>98</v>
      </c>
      <c r="C197">
        <v>-1.2</v>
      </c>
      <c r="F197">
        <v>0.1</v>
      </c>
      <c r="H197">
        <v>3</v>
      </c>
      <c r="J197">
        <v>-0.28000000000000003</v>
      </c>
      <c r="M197">
        <v>2.2000000000000002</v>
      </c>
      <c r="O197">
        <v>0.63</v>
      </c>
      <c r="Q197">
        <v>19756</v>
      </c>
    </row>
    <row r="198" spans="1:17" x14ac:dyDescent="0.3">
      <c r="A198" t="s">
        <v>128</v>
      </c>
      <c r="B198" t="s">
        <v>98</v>
      </c>
      <c r="C198">
        <v>-1.3</v>
      </c>
      <c r="D198">
        <v>2.8</v>
      </c>
      <c r="H198">
        <v>0.7</v>
      </c>
      <c r="J198">
        <v>-0.25</v>
      </c>
      <c r="K198">
        <v>0.83</v>
      </c>
      <c r="O198">
        <v>2.2599999999999998</v>
      </c>
      <c r="Q198">
        <v>17181</v>
      </c>
    </row>
    <row r="199" spans="1:17" x14ac:dyDescent="0.3">
      <c r="A199" t="s">
        <v>136</v>
      </c>
      <c r="B199" t="s">
        <v>98</v>
      </c>
      <c r="C199">
        <v>-1.4</v>
      </c>
      <c r="F199">
        <v>5.0999999999999996</v>
      </c>
      <c r="G199">
        <v>0</v>
      </c>
      <c r="J199">
        <v>-0.15</v>
      </c>
      <c r="M199">
        <v>1.63</v>
      </c>
      <c r="N199">
        <v>0.05</v>
      </c>
      <c r="Q199">
        <v>12918</v>
      </c>
    </row>
    <row r="200" spans="1:17" x14ac:dyDescent="0.3">
      <c r="A200" t="s">
        <v>206</v>
      </c>
      <c r="B200" t="s">
        <v>48</v>
      </c>
      <c r="C200">
        <v>-1.4</v>
      </c>
      <c r="D200">
        <v>-0.7</v>
      </c>
      <c r="G200">
        <v>7.1</v>
      </c>
      <c r="J200">
        <v>-0.35</v>
      </c>
      <c r="K200">
        <v>-0.2</v>
      </c>
      <c r="N200">
        <v>5.23</v>
      </c>
      <c r="Q200">
        <v>7947</v>
      </c>
    </row>
    <row r="201" spans="1:17" x14ac:dyDescent="0.3">
      <c r="A201" t="s">
        <v>331</v>
      </c>
      <c r="B201" t="s">
        <v>26</v>
      </c>
      <c r="C201">
        <v>-1.4</v>
      </c>
      <c r="D201">
        <v>0.6</v>
      </c>
      <c r="E201">
        <v>-2.1</v>
      </c>
      <c r="F201">
        <v>2.4</v>
      </c>
      <c r="G201">
        <v>-3.8</v>
      </c>
      <c r="J201">
        <v>-0.28999999999999998</v>
      </c>
      <c r="K201">
        <v>6.69</v>
      </c>
      <c r="L201">
        <v>-2.2999999999999998</v>
      </c>
      <c r="M201">
        <v>1.1200000000000001</v>
      </c>
      <c r="N201">
        <v>-2.42</v>
      </c>
      <c r="Q201">
        <v>10354</v>
      </c>
    </row>
    <row r="202" spans="1:17" x14ac:dyDescent="0.3">
      <c r="A202" t="s">
        <v>271</v>
      </c>
      <c r="B202" t="s">
        <v>48</v>
      </c>
      <c r="C202">
        <v>-1.5</v>
      </c>
      <c r="D202">
        <v>-0.8</v>
      </c>
      <c r="G202">
        <v>6.9</v>
      </c>
      <c r="J202">
        <v>-0.43</v>
      </c>
      <c r="K202">
        <v>-0.68</v>
      </c>
      <c r="N202">
        <v>2.61</v>
      </c>
      <c r="Q202">
        <v>13442</v>
      </c>
    </row>
    <row r="203" spans="1:17" x14ac:dyDescent="0.3">
      <c r="A203" t="s">
        <v>266</v>
      </c>
      <c r="B203" t="s">
        <v>62</v>
      </c>
      <c r="C203">
        <v>-1.5</v>
      </c>
      <c r="F203">
        <v>8.6</v>
      </c>
      <c r="G203">
        <v>-4.7</v>
      </c>
      <c r="J203">
        <v>-0.19</v>
      </c>
      <c r="M203">
        <v>1.39</v>
      </c>
      <c r="N203">
        <v>-2.62</v>
      </c>
      <c r="Q203">
        <v>13403</v>
      </c>
    </row>
    <row r="204" spans="1:17" x14ac:dyDescent="0.3">
      <c r="A204" t="s">
        <v>312</v>
      </c>
      <c r="B204" t="s">
        <v>40</v>
      </c>
      <c r="C204">
        <v>-1.5</v>
      </c>
      <c r="D204">
        <v>-5.6</v>
      </c>
      <c r="E204">
        <v>-5.2</v>
      </c>
      <c r="G204">
        <v>-0.9</v>
      </c>
      <c r="J204">
        <v>-0.54</v>
      </c>
      <c r="K204">
        <v>-1.06</v>
      </c>
      <c r="L204">
        <v>-0.72</v>
      </c>
      <c r="N204">
        <v>-0.41</v>
      </c>
      <c r="Q204">
        <v>404</v>
      </c>
    </row>
    <row r="205" spans="1:17" x14ac:dyDescent="0.3">
      <c r="A205" t="s">
        <v>82</v>
      </c>
      <c r="B205" t="s">
        <v>83</v>
      </c>
      <c r="C205">
        <v>-1.6</v>
      </c>
      <c r="D205">
        <v>14.3</v>
      </c>
      <c r="F205">
        <v>1.8</v>
      </c>
      <c r="G205">
        <v>0.1</v>
      </c>
      <c r="J205">
        <v>-0.32</v>
      </c>
      <c r="K205">
        <v>3.15</v>
      </c>
      <c r="M205">
        <v>2.23</v>
      </c>
      <c r="N205">
        <v>0.74</v>
      </c>
      <c r="Q205">
        <v>8048</v>
      </c>
    </row>
    <row r="206" spans="1:17" x14ac:dyDescent="0.3">
      <c r="A206" t="s">
        <v>211</v>
      </c>
      <c r="B206" t="s">
        <v>38</v>
      </c>
      <c r="C206">
        <v>-1.6</v>
      </c>
      <c r="D206">
        <v>-0.1</v>
      </c>
      <c r="E206">
        <v>-0.2</v>
      </c>
      <c r="F206">
        <v>-4</v>
      </c>
      <c r="G206">
        <v>0.2</v>
      </c>
      <c r="J206">
        <v>-8.58</v>
      </c>
      <c r="K206">
        <v>-7.0000000000000007E-2</v>
      </c>
      <c r="L206">
        <v>-0.05</v>
      </c>
      <c r="M206">
        <v>-0.88</v>
      </c>
      <c r="N206">
        <v>8.75</v>
      </c>
      <c r="Q206">
        <v>12997</v>
      </c>
    </row>
    <row r="207" spans="1:17" x14ac:dyDescent="0.3">
      <c r="A207" t="s">
        <v>214</v>
      </c>
      <c r="B207" t="s">
        <v>95</v>
      </c>
      <c r="C207">
        <v>-1.8</v>
      </c>
      <c r="D207">
        <v>5.5</v>
      </c>
      <c r="E207">
        <v>-1.7</v>
      </c>
      <c r="F207">
        <v>-1.7</v>
      </c>
      <c r="G207">
        <v>-4</v>
      </c>
      <c r="J207">
        <v>-0.12</v>
      </c>
      <c r="K207">
        <v>0.77</v>
      </c>
      <c r="L207">
        <v>-1.91</v>
      </c>
      <c r="M207">
        <v>-1.24</v>
      </c>
      <c r="N207">
        <v>-1.98</v>
      </c>
      <c r="Q207">
        <v>13774</v>
      </c>
    </row>
    <row r="208" spans="1:17" x14ac:dyDescent="0.3">
      <c r="A208" t="s">
        <v>339</v>
      </c>
      <c r="B208" t="s">
        <v>83</v>
      </c>
      <c r="C208">
        <v>-1.9</v>
      </c>
      <c r="D208">
        <v>-1.3</v>
      </c>
      <c r="F208">
        <v>-2.2999999999999998</v>
      </c>
      <c r="G208">
        <v>-0.4</v>
      </c>
      <c r="J208">
        <v>-0.21</v>
      </c>
      <c r="K208">
        <v>-0.28000000000000003</v>
      </c>
      <c r="M208">
        <v>-4.45</v>
      </c>
      <c r="N208">
        <v>-0.27</v>
      </c>
      <c r="Q208">
        <v>19453</v>
      </c>
    </row>
    <row r="209" spans="1:17" x14ac:dyDescent="0.3">
      <c r="A209" t="s">
        <v>293</v>
      </c>
      <c r="B209" t="s">
        <v>98</v>
      </c>
      <c r="C209">
        <v>-2.2000000000000002</v>
      </c>
      <c r="D209">
        <v>-1.2</v>
      </c>
      <c r="G209">
        <v>-3.2</v>
      </c>
      <c r="J209">
        <v>-0.36</v>
      </c>
      <c r="K209">
        <v>-0.84</v>
      </c>
      <c r="N209">
        <v>-2.2000000000000002</v>
      </c>
      <c r="Q209">
        <v>3237</v>
      </c>
    </row>
    <row r="210" spans="1:17" x14ac:dyDescent="0.3">
      <c r="A210" t="s">
        <v>310</v>
      </c>
      <c r="B210" t="s">
        <v>146</v>
      </c>
      <c r="C210">
        <v>-2.2999999999999998</v>
      </c>
      <c r="D210">
        <v>-4.4000000000000004</v>
      </c>
      <c r="E210">
        <v>2.2999999999999998</v>
      </c>
      <c r="G210">
        <v>-2.6</v>
      </c>
      <c r="J210">
        <v>-0.28999999999999998</v>
      </c>
      <c r="K210">
        <v>-1.22</v>
      </c>
      <c r="L210">
        <v>0.82</v>
      </c>
      <c r="N210">
        <v>-7.89</v>
      </c>
      <c r="Q210">
        <v>10836</v>
      </c>
    </row>
    <row r="211" spans="1:17" x14ac:dyDescent="0.3">
      <c r="A211" t="s">
        <v>306</v>
      </c>
      <c r="B211" t="s">
        <v>30</v>
      </c>
      <c r="C211">
        <v>-2.4</v>
      </c>
      <c r="D211">
        <v>-5.5</v>
      </c>
      <c r="F211">
        <v>-0.2</v>
      </c>
      <c r="G211">
        <v>-1.1000000000000001</v>
      </c>
      <c r="J211">
        <v>-0.31</v>
      </c>
      <c r="K211">
        <v>-2.58</v>
      </c>
      <c r="M211">
        <v>-4.62</v>
      </c>
      <c r="N211">
        <v>-0.7</v>
      </c>
      <c r="Q211">
        <v>15821</v>
      </c>
    </row>
    <row r="212" spans="1:17" x14ac:dyDescent="0.3">
      <c r="A212" t="s">
        <v>151</v>
      </c>
      <c r="B212" t="s">
        <v>40</v>
      </c>
      <c r="C212">
        <v>-2.4</v>
      </c>
      <c r="D212">
        <v>-1.5</v>
      </c>
      <c r="G212">
        <v>13</v>
      </c>
      <c r="J212">
        <v>-0.53</v>
      </c>
      <c r="K212">
        <v>-3.86</v>
      </c>
      <c r="N212">
        <v>2.44</v>
      </c>
      <c r="Q212">
        <v>11384</v>
      </c>
    </row>
    <row r="213" spans="1:17" x14ac:dyDescent="0.3">
      <c r="A213" t="s">
        <v>352</v>
      </c>
      <c r="B213" t="s">
        <v>40</v>
      </c>
      <c r="C213">
        <v>-2.5</v>
      </c>
      <c r="D213">
        <v>-2</v>
      </c>
      <c r="F213">
        <v>-1.9</v>
      </c>
      <c r="G213">
        <v>0.1</v>
      </c>
      <c r="J213">
        <v>-0.37</v>
      </c>
      <c r="K213">
        <v>-0.47</v>
      </c>
      <c r="M213">
        <v>-5.53</v>
      </c>
      <c r="N213">
        <v>0.04</v>
      </c>
      <c r="Q213">
        <v>17874</v>
      </c>
    </row>
    <row r="214" spans="1:17" x14ac:dyDescent="0.3">
      <c r="A214" t="s">
        <v>277</v>
      </c>
      <c r="B214" t="s">
        <v>58</v>
      </c>
      <c r="C214">
        <v>-2.5</v>
      </c>
      <c r="D214">
        <v>3</v>
      </c>
      <c r="F214">
        <v>-3</v>
      </c>
      <c r="G214">
        <v>1.4</v>
      </c>
      <c r="J214">
        <v>-0.46</v>
      </c>
      <c r="K214">
        <v>1.05</v>
      </c>
      <c r="M214">
        <v>-2.37</v>
      </c>
      <c r="N214">
        <v>1.36</v>
      </c>
      <c r="Q214">
        <v>13696</v>
      </c>
    </row>
    <row r="215" spans="1:17" x14ac:dyDescent="0.3">
      <c r="A215" t="s">
        <v>262</v>
      </c>
      <c r="B215" t="s">
        <v>53</v>
      </c>
      <c r="C215">
        <v>-2.6</v>
      </c>
      <c r="F215">
        <v>4.7</v>
      </c>
      <c r="G215">
        <v>-1.8</v>
      </c>
      <c r="J215">
        <v>-0.56000000000000005</v>
      </c>
      <c r="M215">
        <v>1.46</v>
      </c>
      <c r="N215">
        <v>-1.59</v>
      </c>
      <c r="Q215">
        <v>9761</v>
      </c>
    </row>
    <row r="216" spans="1:17" x14ac:dyDescent="0.3">
      <c r="A216" t="s">
        <v>338</v>
      </c>
      <c r="B216" t="s">
        <v>38</v>
      </c>
      <c r="C216">
        <v>-2.6</v>
      </c>
      <c r="D216">
        <v>5.4</v>
      </c>
      <c r="F216">
        <v>-3.8</v>
      </c>
      <c r="G216">
        <v>-0.9</v>
      </c>
      <c r="H216">
        <v>-3.1</v>
      </c>
      <c r="J216">
        <v>-0.5</v>
      </c>
      <c r="K216">
        <v>3.31</v>
      </c>
      <c r="M216">
        <v>-16.559999999999999</v>
      </c>
      <c r="N216">
        <v>-5.56</v>
      </c>
      <c r="O216">
        <v>-1.1399999999999999</v>
      </c>
      <c r="Q216">
        <v>19341</v>
      </c>
    </row>
    <row r="217" spans="1:17" x14ac:dyDescent="0.3">
      <c r="A217" t="s">
        <v>366</v>
      </c>
      <c r="B217" t="s">
        <v>62</v>
      </c>
      <c r="C217">
        <v>-2.6</v>
      </c>
      <c r="D217">
        <v>-2</v>
      </c>
      <c r="F217">
        <v>1.6</v>
      </c>
      <c r="G217">
        <v>3.3</v>
      </c>
      <c r="J217">
        <v>-0.68</v>
      </c>
      <c r="K217">
        <v>-0.94</v>
      </c>
      <c r="M217">
        <v>4.87</v>
      </c>
      <c r="N217">
        <v>1.1499999999999999</v>
      </c>
      <c r="Q217">
        <v>11964</v>
      </c>
    </row>
    <row r="218" spans="1:17" x14ac:dyDescent="0.3">
      <c r="A218" t="s">
        <v>301</v>
      </c>
      <c r="B218" t="s">
        <v>56</v>
      </c>
      <c r="C218">
        <v>-2.6</v>
      </c>
      <c r="D218">
        <v>1.7</v>
      </c>
      <c r="F218">
        <v>1.7</v>
      </c>
      <c r="G218">
        <v>-3.5</v>
      </c>
      <c r="J218">
        <v>-0.27</v>
      </c>
      <c r="K218">
        <v>0.4</v>
      </c>
      <c r="M218">
        <v>0.88</v>
      </c>
      <c r="N218">
        <v>-1.72</v>
      </c>
      <c r="Q218">
        <v>15846</v>
      </c>
    </row>
    <row r="219" spans="1:17" x14ac:dyDescent="0.3">
      <c r="A219" t="s">
        <v>167</v>
      </c>
      <c r="B219" t="s">
        <v>38</v>
      </c>
      <c r="C219">
        <v>-2.7</v>
      </c>
      <c r="F219">
        <v>7.4</v>
      </c>
      <c r="G219">
        <v>-0.3</v>
      </c>
      <c r="J219">
        <v>-0.43</v>
      </c>
      <c r="M219">
        <v>1.1100000000000001</v>
      </c>
      <c r="N219">
        <v>-1.17</v>
      </c>
      <c r="Q219">
        <v>12863</v>
      </c>
    </row>
    <row r="220" spans="1:17" x14ac:dyDescent="0.3">
      <c r="A220" t="s">
        <v>125</v>
      </c>
      <c r="B220" t="s">
        <v>32</v>
      </c>
      <c r="C220">
        <v>-2.7</v>
      </c>
      <c r="D220">
        <v>10.5</v>
      </c>
      <c r="J220">
        <v>-0.5</v>
      </c>
      <c r="K220">
        <v>1.82</v>
      </c>
      <c r="Q220">
        <v>17496</v>
      </c>
    </row>
    <row r="221" spans="1:17" x14ac:dyDescent="0.3">
      <c r="A221" t="s">
        <v>308</v>
      </c>
      <c r="B221" t="s">
        <v>34</v>
      </c>
      <c r="C221">
        <v>-2.7</v>
      </c>
      <c r="D221">
        <v>-1.9</v>
      </c>
      <c r="E221">
        <v>1.8</v>
      </c>
      <c r="G221">
        <v>-0.1</v>
      </c>
      <c r="J221">
        <v>-0.4</v>
      </c>
      <c r="K221">
        <v>-1.39</v>
      </c>
      <c r="L221">
        <v>0.9</v>
      </c>
      <c r="N221">
        <v>-5.08</v>
      </c>
      <c r="Q221">
        <v>12572</v>
      </c>
    </row>
    <row r="222" spans="1:17" x14ac:dyDescent="0.3">
      <c r="A222" t="s">
        <v>323</v>
      </c>
      <c r="B222" t="s">
        <v>102</v>
      </c>
      <c r="C222">
        <v>-2.7</v>
      </c>
      <c r="D222">
        <v>-6</v>
      </c>
      <c r="G222">
        <v>2.2999999999999998</v>
      </c>
      <c r="J222">
        <v>-0.31</v>
      </c>
      <c r="K222">
        <v>-1.66</v>
      </c>
      <c r="N222">
        <v>1.57</v>
      </c>
      <c r="Q222">
        <v>11589</v>
      </c>
    </row>
    <row r="223" spans="1:17" x14ac:dyDescent="0.3">
      <c r="A223" t="s">
        <v>328</v>
      </c>
      <c r="B223" t="s">
        <v>71</v>
      </c>
      <c r="C223">
        <v>-2.8</v>
      </c>
      <c r="F223">
        <v>-1.2</v>
      </c>
      <c r="G223">
        <v>-1.8</v>
      </c>
      <c r="J223">
        <v>-0.23</v>
      </c>
      <c r="M223">
        <v>-0.37</v>
      </c>
      <c r="N223">
        <v>-10.49</v>
      </c>
      <c r="Q223">
        <v>18679</v>
      </c>
    </row>
    <row r="224" spans="1:17" x14ac:dyDescent="0.3">
      <c r="A224" t="s">
        <v>158</v>
      </c>
      <c r="B224" t="s">
        <v>159</v>
      </c>
      <c r="C224">
        <v>-2.9</v>
      </c>
      <c r="F224">
        <v>4.2</v>
      </c>
      <c r="G224">
        <v>0.6</v>
      </c>
      <c r="J224">
        <v>-0.51</v>
      </c>
      <c r="M224">
        <v>1.43</v>
      </c>
      <c r="N224">
        <v>0.19</v>
      </c>
      <c r="Q224">
        <v>14814</v>
      </c>
    </row>
    <row r="225" spans="1:17" x14ac:dyDescent="0.3">
      <c r="A225" t="s">
        <v>357</v>
      </c>
      <c r="B225" t="s">
        <v>193</v>
      </c>
      <c r="C225">
        <v>-3</v>
      </c>
      <c r="D225">
        <v>0.7</v>
      </c>
      <c r="G225">
        <v>-4.5</v>
      </c>
      <c r="H225">
        <v>0</v>
      </c>
      <c r="J225">
        <v>-0.45</v>
      </c>
      <c r="K225">
        <v>0.41</v>
      </c>
      <c r="N225">
        <v>-4.72</v>
      </c>
      <c r="O225">
        <v>-0.12</v>
      </c>
      <c r="Q225">
        <v>16587</v>
      </c>
    </row>
    <row r="226" spans="1:17" x14ac:dyDescent="0.3">
      <c r="A226" t="s">
        <v>170</v>
      </c>
      <c r="B226" t="s">
        <v>66</v>
      </c>
      <c r="C226">
        <v>-3</v>
      </c>
      <c r="F226">
        <v>5.2</v>
      </c>
      <c r="G226">
        <v>1</v>
      </c>
      <c r="J226">
        <v>-0.88</v>
      </c>
      <c r="M226">
        <v>1.01</v>
      </c>
      <c r="N226">
        <v>10.58</v>
      </c>
      <c r="Q226">
        <v>12680</v>
      </c>
    </row>
    <row r="227" spans="1:17" x14ac:dyDescent="0.3">
      <c r="A227" t="s">
        <v>251</v>
      </c>
      <c r="B227" t="s">
        <v>48</v>
      </c>
      <c r="C227">
        <v>-3.1</v>
      </c>
      <c r="D227">
        <v>-1</v>
      </c>
      <c r="E227">
        <v>1.8</v>
      </c>
      <c r="F227">
        <v>6.3</v>
      </c>
      <c r="G227">
        <v>-3.1</v>
      </c>
      <c r="J227">
        <v>-0.2</v>
      </c>
      <c r="K227">
        <v>-0.2</v>
      </c>
      <c r="L227">
        <v>0.3</v>
      </c>
      <c r="M227">
        <v>0.86</v>
      </c>
      <c r="N227">
        <v>-1.1299999999999999</v>
      </c>
      <c r="Q227">
        <v>12703</v>
      </c>
    </row>
    <row r="228" spans="1:17" x14ac:dyDescent="0.3">
      <c r="A228" t="s">
        <v>250</v>
      </c>
      <c r="B228" t="s">
        <v>127</v>
      </c>
      <c r="C228">
        <v>-3.2</v>
      </c>
      <c r="D228">
        <v>1.3</v>
      </c>
      <c r="E228">
        <v>1.6</v>
      </c>
      <c r="G228">
        <v>0.6</v>
      </c>
      <c r="J228">
        <v>-0.6</v>
      </c>
      <c r="K228">
        <v>2.31</v>
      </c>
      <c r="L228">
        <v>1.53</v>
      </c>
      <c r="N228">
        <v>0.31</v>
      </c>
      <c r="Q228">
        <v>15240</v>
      </c>
    </row>
    <row r="229" spans="1:17" x14ac:dyDescent="0.3">
      <c r="A229" t="s">
        <v>257</v>
      </c>
      <c r="B229" t="s">
        <v>46</v>
      </c>
      <c r="C229">
        <v>-3.3</v>
      </c>
      <c r="D229">
        <v>4.7</v>
      </c>
      <c r="J229">
        <v>-0.65</v>
      </c>
      <c r="K229">
        <v>1.21</v>
      </c>
      <c r="Q229">
        <v>12774</v>
      </c>
    </row>
    <row r="230" spans="1:17" x14ac:dyDescent="0.3">
      <c r="A230" t="s">
        <v>199</v>
      </c>
      <c r="B230" t="s">
        <v>40</v>
      </c>
      <c r="C230">
        <v>-3.3</v>
      </c>
      <c r="F230">
        <v>4.5999999999999996</v>
      </c>
      <c r="G230">
        <v>3.6</v>
      </c>
      <c r="J230">
        <v>-0.33</v>
      </c>
      <c r="M230">
        <v>0.56999999999999995</v>
      </c>
      <c r="N230">
        <v>0.83</v>
      </c>
      <c r="Q230">
        <v>17149</v>
      </c>
    </row>
    <row r="231" spans="1:17" x14ac:dyDescent="0.3">
      <c r="A231" t="s">
        <v>395</v>
      </c>
      <c r="B231" t="s">
        <v>43</v>
      </c>
      <c r="C231">
        <v>-3.4</v>
      </c>
      <c r="D231">
        <v>-3.9</v>
      </c>
      <c r="E231">
        <v>-5.6</v>
      </c>
      <c r="H231">
        <v>-0.8</v>
      </c>
      <c r="J231">
        <v>-0.66</v>
      </c>
      <c r="K231">
        <v>-3.83</v>
      </c>
      <c r="L231">
        <v>-2.5099999999999998</v>
      </c>
      <c r="O231">
        <v>-0.46</v>
      </c>
      <c r="Q231">
        <v>14825</v>
      </c>
    </row>
    <row r="232" spans="1:17" x14ac:dyDescent="0.3">
      <c r="A232" t="s">
        <v>371</v>
      </c>
      <c r="B232" t="s">
        <v>127</v>
      </c>
      <c r="C232">
        <v>-3.5</v>
      </c>
      <c r="D232">
        <v>-3.8</v>
      </c>
      <c r="F232">
        <v>-13.2</v>
      </c>
      <c r="G232">
        <v>-4.2</v>
      </c>
      <c r="J232">
        <v>-0.26</v>
      </c>
      <c r="K232">
        <v>-2.1</v>
      </c>
      <c r="M232">
        <v>-3.14</v>
      </c>
      <c r="N232">
        <v>-1.43</v>
      </c>
      <c r="Q232">
        <v>15200</v>
      </c>
    </row>
    <row r="233" spans="1:17" x14ac:dyDescent="0.3">
      <c r="A233" t="s">
        <v>244</v>
      </c>
      <c r="B233" t="s">
        <v>50</v>
      </c>
      <c r="C233">
        <v>-3.7</v>
      </c>
      <c r="D233">
        <v>6.6</v>
      </c>
      <c r="J233">
        <v>-0.98</v>
      </c>
      <c r="K233">
        <v>1.1000000000000001</v>
      </c>
      <c r="Q233">
        <v>6785</v>
      </c>
    </row>
    <row r="234" spans="1:17" x14ac:dyDescent="0.3">
      <c r="A234" t="s">
        <v>380</v>
      </c>
      <c r="B234" t="s">
        <v>102</v>
      </c>
      <c r="C234">
        <v>-3.8</v>
      </c>
      <c r="D234">
        <v>1</v>
      </c>
      <c r="G234">
        <v>-9.8000000000000007</v>
      </c>
      <c r="J234">
        <v>-0.57999999999999996</v>
      </c>
      <c r="K234">
        <v>0.42</v>
      </c>
      <c r="N234">
        <v>-5.49</v>
      </c>
      <c r="Q234">
        <v>14457</v>
      </c>
    </row>
    <row r="235" spans="1:17" x14ac:dyDescent="0.3">
      <c r="A235" t="s">
        <v>384</v>
      </c>
      <c r="B235" t="s">
        <v>43</v>
      </c>
      <c r="C235">
        <v>-3.9</v>
      </c>
      <c r="E235">
        <v>-8.1</v>
      </c>
      <c r="F235">
        <v>-0.9</v>
      </c>
      <c r="G235">
        <v>-5.9</v>
      </c>
      <c r="J235">
        <v>-0.65</v>
      </c>
      <c r="L235">
        <v>-3.68</v>
      </c>
      <c r="M235">
        <v>-0.53</v>
      </c>
      <c r="N235">
        <v>-3.29</v>
      </c>
      <c r="Q235">
        <v>2859</v>
      </c>
    </row>
    <row r="236" spans="1:17" x14ac:dyDescent="0.3">
      <c r="A236" t="s">
        <v>130</v>
      </c>
      <c r="B236" t="s">
        <v>48</v>
      </c>
      <c r="C236">
        <v>-3.9</v>
      </c>
      <c r="D236">
        <v>13.6</v>
      </c>
      <c r="G236">
        <v>-1.3</v>
      </c>
      <c r="J236">
        <v>-1.6</v>
      </c>
      <c r="K236">
        <v>2.29</v>
      </c>
      <c r="N236">
        <v>-0.83</v>
      </c>
      <c r="Q236">
        <v>9817</v>
      </c>
    </row>
    <row r="237" spans="1:17" x14ac:dyDescent="0.3">
      <c r="A237" t="s">
        <v>267</v>
      </c>
      <c r="B237" t="s">
        <v>62</v>
      </c>
      <c r="C237">
        <v>-4</v>
      </c>
      <c r="D237">
        <v>2.2999999999999998</v>
      </c>
      <c r="F237">
        <v>2.1</v>
      </c>
      <c r="G237">
        <v>1</v>
      </c>
      <c r="J237">
        <v>-0.61</v>
      </c>
      <c r="K237">
        <v>0.51</v>
      </c>
      <c r="M237">
        <v>0.85</v>
      </c>
      <c r="N237">
        <v>0.49</v>
      </c>
      <c r="Q237">
        <v>19867</v>
      </c>
    </row>
    <row r="238" spans="1:17" x14ac:dyDescent="0.3">
      <c r="A238" t="s">
        <v>327</v>
      </c>
      <c r="B238" t="s">
        <v>56</v>
      </c>
      <c r="C238">
        <v>-4</v>
      </c>
      <c r="D238">
        <v>3.5</v>
      </c>
      <c r="F238">
        <v>-5.0999999999999996</v>
      </c>
      <c r="G238">
        <v>-2.5</v>
      </c>
      <c r="J238">
        <v>-0.68</v>
      </c>
      <c r="K238">
        <v>0.88</v>
      </c>
      <c r="M238">
        <v>-9.65</v>
      </c>
      <c r="N238">
        <v>-1.08</v>
      </c>
      <c r="Q238">
        <v>6632</v>
      </c>
    </row>
    <row r="239" spans="1:17" x14ac:dyDescent="0.3">
      <c r="A239" t="s">
        <v>373</v>
      </c>
      <c r="B239" t="s">
        <v>48</v>
      </c>
      <c r="C239">
        <v>-4</v>
      </c>
      <c r="D239">
        <v>-7</v>
      </c>
      <c r="F239">
        <v>3.2</v>
      </c>
      <c r="G239">
        <v>-2.5</v>
      </c>
      <c r="H239">
        <v>0.3</v>
      </c>
      <c r="J239">
        <v>-0.44</v>
      </c>
      <c r="K239">
        <v>-1.99</v>
      </c>
      <c r="M239">
        <v>2.0499999999999998</v>
      </c>
      <c r="N239">
        <v>-19.04</v>
      </c>
      <c r="O239">
        <v>0.71</v>
      </c>
      <c r="Q239">
        <v>4141</v>
      </c>
    </row>
    <row r="240" spans="1:17" x14ac:dyDescent="0.3">
      <c r="A240" t="s">
        <v>217</v>
      </c>
      <c r="B240" t="s">
        <v>89</v>
      </c>
      <c r="C240">
        <v>-4</v>
      </c>
      <c r="D240">
        <v>4.5999999999999996</v>
      </c>
      <c r="G240">
        <v>3.9</v>
      </c>
      <c r="J240">
        <v>-0.75</v>
      </c>
      <c r="K240">
        <v>1.32</v>
      </c>
      <c r="N240">
        <v>1.59</v>
      </c>
      <c r="Q240">
        <v>17130</v>
      </c>
    </row>
    <row r="241" spans="1:17" x14ac:dyDescent="0.3">
      <c r="A241" t="s">
        <v>223</v>
      </c>
      <c r="B241" t="s">
        <v>71</v>
      </c>
      <c r="C241">
        <v>-4</v>
      </c>
      <c r="E241">
        <v>6.6</v>
      </c>
      <c r="F241">
        <v>-8.8000000000000007</v>
      </c>
      <c r="G241">
        <v>5.7</v>
      </c>
      <c r="J241">
        <v>-0.33</v>
      </c>
      <c r="L241">
        <v>1.91</v>
      </c>
      <c r="M241">
        <v>-3.57</v>
      </c>
      <c r="N241">
        <v>0.97</v>
      </c>
      <c r="Q241">
        <v>6895</v>
      </c>
    </row>
    <row r="242" spans="1:17" x14ac:dyDescent="0.3">
      <c r="A242" t="s">
        <v>369</v>
      </c>
      <c r="B242" t="s">
        <v>38</v>
      </c>
      <c r="C242">
        <v>-4.0999999999999996</v>
      </c>
      <c r="D242">
        <v>-1.1000000000000001</v>
      </c>
      <c r="E242">
        <v>-3.7</v>
      </c>
      <c r="F242">
        <v>-0.5</v>
      </c>
      <c r="H242">
        <v>-0.8</v>
      </c>
      <c r="J242">
        <v>-0.74</v>
      </c>
      <c r="K242">
        <v>-2.5</v>
      </c>
      <c r="L242">
        <v>-1.31</v>
      </c>
      <c r="M242">
        <v>-0.21</v>
      </c>
      <c r="O242">
        <v>-0.48</v>
      </c>
      <c r="Q242">
        <v>9132</v>
      </c>
    </row>
    <row r="243" spans="1:17" x14ac:dyDescent="0.3">
      <c r="A243" t="s">
        <v>336</v>
      </c>
      <c r="B243" t="s">
        <v>43</v>
      </c>
      <c r="C243">
        <v>-4.0999999999999996</v>
      </c>
      <c r="D243">
        <v>-4.7</v>
      </c>
      <c r="F243">
        <v>-2.7</v>
      </c>
      <c r="G243">
        <v>-5.7</v>
      </c>
      <c r="J243">
        <v>-0.22</v>
      </c>
      <c r="K243">
        <v>-0.75</v>
      </c>
      <c r="M243">
        <v>-1.31</v>
      </c>
      <c r="N243">
        <v>-1.22</v>
      </c>
      <c r="Q243">
        <v>16400</v>
      </c>
    </row>
    <row r="244" spans="1:17" x14ac:dyDescent="0.3">
      <c r="A244" t="s">
        <v>64</v>
      </c>
      <c r="B244" t="s">
        <v>43</v>
      </c>
      <c r="C244">
        <v>-4.0999999999999996</v>
      </c>
      <c r="F244">
        <v>1.6</v>
      </c>
      <c r="G244">
        <v>9.6</v>
      </c>
      <c r="J244">
        <v>-1.1299999999999999</v>
      </c>
      <c r="M244">
        <v>1.1599999999999999</v>
      </c>
      <c r="N244">
        <v>2.92</v>
      </c>
      <c r="Q244">
        <v>12297</v>
      </c>
    </row>
    <row r="245" spans="1:17" x14ac:dyDescent="0.3">
      <c r="A245" t="s">
        <v>269</v>
      </c>
      <c r="B245" t="s">
        <v>36</v>
      </c>
      <c r="C245">
        <v>-4.2</v>
      </c>
      <c r="D245">
        <v>8.1</v>
      </c>
      <c r="F245">
        <v>-1.8</v>
      </c>
      <c r="H245">
        <v>2.2999999999999998</v>
      </c>
      <c r="J245">
        <v>-0.69</v>
      </c>
      <c r="K245">
        <v>1.3</v>
      </c>
      <c r="M245">
        <v>-3.54</v>
      </c>
      <c r="O245">
        <v>1.56</v>
      </c>
      <c r="Q245">
        <v>12778</v>
      </c>
    </row>
    <row r="246" spans="1:17" x14ac:dyDescent="0.3">
      <c r="A246" t="s">
        <v>359</v>
      </c>
      <c r="B246" t="s">
        <v>159</v>
      </c>
      <c r="C246">
        <v>-4.3</v>
      </c>
      <c r="D246">
        <v>-7.1</v>
      </c>
      <c r="G246">
        <v>-2.5</v>
      </c>
      <c r="J246">
        <v>-0.55000000000000004</v>
      </c>
      <c r="K246">
        <v>-2.68</v>
      </c>
      <c r="N246">
        <v>-4.0199999999999996</v>
      </c>
      <c r="Q246">
        <v>19677</v>
      </c>
    </row>
    <row r="247" spans="1:17" x14ac:dyDescent="0.3">
      <c r="A247" t="s">
        <v>388</v>
      </c>
      <c r="B247" t="s">
        <v>159</v>
      </c>
      <c r="C247">
        <v>-4.3</v>
      </c>
      <c r="D247">
        <v>-8.6999999999999993</v>
      </c>
      <c r="F247">
        <v>-5.9</v>
      </c>
      <c r="H247">
        <v>0.1</v>
      </c>
      <c r="J247">
        <v>-0.5</v>
      </c>
      <c r="K247">
        <v>-1.49</v>
      </c>
      <c r="M247">
        <v>-1.62</v>
      </c>
      <c r="O247">
        <v>0.28000000000000003</v>
      </c>
      <c r="Q247">
        <v>4505</v>
      </c>
    </row>
    <row r="248" spans="1:17" x14ac:dyDescent="0.3">
      <c r="A248" t="s">
        <v>109</v>
      </c>
      <c r="B248" t="s">
        <v>48</v>
      </c>
      <c r="C248">
        <v>-4.3</v>
      </c>
      <c r="D248">
        <v>0.5</v>
      </c>
      <c r="E248">
        <v>-1</v>
      </c>
      <c r="F248">
        <v>18.3</v>
      </c>
      <c r="G248">
        <v>-1.5</v>
      </c>
      <c r="J248">
        <v>-0.36</v>
      </c>
      <c r="K248">
        <v>0.89</v>
      </c>
      <c r="L248">
        <v>-0.14000000000000001</v>
      </c>
      <c r="M248">
        <v>2.0299999999999998</v>
      </c>
      <c r="N248">
        <v>-1.05</v>
      </c>
      <c r="Q248">
        <v>13431</v>
      </c>
    </row>
    <row r="249" spans="1:17" x14ac:dyDescent="0.3">
      <c r="A249" t="s">
        <v>132</v>
      </c>
      <c r="B249" t="s">
        <v>30</v>
      </c>
      <c r="C249">
        <v>-4.4000000000000004</v>
      </c>
      <c r="D249">
        <v>6.6</v>
      </c>
      <c r="G249">
        <v>1</v>
      </c>
      <c r="J249">
        <v>-0.87</v>
      </c>
      <c r="K249">
        <v>1.95</v>
      </c>
      <c r="N249">
        <v>0.36</v>
      </c>
      <c r="Q249">
        <v>3201</v>
      </c>
    </row>
    <row r="250" spans="1:17" x14ac:dyDescent="0.3">
      <c r="A250" t="s">
        <v>294</v>
      </c>
      <c r="B250" t="s">
        <v>28</v>
      </c>
      <c r="C250">
        <v>-4.4000000000000004</v>
      </c>
      <c r="D250">
        <v>2</v>
      </c>
      <c r="G250">
        <v>-0.6</v>
      </c>
      <c r="J250">
        <v>-0.88</v>
      </c>
      <c r="K250">
        <v>0.91</v>
      </c>
      <c r="N250">
        <v>-0.15</v>
      </c>
      <c r="Q250">
        <v>12763</v>
      </c>
    </row>
    <row r="251" spans="1:17" x14ac:dyDescent="0.3">
      <c r="A251" t="s">
        <v>374</v>
      </c>
      <c r="B251" t="s">
        <v>43</v>
      </c>
      <c r="C251">
        <v>-4.4000000000000004</v>
      </c>
      <c r="D251">
        <v>0.4</v>
      </c>
      <c r="E251">
        <v>-0.7</v>
      </c>
      <c r="G251">
        <v>0.1</v>
      </c>
      <c r="J251">
        <v>-0.88</v>
      </c>
      <c r="K251">
        <v>0.36</v>
      </c>
      <c r="L251">
        <v>-0.56999999999999995</v>
      </c>
      <c r="N251">
        <v>0.08</v>
      </c>
      <c r="Q251">
        <v>6033</v>
      </c>
    </row>
    <row r="252" spans="1:17" x14ac:dyDescent="0.3">
      <c r="A252" t="s">
        <v>169</v>
      </c>
      <c r="B252" t="s">
        <v>38</v>
      </c>
      <c r="C252">
        <v>-4.4000000000000004</v>
      </c>
      <c r="D252">
        <v>4</v>
      </c>
      <c r="E252">
        <v>9.9</v>
      </c>
      <c r="J252">
        <v>-0.98</v>
      </c>
      <c r="K252">
        <v>0.86</v>
      </c>
      <c r="L252">
        <v>2.92</v>
      </c>
      <c r="Q252">
        <v>8004</v>
      </c>
    </row>
    <row r="253" spans="1:17" x14ac:dyDescent="0.3">
      <c r="A253" t="s">
        <v>263</v>
      </c>
      <c r="B253" t="s">
        <v>159</v>
      </c>
      <c r="C253">
        <v>-4.5</v>
      </c>
      <c r="D253">
        <v>9.6</v>
      </c>
      <c r="F253">
        <v>-3.9</v>
      </c>
      <c r="G253">
        <v>-2.1</v>
      </c>
      <c r="J253">
        <v>-0.27</v>
      </c>
      <c r="K253">
        <v>0.86</v>
      </c>
      <c r="M253">
        <v>-3.12</v>
      </c>
      <c r="N253">
        <v>-1.1399999999999999</v>
      </c>
      <c r="Q253">
        <v>15440</v>
      </c>
    </row>
    <row r="254" spans="1:17" x14ac:dyDescent="0.3">
      <c r="A254" t="s">
        <v>204</v>
      </c>
      <c r="B254" t="s">
        <v>32</v>
      </c>
      <c r="C254">
        <v>-4.5999999999999996</v>
      </c>
      <c r="D254">
        <v>9.1999999999999993</v>
      </c>
      <c r="E254">
        <v>-0.3</v>
      </c>
      <c r="G254">
        <v>0</v>
      </c>
      <c r="J254">
        <v>-1.73</v>
      </c>
      <c r="K254">
        <v>1.53</v>
      </c>
      <c r="L254">
        <v>-0.56000000000000005</v>
      </c>
      <c r="N254">
        <v>-2.98</v>
      </c>
      <c r="Q254">
        <v>9866</v>
      </c>
    </row>
    <row r="255" spans="1:17" x14ac:dyDescent="0.3">
      <c r="A255" t="s">
        <v>252</v>
      </c>
      <c r="B255" t="s">
        <v>48</v>
      </c>
      <c r="C255">
        <v>-4.5999999999999996</v>
      </c>
      <c r="D255">
        <v>-0.1</v>
      </c>
      <c r="F255">
        <v>1.5</v>
      </c>
      <c r="H255">
        <v>1.6</v>
      </c>
      <c r="J255">
        <v>-0.51</v>
      </c>
      <c r="K255">
        <v>-7.0000000000000007E-2</v>
      </c>
      <c r="M255">
        <v>0.5</v>
      </c>
      <c r="O255">
        <v>1.01</v>
      </c>
      <c r="Q255">
        <v>5257</v>
      </c>
    </row>
    <row r="256" spans="1:17" x14ac:dyDescent="0.3">
      <c r="A256" t="s">
        <v>210</v>
      </c>
      <c r="B256" t="s">
        <v>40</v>
      </c>
      <c r="C256">
        <v>-4.8</v>
      </c>
      <c r="D256">
        <v>5.0999999999999996</v>
      </c>
      <c r="F256">
        <v>0.4</v>
      </c>
      <c r="G256">
        <v>0.7</v>
      </c>
      <c r="J256">
        <v>-0.84</v>
      </c>
      <c r="K256">
        <v>0.76</v>
      </c>
      <c r="M256">
        <v>3.64</v>
      </c>
      <c r="N256">
        <v>0.7</v>
      </c>
      <c r="Q256">
        <v>13345</v>
      </c>
    </row>
    <row r="257" spans="1:17" x14ac:dyDescent="0.3">
      <c r="A257" t="s">
        <v>285</v>
      </c>
      <c r="B257" t="s">
        <v>43</v>
      </c>
      <c r="C257">
        <v>-4.8</v>
      </c>
      <c r="D257">
        <v>-3</v>
      </c>
      <c r="F257">
        <v>-5.8</v>
      </c>
      <c r="G257">
        <v>0.6</v>
      </c>
      <c r="J257">
        <v>-0.3</v>
      </c>
      <c r="K257">
        <v>-0.76</v>
      </c>
      <c r="M257">
        <v>-1.1599999999999999</v>
      </c>
      <c r="N257">
        <v>0.13</v>
      </c>
      <c r="Q257">
        <v>1994</v>
      </c>
    </row>
    <row r="258" spans="1:17" x14ac:dyDescent="0.3">
      <c r="A258" t="s">
        <v>325</v>
      </c>
      <c r="B258" t="s">
        <v>34</v>
      </c>
      <c r="C258">
        <v>-4.9000000000000004</v>
      </c>
      <c r="E258">
        <v>-0.9</v>
      </c>
      <c r="F258">
        <v>1.9</v>
      </c>
      <c r="G258">
        <v>-0.8</v>
      </c>
      <c r="J258">
        <v>-0.98</v>
      </c>
      <c r="L258">
        <v>-0.27</v>
      </c>
      <c r="M258">
        <v>1.75</v>
      </c>
      <c r="N258">
        <v>-1.8</v>
      </c>
      <c r="Q258">
        <v>15043</v>
      </c>
    </row>
    <row r="259" spans="1:17" x14ac:dyDescent="0.3">
      <c r="A259" t="s">
        <v>281</v>
      </c>
      <c r="B259" t="s">
        <v>28</v>
      </c>
      <c r="C259">
        <v>-4.9000000000000004</v>
      </c>
      <c r="D259">
        <v>7.9</v>
      </c>
      <c r="E259">
        <v>2.1</v>
      </c>
      <c r="F259">
        <v>-2.8</v>
      </c>
      <c r="G259">
        <v>0.1</v>
      </c>
      <c r="J259">
        <v>-1.1399999999999999</v>
      </c>
      <c r="K259">
        <v>1.42</v>
      </c>
      <c r="L259">
        <v>1.38</v>
      </c>
      <c r="M259">
        <v>-2.64</v>
      </c>
      <c r="N259">
        <v>0.17</v>
      </c>
      <c r="Q259">
        <v>7531</v>
      </c>
    </row>
    <row r="260" spans="1:17" x14ac:dyDescent="0.3">
      <c r="A260" t="s">
        <v>375</v>
      </c>
      <c r="B260" t="s">
        <v>36</v>
      </c>
      <c r="C260">
        <v>-4.9000000000000004</v>
      </c>
      <c r="E260">
        <v>-0.5</v>
      </c>
      <c r="F260">
        <v>-1.2</v>
      </c>
      <c r="G260">
        <v>1.4</v>
      </c>
      <c r="J260">
        <v>-0.64</v>
      </c>
      <c r="L260">
        <v>-50.87</v>
      </c>
      <c r="M260">
        <v>-0.43</v>
      </c>
      <c r="N260">
        <v>0.71</v>
      </c>
      <c r="Q260">
        <v>17281</v>
      </c>
    </row>
    <row r="261" spans="1:17" x14ac:dyDescent="0.3">
      <c r="A261" t="s">
        <v>365</v>
      </c>
      <c r="B261" t="s">
        <v>159</v>
      </c>
      <c r="C261">
        <v>-5.0999999999999996</v>
      </c>
      <c r="D261">
        <v>-5.5</v>
      </c>
      <c r="F261">
        <v>1.5</v>
      </c>
      <c r="G261">
        <v>0</v>
      </c>
      <c r="J261">
        <v>-1.03</v>
      </c>
      <c r="K261">
        <v>-1.92</v>
      </c>
      <c r="M261">
        <v>1.01</v>
      </c>
      <c r="N261">
        <v>-0.47</v>
      </c>
      <c r="Q261">
        <v>13424</v>
      </c>
    </row>
    <row r="262" spans="1:17" x14ac:dyDescent="0.3">
      <c r="A262" t="s">
        <v>322</v>
      </c>
      <c r="B262" t="s">
        <v>30</v>
      </c>
      <c r="C262">
        <v>-5.2</v>
      </c>
      <c r="D262">
        <v>-0.1</v>
      </c>
      <c r="F262">
        <v>-1</v>
      </c>
      <c r="G262">
        <v>-2.4</v>
      </c>
      <c r="J262">
        <v>-0.49</v>
      </c>
      <c r="K262">
        <v>-0.02</v>
      </c>
      <c r="M262">
        <v>-2.2999999999999998</v>
      </c>
      <c r="N262">
        <v>-0.97</v>
      </c>
      <c r="Q262">
        <v>6345</v>
      </c>
    </row>
    <row r="263" spans="1:17" x14ac:dyDescent="0.3">
      <c r="A263" t="s">
        <v>275</v>
      </c>
      <c r="B263" t="s">
        <v>43</v>
      </c>
      <c r="C263">
        <v>-5.4</v>
      </c>
      <c r="E263">
        <v>5.7</v>
      </c>
      <c r="F263">
        <v>2.9</v>
      </c>
      <c r="G263">
        <v>-0.6</v>
      </c>
      <c r="J263">
        <v>-3.01</v>
      </c>
      <c r="L263">
        <v>0.81</v>
      </c>
      <c r="M263">
        <v>2.4500000000000002</v>
      </c>
      <c r="N263">
        <v>-1.24</v>
      </c>
      <c r="Q263">
        <v>11528</v>
      </c>
    </row>
    <row r="264" spans="1:17" x14ac:dyDescent="0.3">
      <c r="A264" t="s">
        <v>213</v>
      </c>
      <c r="B264" t="s">
        <v>32</v>
      </c>
      <c r="C264">
        <v>-5.4</v>
      </c>
      <c r="D264">
        <v>5.3</v>
      </c>
      <c r="E264">
        <v>11.2</v>
      </c>
      <c r="G264">
        <v>11.1</v>
      </c>
      <c r="J264">
        <v>-1.0900000000000001</v>
      </c>
      <c r="K264">
        <v>1.92</v>
      </c>
      <c r="L264">
        <v>1.47</v>
      </c>
      <c r="N264">
        <v>2.11</v>
      </c>
      <c r="Q264">
        <v>16502</v>
      </c>
    </row>
    <row r="265" spans="1:17" x14ac:dyDescent="0.3">
      <c r="A265" t="s">
        <v>297</v>
      </c>
      <c r="B265" t="s">
        <v>36</v>
      </c>
      <c r="C265">
        <v>-5.4</v>
      </c>
      <c r="D265">
        <v>0.5</v>
      </c>
      <c r="E265">
        <v>-4</v>
      </c>
      <c r="F265">
        <v>0.1</v>
      </c>
      <c r="G265">
        <v>3.9</v>
      </c>
      <c r="J265">
        <v>-0.42</v>
      </c>
      <c r="K265">
        <v>0.12</v>
      </c>
      <c r="L265">
        <v>-0.89</v>
      </c>
      <c r="M265">
        <v>0.03</v>
      </c>
      <c r="N265">
        <v>1.59</v>
      </c>
      <c r="Q265">
        <v>17948</v>
      </c>
    </row>
    <row r="266" spans="1:17" x14ac:dyDescent="0.3">
      <c r="A266" t="s">
        <v>147</v>
      </c>
      <c r="B266" t="s">
        <v>48</v>
      </c>
      <c r="C266">
        <v>-5.5</v>
      </c>
      <c r="E266">
        <v>2.2999999999999998</v>
      </c>
      <c r="F266">
        <v>8.6</v>
      </c>
      <c r="G266">
        <v>1.7</v>
      </c>
      <c r="J266">
        <v>-2.98</v>
      </c>
      <c r="L266">
        <v>0.44</v>
      </c>
      <c r="M266">
        <v>2.59</v>
      </c>
      <c r="N266">
        <v>6.15</v>
      </c>
      <c r="Q266">
        <v>4264</v>
      </c>
    </row>
    <row r="267" spans="1:17" x14ac:dyDescent="0.3">
      <c r="A267" t="s">
        <v>254</v>
      </c>
      <c r="B267" t="s">
        <v>93</v>
      </c>
      <c r="C267">
        <v>-5.5</v>
      </c>
      <c r="D267">
        <v>-0.5</v>
      </c>
      <c r="E267">
        <v>4.2</v>
      </c>
      <c r="G267">
        <v>-1.3</v>
      </c>
      <c r="J267">
        <v>-0.77</v>
      </c>
      <c r="K267">
        <v>-0.19</v>
      </c>
      <c r="L267">
        <v>1.84</v>
      </c>
      <c r="N267">
        <v>-1.37</v>
      </c>
      <c r="Q267">
        <v>17425</v>
      </c>
    </row>
    <row r="268" spans="1:17" x14ac:dyDescent="0.3">
      <c r="A268" t="s">
        <v>291</v>
      </c>
      <c r="B268" t="s">
        <v>143</v>
      </c>
      <c r="C268">
        <v>-5.5</v>
      </c>
      <c r="D268">
        <v>3.3</v>
      </c>
      <c r="F268">
        <v>0.1</v>
      </c>
      <c r="J268">
        <v>-1.03</v>
      </c>
      <c r="K268">
        <v>0.97</v>
      </c>
      <c r="M268">
        <v>0.04</v>
      </c>
      <c r="Q268">
        <v>17369</v>
      </c>
    </row>
    <row r="269" spans="1:17" x14ac:dyDescent="0.3">
      <c r="A269" t="s">
        <v>186</v>
      </c>
      <c r="B269" t="s">
        <v>48</v>
      </c>
      <c r="C269">
        <v>-5.7</v>
      </c>
      <c r="D269">
        <v>-0.5</v>
      </c>
      <c r="F269">
        <v>-0.3</v>
      </c>
      <c r="G269">
        <v>6.2</v>
      </c>
      <c r="J269">
        <v>-1.19</v>
      </c>
      <c r="K269">
        <v>-1.52</v>
      </c>
      <c r="M269">
        <v>-0.34</v>
      </c>
      <c r="N269">
        <v>2.44</v>
      </c>
      <c r="Q269">
        <v>12673</v>
      </c>
    </row>
    <row r="270" spans="1:17" x14ac:dyDescent="0.3">
      <c r="A270" t="s">
        <v>278</v>
      </c>
      <c r="B270" t="s">
        <v>48</v>
      </c>
      <c r="C270">
        <v>-5.9</v>
      </c>
      <c r="D270">
        <v>1.3</v>
      </c>
      <c r="F270">
        <v>-5.5</v>
      </c>
      <c r="G270">
        <v>11.9</v>
      </c>
      <c r="J270">
        <v>-0.48</v>
      </c>
      <c r="K270">
        <v>0.41</v>
      </c>
      <c r="M270">
        <v>-2.02</v>
      </c>
      <c r="N270">
        <v>1.7</v>
      </c>
      <c r="Q270">
        <v>8782</v>
      </c>
    </row>
    <row r="271" spans="1:17" x14ac:dyDescent="0.3">
      <c r="A271" t="s">
        <v>389</v>
      </c>
      <c r="B271" t="s">
        <v>43</v>
      </c>
      <c r="C271">
        <v>-6.2</v>
      </c>
      <c r="D271">
        <v>-3.2</v>
      </c>
      <c r="F271">
        <v>-1.7</v>
      </c>
      <c r="G271">
        <v>-1.9</v>
      </c>
      <c r="J271">
        <v>-1.38</v>
      </c>
      <c r="K271">
        <v>-1.01</v>
      </c>
      <c r="M271">
        <v>-1.76</v>
      </c>
      <c r="N271">
        <v>-2.5</v>
      </c>
      <c r="Q271">
        <v>5365</v>
      </c>
    </row>
    <row r="272" spans="1:17" x14ac:dyDescent="0.3">
      <c r="A272" t="s">
        <v>387</v>
      </c>
      <c r="B272" t="s">
        <v>26</v>
      </c>
      <c r="C272">
        <v>-6.5</v>
      </c>
      <c r="D272">
        <v>-6.7</v>
      </c>
      <c r="F272">
        <v>-1.9</v>
      </c>
      <c r="G272">
        <v>1.4</v>
      </c>
      <c r="J272">
        <v>-1.26</v>
      </c>
      <c r="K272">
        <v>-2.81</v>
      </c>
      <c r="M272">
        <v>-1.51</v>
      </c>
      <c r="N272">
        <v>1.9</v>
      </c>
      <c r="Q272">
        <v>20395</v>
      </c>
    </row>
    <row r="273" spans="1:17" x14ac:dyDescent="0.3">
      <c r="A273" t="s">
        <v>353</v>
      </c>
      <c r="B273" t="s">
        <v>58</v>
      </c>
      <c r="C273">
        <v>-6.6</v>
      </c>
      <c r="D273">
        <v>3</v>
      </c>
      <c r="H273">
        <v>0.4</v>
      </c>
      <c r="J273">
        <v>-0.98</v>
      </c>
      <c r="K273">
        <v>1.08</v>
      </c>
      <c r="O273">
        <v>0.51</v>
      </c>
      <c r="Q273">
        <v>5114</v>
      </c>
    </row>
    <row r="274" spans="1:17" x14ac:dyDescent="0.3">
      <c r="A274" t="s">
        <v>164</v>
      </c>
      <c r="B274" t="s">
        <v>89</v>
      </c>
      <c r="C274">
        <v>-6.7</v>
      </c>
      <c r="D274">
        <v>17.100000000000001</v>
      </c>
      <c r="G274">
        <v>0.3</v>
      </c>
      <c r="J274">
        <v>-1.78</v>
      </c>
      <c r="K274">
        <v>2.93</v>
      </c>
      <c r="N274">
        <v>0.37</v>
      </c>
      <c r="Q274">
        <v>13594</v>
      </c>
    </row>
    <row r="275" spans="1:17" x14ac:dyDescent="0.3">
      <c r="A275" t="s">
        <v>355</v>
      </c>
      <c r="B275" t="s">
        <v>193</v>
      </c>
      <c r="C275">
        <v>-6.9</v>
      </c>
      <c r="D275">
        <v>-0.4</v>
      </c>
      <c r="E275">
        <v>-3.9</v>
      </c>
      <c r="F275">
        <v>-4.7</v>
      </c>
      <c r="G275">
        <v>0.8</v>
      </c>
      <c r="J275">
        <v>-1.25</v>
      </c>
      <c r="K275">
        <v>-4.5</v>
      </c>
      <c r="L275">
        <v>-0.67</v>
      </c>
      <c r="M275">
        <v>-2.2799999999999998</v>
      </c>
      <c r="N275">
        <v>0.13</v>
      </c>
      <c r="Q275">
        <v>5221</v>
      </c>
    </row>
    <row r="276" spans="1:17" x14ac:dyDescent="0.3">
      <c r="A276" t="s">
        <v>108</v>
      </c>
      <c r="B276" t="s">
        <v>89</v>
      </c>
      <c r="C276">
        <v>-7</v>
      </c>
      <c r="D276">
        <v>11</v>
      </c>
      <c r="J276">
        <v>-1.68</v>
      </c>
      <c r="K276">
        <v>1.96</v>
      </c>
      <c r="Q276">
        <v>14375</v>
      </c>
    </row>
    <row r="277" spans="1:17" x14ac:dyDescent="0.3">
      <c r="A277" t="s">
        <v>161</v>
      </c>
      <c r="B277" t="s">
        <v>46</v>
      </c>
      <c r="C277">
        <v>-7.1</v>
      </c>
      <c r="D277">
        <v>5.2</v>
      </c>
      <c r="G277">
        <v>0.6</v>
      </c>
      <c r="J277">
        <v>-0.83</v>
      </c>
      <c r="K277">
        <v>1.53</v>
      </c>
      <c r="N277">
        <v>1.27</v>
      </c>
      <c r="Q277">
        <v>14542</v>
      </c>
    </row>
    <row r="278" spans="1:17" x14ac:dyDescent="0.3">
      <c r="A278" t="s">
        <v>222</v>
      </c>
      <c r="B278" t="s">
        <v>50</v>
      </c>
      <c r="C278">
        <v>-7.2</v>
      </c>
      <c r="E278">
        <v>-4.7</v>
      </c>
      <c r="F278">
        <v>9.1999999999999993</v>
      </c>
      <c r="G278">
        <v>-1</v>
      </c>
      <c r="H278">
        <v>-1.1000000000000001</v>
      </c>
      <c r="J278">
        <v>-0.65</v>
      </c>
      <c r="L278">
        <v>-0.71</v>
      </c>
      <c r="M278">
        <v>0.87</v>
      </c>
      <c r="N278">
        <v>-2.69</v>
      </c>
      <c r="O278">
        <v>-5.12</v>
      </c>
      <c r="Q278">
        <v>2233</v>
      </c>
    </row>
    <row r="279" spans="1:17" x14ac:dyDescent="0.3">
      <c r="A279" t="s">
        <v>276</v>
      </c>
      <c r="B279" t="s">
        <v>146</v>
      </c>
      <c r="C279">
        <v>-7.2</v>
      </c>
      <c r="D279">
        <v>6.2</v>
      </c>
      <c r="G279">
        <v>3.8</v>
      </c>
      <c r="J279">
        <v>-1.2</v>
      </c>
      <c r="K279">
        <v>1.61</v>
      </c>
      <c r="N279">
        <v>1.55</v>
      </c>
      <c r="Q279">
        <v>15684</v>
      </c>
    </row>
    <row r="280" spans="1:17" x14ac:dyDescent="0.3">
      <c r="A280" t="s">
        <v>176</v>
      </c>
      <c r="B280" t="s">
        <v>75</v>
      </c>
      <c r="C280">
        <v>-7.2</v>
      </c>
      <c r="D280">
        <v>12</v>
      </c>
      <c r="F280">
        <v>-1.5</v>
      </c>
      <c r="G280">
        <v>0</v>
      </c>
      <c r="J280">
        <v>-1.53</v>
      </c>
      <c r="K280">
        <v>1.79</v>
      </c>
      <c r="M280">
        <v>-1.34</v>
      </c>
      <c r="N280">
        <v>-2.98</v>
      </c>
      <c r="Q280">
        <v>11752</v>
      </c>
    </row>
    <row r="281" spans="1:17" x14ac:dyDescent="0.3">
      <c r="A281" t="s">
        <v>356</v>
      </c>
      <c r="B281" t="s">
        <v>48</v>
      </c>
      <c r="C281">
        <v>-7.3</v>
      </c>
      <c r="D281">
        <v>-1.4</v>
      </c>
      <c r="F281">
        <v>-0.1</v>
      </c>
      <c r="G281">
        <v>-1.6</v>
      </c>
      <c r="H281">
        <v>5.3</v>
      </c>
      <c r="J281">
        <v>-0.77</v>
      </c>
      <c r="K281">
        <v>-3.9</v>
      </c>
      <c r="M281">
        <v>-3.89</v>
      </c>
      <c r="N281">
        <v>-1.69</v>
      </c>
      <c r="O281">
        <v>0.91</v>
      </c>
      <c r="Q281">
        <v>14107</v>
      </c>
    </row>
    <row r="282" spans="1:17" x14ac:dyDescent="0.3">
      <c r="A282" t="s">
        <v>134</v>
      </c>
      <c r="B282" t="s">
        <v>71</v>
      </c>
      <c r="C282">
        <v>-7.3</v>
      </c>
      <c r="F282">
        <v>0.8</v>
      </c>
      <c r="G282">
        <v>13</v>
      </c>
      <c r="J282">
        <v>-0.95</v>
      </c>
      <c r="M282">
        <v>0.33</v>
      </c>
      <c r="N282">
        <v>2.74</v>
      </c>
      <c r="Q282">
        <v>7448</v>
      </c>
    </row>
    <row r="283" spans="1:17" x14ac:dyDescent="0.3">
      <c r="A283" t="s">
        <v>288</v>
      </c>
      <c r="B283" t="s">
        <v>193</v>
      </c>
      <c r="C283">
        <v>-7.3</v>
      </c>
      <c r="D283">
        <v>-2.4</v>
      </c>
      <c r="F283">
        <v>-1.2</v>
      </c>
      <c r="G283">
        <v>14.4</v>
      </c>
      <c r="J283">
        <v>-0.96</v>
      </c>
      <c r="K283">
        <v>-1.21</v>
      </c>
      <c r="M283">
        <v>-0.92</v>
      </c>
      <c r="N283">
        <v>2.1800000000000002</v>
      </c>
      <c r="Q283">
        <v>7608</v>
      </c>
    </row>
    <row r="284" spans="1:17" x14ac:dyDescent="0.3">
      <c r="A284" t="s">
        <v>354</v>
      </c>
      <c r="B284" t="s">
        <v>95</v>
      </c>
      <c r="C284">
        <v>-7.6</v>
      </c>
      <c r="D284">
        <v>-2</v>
      </c>
      <c r="F284">
        <v>1.8</v>
      </c>
      <c r="J284">
        <v>-1.98</v>
      </c>
      <c r="K284">
        <v>-0.71</v>
      </c>
      <c r="M284">
        <v>0.59</v>
      </c>
      <c r="Q284">
        <v>12664</v>
      </c>
    </row>
    <row r="285" spans="1:17" x14ac:dyDescent="0.3">
      <c r="A285" t="s">
        <v>180</v>
      </c>
      <c r="B285" t="s">
        <v>95</v>
      </c>
      <c r="C285">
        <v>-7.6</v>
      </c>
      <c r="F285">
        <v>15.9</v>
      </c>
      <c r="G285">
        <v>4.8</v>
      </c>
      <c r="J285">
        <v>-0.5</v>
      </c>
      <c r="M285">
        <v>1.35</v>
      </c>
      <c r="N285">
        <v>0.78</v>
      </c>
      <c r="Q285">
        <v>16149</v>
      </c>
    </row>
    <row r="286" spans="1:17" x14ac:dyDescent="0.3">
      <c r="A286" t="s">
        <v>382</v>
      </c>
      <c r="B286" t="s">
        <v>36</v>
      </c>
      <c r="C286">
        <v>-7.7</v>
      </c>
      <c r="E286">
        <v>-0.1</v>
      </c>
      <c r="F286">
        <v>-1.7</v>
      </c>
      <c r="G286">
        <v>-0.7</v>
      </c>
      <c r="J286">
        <v>-2.3199999999999998</v>
      </c>
      <c r="L286">
        <v>-0.02</v>
      </c>
      <c r="M286">
        <v>-1.04</v>
      </c>
      <c r="N286">
        <v>-0.38</v>
      </c>
      <c r="Q286">
        <v>3543</v>
      </c>
    </row>
    <row r="287" spans="1:17" x14ac:dyDescent="0.3">
      <c r="A287" t="s">
        <v>350</v>
      </c>
      <c r="B287" t="s">
        <v>48</v>
      </c>
      <c r="C287">
        <v>-8</v>
      </c>
      <c r="D287">
        <v>0.9</v>
      </c>
      <c r="F287">
        <v>-1.6</v>
      </c>
      <c r="G287">
        <v>-2.7</v>
      </c>
      <c r="J287">
        <v>-0.78</v>
      </c>
      <c r="K287">
        <v>0.22</v>
      </c>
      <c r="M287">
        <v>-2.38</v>
      </c>
      <c r="N287">
        <v>-0.7</v>
      </c>
      <c r="Q287">
        <v>12272</v>
      </c>
    </row>
    <row r="288" spans="1:17" x14ac:dyDescent="0.3">
      <c r="A288" t="s">
        <v>237</v>
      </c>
      <c r="B288" t="s">
        <v>62</v>
      </c>
      <c r="C288">
        <v>-8.1</v>
      </c>
      <c r="D288">
        <v>2.5</v>
      </c>
      <c r="H288">
        <v>2.4</v>
      </c>
      <c r="J288">
        <v>-1.62</v>
      </c>
      <c r="K288">
        <v>0.7</v>
      </c>
      <c r="O288">
        <v>1.2</v>
      </c>
      <c r="Q288">
        <v>6984</v>
      </c>
    </row>
    <row r="289" spans="1:17" x14ac:dyDescent="0.3">
      <c r="A289" t="s">
        <v>391</v>
      </c>
      <c r="B289" t="s">
        <v>62</v>
      </c>
      <c r="C289">
        <v>-8.1</v>
      </c>
      <c r="D289">
        <v>1.9</v>
      </c>
      <c r="F289">
        <v>-5.3</v>
      </c>
      <c r="G289">
        <v>0.5</v>
      </c>
      <c r="J289">
        <v>-1.72</v>
      </c>
      <c r="K289">
        <v>0.69</v>
      </c>
      <c r="M289">
        <v>-3.67</v>
      </c>
      <c r="N289">
        <v>0.53</v>
      </c>
      <c r="Q289">
        <v>11713</v>
      </c>
    </row>
    <row r="290" spans="1:17" x14ac:dyDescent="0.3">
      <c r="A290" t="s">
        <v>345</v>
      </c>
      <c r="B290" t="s">
        <v>30</v>
      </c>
      <c r="C290">
        <v>-8.1</v>
      </c>
      <c r="D290">
        <v>0.5</v>
      </c>
      <c r="F290">
        <v>1.3</v>
      </c>
      <c r="G290">
        <v>-0.3</v>
      </c>
      <c r="J290">
        <v>-1.42</v>
      </c>
      <c r="K290">
        <v>0.44</v>
      </c>
      <c r="M290">
        <v>0.6</v>
      </c>
      <c r="N290">
        <v>-2.62</v>
      </c>
      <c r="Q290">
        <v>13649</v>
      </c>
    </row>
    <row r="291" spans="1:17" x14ac:dyDescent="0.3">
      <c r="A291" t="s">
        <v>321</v>
      </c>
      <c r="B291" t="s">
        <v>30</v>
      </c>
      <c r="C291">
        <v>-8.1999999999999993</v>
      </c>
      <c r="D291">
        <v>2.4</v>
      </c>
      <c r="F291">
        <v>-0.3</v>
      </c>
      <c r="G291">
        <v>1.7</v>
      </c>
      <c r="J291">
        <v>-0.64</v>
      </c>
      <c r="K291">
        <v>0.57999999999999996</v>
      </c>
      <c r="M291">
        <v>-1.32</v>
      </c>
      <c r="N291">
        <v>0.61</v>
      </c>
      <c r="Q291">
        <v>15291</v>
      </c>
    </row>
    <row r="292" spans="1:17" x14ac:dyDescent="0.3">
      <c r="A292" t="s">
        <v>232</v>
      </c>
      <c r="B292" t="s">
        <v>32</v>
      </c>
      <c r="C292">
        <v>-9</v>
      </c>
      <c r="E292">
        <v>4.8</v>
      </c>
      <c r="F292">
        <v>-2.6</v>
      </c>
      <c r="G292">
        <v>-1.1000000000000001</v>
      </c>
      <c r="J292">
        <v>-1.1399999999999999</v>
      </c>
      <c r="L292">
        <v>4.5</v>
      </c>
      <c r="M292">
        <v>-0.75</v>
      </c>
      <c r="N292">
        <v>-0.2</v>
      </c>
      <c r="Q292">
        <v>17192</v>
      </c>
    </row>
    <row r="293" spans="1:17" x14ac:dyDescent="0.3">
      <c r="A293" t="s">
        <v>329</v>
      </c>
      <c r="B293" t="s">
        <v>98</v>
      </c>
      <c r="C293">
        <v>-9.1999999999999993</v>
      </c>
      <c r="D293">
        <v>-3.6</v>
      </c>
      <c r="F293">
        <v>-3</v>
      </c>
      <c r="G293">
        <v>-1.6</v>
      </c>
      <c r="J293">
        <v>-1.1499999999999999</v>
      </c>
      <c r="K293">
        <v>-0.94</v>
      </c>
      <c r="M293">
        <v>-2.0299999999999998</v>
      </c>
      <c r="N293">
        <v>-0.92</v>
      </c>
      <c r="Q293">
        <v>17611</v>
      </c>
    </row>
    <row r="294" spans="1:17" x14ac:dyDescent="0.3">
      <c r="A294" t="s">
        <v>376</v>
      </c>
      <c r="B294" t="s">
        <v>48</v>
      </c>
      <c r="C294">
        <v>-9.3000000000000007</v>
      </c>
      <c r="E294">
        <v>-10.9</v>
      </c>
      <c r="F294">
        <v>-5.6</v>
      </c>
      <c r="G294">
        <v>-2</v>
      </c>
      <c r="J294">
        <v>-0.91</v>
      </c>
      <c r="L294">
        <v>-2.83</v>
      </c>
      <c r="M294">
        <v>-0.91</v>
      </c>
      <c r="N294">
        <v>-1.93</v>
      </c>
      <c r="Q294">
        <v>11760</v>
      </c>
    </row>
    <row r="295" spans="1:17" x14ac:dyDescent="0.3">
      <c r="A295" t="s">
        <v>140</v>
      </c>
      <c r="B295" t="s">
        <v>71</v>
      </c>
      <c r="C295">
        <v>-9.3000000000000007</v>
      </c>
      <c r="D295">
        <v>-0.6</v>
      </c>
      <c r="E295">
        <v>-3.4</v>
      </c>
      <c r="F295">
        <v>-3.4</v>
      </c>
      <c r="G295">
        <v>18.2</v>
      </c>
      <c r="J295">
        <v>-0.66</v>
      </c>
      <c r="K295">
        <v>-3.04</v>
      </c>
      <c r="L295">
        <v>-1.06</v>
      </c>
      <c r="M295">
        <v>-3.6</v>
      </c>
      <c r="N295">
        <v>2.17</v>
      </c>
      <c r="Q295">
        <v>13183</v>
      </c>
    </row>
    <row r="296" spans="1:17" x14ac:dyDescent="0.3">
      <c r="A296" t="s">
        <v>283</v>
      </c>
      <c r="B296" t="s">
        <v>26</v>
      </c>
      <c r="C296">
        <v>-9.5</v>
      </c>
      <c r="D296">
        <v>-0.8</v>
      </c>
      <c r="F296">
        <v>10.1</v>
      </c>
      <c r="G296">
        <v>-2.1</v>
      </c>
      <c r="J296">
        <v>-1.38</v>
      </c>
      <c r="K296">
        <v>-0.15</v>
      </c>
      <c r="M296">
        <v>3.25</v>
      </c>
      <c r="N296">
        <v>-0.83</v>
      </c>
      <c r="Q296">
        <v>13799</v>
      </c>
    </row>
    <row r="297" spans="1:17" x14ac:dyDescent="0.3">
      <c r="A297" t="s">
        <v>394</v>
      </c>
      <c r="B297" t="s">
        <v>48</v>
      </c>
      <c r="C297">
        <v>-9.6</v>
      </c>
      <c r="D297">
        <v>-1.6</v>
      </c>
      <c r="E297">
        <v>-1.5</v>
      </c>
      <c r="F297">
        <v>-2.6</v>
      </c>
      <c r="G297">
        <v>-3.3</v>
      </c>
      <c r="J297">
        <v>-1.92</v>
      </c>
      <c r="K297">
        <v>-11.77</v>
      </c>
      <c r="L297">
        <v>-1.04</v>
      </c>
      <c r="M297">
        <v>-1.34</v>
      </c>
      <c r="N297">
        <v>-1.89</v>
      </c>
      <c r="Q297">
        <v>11694</v>
      </c>
    </row>
    <row r="298" spans="1:17" x14ac:dyDescent="0.3">
      <c r="A298" t="s">
        <v>255</v>
      </c>
      <c r="B298" t="s">
        <v>48</v>
      </c>
      <c r="C298">
        <v>-9.9</v>
      </c>
      <c r="F298">
        <v>2.4</v>
      </c>
      <c r="G298">
        <v>7.3</v>
      </c>
      <c r="J298">
        <v>-0.8</v>
      </c>
      <c r="M298">
        <v>0.62</v>
      </c>
      <c r="N298">
        <v>0.82</v>
      </c>
      <c r="Q298">
        <v>8044</v>
      </c>
    </row>
    <row r="299" spans="1:17" x14ac:dyDescent="0.3">
      <c r="A299" t="s">
        <v>208</v>
      </c>
      <c r="B299" t="s">
        <v>26</v>
      </c>
      <c r="C299">
        <v>-9.9</v>
      </c>
      <c r="D299">
        <v>12.3</v>
      </c>
      <c r="G299">
        <v>0.1</v>
      </c>
      <c r="J299">
        <v>-1.47</v>
      </c>
      <c r="K299">
        <v>2.27</v>
      </c>
      <c r="N299">
        <v>0.83</v>
      </c>
      <c r="Q299">
        <v>17186</v>
      </c>
    </row>
    <row r="300" spans="1:17" x14ac:dyDescent="0.3">
      <c r="A300" t="s">
        <v>303</v>
      </c>
      <c r="B300" t="s">
        <v>36</v>
      </c>
      <c r="C300">
        <v>-10.1</v>
      </c>
      <c r="D300">
        <v>-1.1000000000000001</v>
      </c>
      <c r="F300">
        <v>4.5999999999999996</v>
      </c>
      <c r="G300">
        <v>-1.9</v>
      </c>
      <c r="J300">
        <v>-2.31</v>
      </c>
      <c r="K300">
        <v>-0.31</v>
      </c>
      <c r="M300">
        <v>1.93</v>
      </c>
      <c r="N300">
        <v>-1.23</v>
      </c>
      <c r="Q300">
        <v>13133</v>
      </c>
    </row>
    <row r="301" spans="1:17" x14ac:dyDescent="0.3">
      <c r="A301" t="s">
        <v>383</v>
      </c>
      <c r="B301" t="s">
        <v>102</v>
      </c>
      <c r="C301">
        <v>-10.199999999999999</v>
      </c>
      <c r="D301">
        <v>-5.7</v>
      </c>
      <c r="F301">
        <v>2.5</v>
      </c>
      <c r="G301">
        <v>0.3</v>
      </c>
      <c r="J301">
        <v>-1.74</v>
      </c>
      <c r="K301">
        <v>-2.19</v>
      </c>
      <c r="M301">
        <v>0.98</v>
      </c>
      <c r="N301">
        <v>0.57999999999999996</v>
      </c>
      <c r="Q301">
        <v>13071</v>
      </c>
    </row>
    <row r="302" spans="1:17" x14ac:dyDescent="0.3">
      <c r="A302" t="s">
        <v>386</v>
      </c>
      <c r="B302" t="s">
        <v>46</v>
      </c>
      <c r="C302">
        <v>-10.199999999999999</v>
      </c>
      <c r="D302">
        <v>-1.5</v>
      </c>
      <c r="E302">
        <v>-3.5</v>
      </c>
      <c r="G302">
        <v>-6.1</v>
      </c>
      <c r="J302">
        <v>-1.1100000000000001</v>
      </c>
      <c r="K302">
        <v>-1.47</v>
      </c>
      <c r="L302">
        <v>-0.64</v>
      </c>
      <c r="N302">
        <v>-3.05</v>
      </c>
      <c r="Q302">
        <v>16256</v>
      </c>
    </row>
    <row r="303" spans="1:17" x14ac:dyDescent="0.3">
      <c r="A303" t="s">
        <v>393</v>
      </c>
      <c r="B303" t="s">
        <v>46</v>
      </c>
      <c r="C303">
        <v>-10.5</v>
      </c>
      <c r="D303">
        <v>-1.6</v>
      </c>
      <c r="F303">
        <v>-7.3</v>
      </c>
      <c r="G303">
        <v>-6.8</v>
      </c>
      <c r="J303">
        <v>-1.26</v>
      </c>
      <c r="K303">
        <v>-0.8</v>
      </c>
      <c r="M303">
        <v>-3.61</v>
      </c>
      <c r="N303">
        <v>-2</v>
      </c>
      <c r="Q303">
        <v>17969</v>
      </c>
    </row>
    <row r="304" spans="1:17" x14ac:dyDescent="0.3">
      <c r="A304" t="s">
        <v>171</v>
      </c>
      <c r="B304" t="s">
        <v>77</v>
      </c>
      <c r="C304">
        <v>-10.7</v>
      </c>
      <c r="E304">
        <v>7.3</v>
      </c>
      <c r="F304">
        <v>-4.5</v>
      </c>
      <c r="G304">
        <v>11.9</v>
      </c>
      <c r="J304">
        <v>-0.94</v>
      </c>
      <c r="L304">
        <v>1.61</v>
      </c>
      <c r="M304">
        <v>-1.49</v>
      </c>
      <c r="N304">
        <v>2.35</v>
      </c>
      <c r="Q304">
        <v>4972</v>
      </c>
    </row>
    <row r="305" spans="1:17" x14ac:dyDescent="0.3">
      <c r="A305" t="s">
        <v>362</v>
      </c>
      <c r="B305" t="s">
        <v>28</v>
      </c>
      <c r="C305">
        <v>-10.7</v>
      </c>
      <c r="F305">
        <v>3.9</v>
      </c>
      <c r="G305">
        <v>-0.3</v>
      </c>
      <c r="J305">
        <v>-1.48</v>
      </c>
      <c r="M305">
        <v>0.97</v>
      </c>
      <c r="N305">
        <v>-0.5</v>
      </c>
      <c r="Q305">
        <v>17295</v>
      </c>
    </row>
    <row r="306" spans="1:17" x14ac:dyDescent="0.3">
      <c r="A306" t="s">
        <v>347</v>
      </c>
      <c r="B306" t="s">
        <v>48</v>
      </c>
      <c r="C306">
        <v>-11</v>
      </c>
      <c r="D306">
        <v>6.8</v>
      </c>
      <c r="F306">
        <v>0</v>
      </c>
      <c r="J306">
        <v>-4.0199999999999996</v>
      </c>
      <c r="K306">
        <v>1.04</v>
      </c>
      <c r="M306">
        <v>-1.07</v>
      </c>
      <c r="Q306">
        <v>12804</v>
      </c>
    </row>
    <row r="307" spans="1:17" x14ac:dyDescent="0.3">
      <c r="A307" t="s">
        <v>268</v>
      </c>
      <c r="B307" t="s">
        <v>48</v>
      </c>
      <c r="C307">
        <v>-11</v>
      </c>
      <c r="D307">
        <v>2.6</v>
      </c>
      <c r="F307">
        <v>-1</v>
      </c>
      <c r="G307">
        <v>2.8</v>
      </c>
      <c r="J307">
        <v>-1.89</v>
      </c>
      <c r="K307">
        <v>0.77</v>
      </c>
      <c r="M307">
        <v>-0.99</v>
      </c>
      <c r="N307">
        <v>2.2999999999999998</v>
      </c>
      <c r="Q307">
        <v>13194</v>
      </c>
    </row>
    <row r="308" spans="1:17" x14ac:dyDescent="0.3">
      <c r="A308" t="s">
        <v>314</v>
      </c>
      <c r="B308" t="s">
        <v>102</v>
      </c>
      <c r="C308">
        <v>-11.2</v>
      </c>
      <c r="D308">
        <v>7.3</v>
      </c>
      <c r="G308">
        <v>-1.7</v>
      </c>
      <c r="J308">
        <v>-1.41</v>
      </c>
      <c r="K308">
        <v>1.51</v>
      </c>
      <c r="N308">
        <v>-1.05</v>
      </c>
      <c r="Q308">
        <v>16933</v>
      </c>
    </row>
    <row r="309" spans="1:17" x14ac:dyDescent="0.3">
      <c r="A309" t="s">
        <v>311</v>
      </c>
      <c r="B309" t="s">
        <v>48</v>
      </c>
      <c r="C309">
        <v>-11.3</v>
      </c>
      <c r="E309">
        <v>-2.9</v>
      </c>
      <c r="F309">
        <v>-4.8</v>
      </c>
      <c r="G309">
        <v>-0.2</v>
      </c>
      <c r="J309">
        <v>-1.66</v>
      </c>
      <c r="L309">
        <v>-1.23</v>
      </c>
      <c r="M309">
        <v>-1.46</v>
      </c>
      <c r="N309">
        <v>-7.0000000000000007E-2</v>
      </c>
      <c r="Q309">
        <v>4869</v>
      </c>
    </row>
    <row r="310" spans="1:17" x14ac:dyDescent="0.3">
      <c r="A310" t="s">
        <v>348</v>
      </c>
      <c r="B310" t="s">
        <v>146</v>
      </c>
      <c r="C310">
        <v>-11.6</v>
      </c>
      <c r="D310">
        <v>-1.7</v>
      </c>
      <c r="F310">
        <v>1.4</v>
      </c>
      <c r="G310">
        <v>-4.2</v>
      </c>
      <c r="J310">
        <v>-1.1399999999999999</v>
      </c>
      <c r="K310">
        <v>-0.35</v>
      </c>
      <c r="M310">
        <v>2.11</v>
      </c>
      <c r="N310">
        <v>-1.74</v>
      </c>
      <c r="Q310">
        <v>12938</v>
      </c>
    </row>
    <row r="311" spans="1:17" x14ac:dyDescent="0.3">
      <c r="A311" t="s">
        <v>253</v>
      </c>
      <c r="B311" t="s">
        <v>159</v>
      </c>
      <c r="C311">
        <v>-11.9</v>
      </c>
      <c r="D311">
        <v>5.6</v>
      </c>
      <c r="F311">
        <v>-2</v>
      </c>
      <c r="G311">
        <v>3.1</v>
      </c>
      <c r="J311">
        <v>-0.98</v>
      </c>
      <c r="K311">
        <v>1.05</v>
      </c>
      <c r="M311">
        <v>-1.28</v>
      </c>
      <c r="N311">
        <v>0.7</v>
      </c>
      <c r="Q311">
        <v>13475</v>
      </c>
    </row>
    <row r="312" spans="1:17" x14ac:dyDescent="0.3">
      <c r="A312" t="s">
        <v>247</v>
      </c>
      <c r="B312" t="s">
        <v>40</v>
      </c>
      <c r="C312">
        <v>-12</v>
      </c>
      <c r="D312">
        <v>21.6</v>
      </c>
      <c r="E312">
        <v>-1.2</v>
      </c>
      <c r="F312">
        <v>-0.8</v>
      </c>
      <c r="G312">
        <v>-0.1</v>
      </c>
      <c r="H312">
        <v>-6.2</v>
      </c>
      <c r="J312">
        <v>-1.41</v>
      </c>
      <c r="K312">
        <v>2.14</v>
      </c>
      <c r="L312">
        <v>-2.71</v>
      </c>
      <c r="M312">
        <v>-0.86</v>
      </c>
      <c r="N312">
        <v>-0.34</v>
      </c>
      <c r="O312">
        <v>-0.83</v>
      </c>
      <c r="Q312">
        <v>15764</v>
      </c>
    </row>
    <row r="313" spans="1:17" x14ac:dyDescent="0.3">
      <c r="A313" t="s">
        <v>379</v>
      </c>
      <c r="B313" t="s">
        <v>62</v>
      </c>
      <c r="C313">
        <v>-12.1</v>
      </c>
      <c r="D313">
        <v>0.9</v>
      </c>
      <c r="G313">
        <v>-7.3</v>
      </c>
      <c r="J313">
        <v>-2.19</v>
      </c>
      <c r="K313">
        <v>0.13</v>
      </c>
      <c r="N313">
        <v>-2.99</v>
      </c>
      <c r="Q313">
        <v>18356</v>
      </c>
    </row>
    <row r="314" spans="1:17" x14ac:dyDescent="0.3">
      <c r="A314" t="s">
        <v>367</v>
      </c>
      <c r="B314" t="s">
        <v>48</v>
      </c>
      <c r="C314">
        <v>-12.1</v>
      </c>
      <c r="E314">
        <v>2.8</v>
      </c>
      <c r="F314">
        <v>2.8</v>
      </c>
      <c r="G314">
        <v>0.2</v>
      </c>
      <c r="J314">
        <v>-2.27</v>
      </c>
      <c r="L314">
        <v>1.05</v>
      </c>
      <c r="M314">
        <v>0.43</v>
      </c>
      <c r="N314">
        <v>0.25</v>
      </c>
      <c r="Q314">
        <v>14862</v>
      </c>
    </row>
    <row r="315" spans="1:17" x14ac:dyDescent="0.3">
      <c r="A315" t="s">
        <v>392</v>
      </c>
      <c r="B315" t="s">
        <v>62</v>
      </c>
      <c r="C315">
        <v>-12.2</v>
      </c>
      <c r="D315">
        <v>-2</v>
      </c>
      <c r="F315">
        <v>-5.2</v>
      </c>
      <c r="G315">
        <v>-4.0999999999999996</v>
      </c>
      <c r="J315">
        <v>-1.74</v>
      </c>
      <c r="K315">
        <v>-4.55</v>
      </c>
      <c r="M315">
        <v>-1.84</v>
      </c>
      <c r="N315">
        <v>-0.9</v>
      </c>
      <c r="Q315">
        <v>19911</v>
      </c>
    </row>
    <row r="316" spans="1:17" x14ac:dyDescent="0.3">
      <c r="A316" t="s">
        <v>248</v>
      </c>
      <c r="B316" t="s">
        <v>77</v>
      </c>
      <c r="C316">
        <v>-12.2</v>
      </c>
      <c r="E316">
        <v>-2.5</v>
      </c>
      <c r="F316">
        <v>0</v>
      </c>
      <c r="G316">
        <v>-4.5999999999999996</v>
      </c>
      <c r="J316">
        <v>-1.05</v>
      </c>
      <c r="L316">
        <v>-0.24</v>
      </c>
      <c r="M316">
        <v>0</v>
      </c>
      <c r="N316">
        <v>-1.28</v>
      </c>
      <c r="Q316">
        <v>4930</v>
      </c>
    </row>
    <row r="317" spans="1:17" x14ac:dyDescent="0.3">
      <c r="A317" t="s">
        <v>242</v>
      </c>
      <c r="B317" t="s">
        <v>30</v>
      </c>
      <c r="C317">
        <v>-12.4</v>
      </c>
      <c r="D317">
        <v>10.6</v>
      </c>
      <c r="E317">
        <v>-0.2</v>
      </c>
      <c r="F317">
        <v>0.7</v>
      </c>
      <c r="G317">
        <v>0.1</v>
      </c>
      <c r="J317">
        <v>-0.94</v>
      </c>
      <c r="K317">
        <v>1.76</v>
      </c>
      <c r="L317">
        <v>-7.0000000000000007E-2</v>
      </c>
      <c r="M317">
        <v>0.31</v>
      </c>
      <c r="N317">
        <v>0.04</v>
      </c>
      <c r="Q317">
        <v>12970</v>
      </c>
    </row>
    <row r="318" spans="1:17" x14ac:dyDescent="0.3">
      <c r="A318" t="s">
        <v>361</v>
      </c>
      <c r="B318" t="s">
        <v>143</v>
      </c>
      <c r="C318">
        <v>-12.6</v>
      </c>
      <c r="D318">
        <v>-9.6999999999999993</v>
      </c>
      <c r="F318">
        <v>0.5</v>
      </c>
      <c r="G318">
        <v>2.2999999999999998</v>
      </c>
      <c r="J318">
        <v>-0.96</v>
      </c>
      <c r="K318">
        <v>-3.14</v>
      </c>
      <c r="M318">
        <v>0.28000000000000003</v>
      </c>
      <c r="N318">
        <v>0.95</v>
      </c>
      <c r="Q318">
        <v>17030</v>
      </c>
    </row>
    <row r="319" spans="1:17" x14ac:dyDescent="0.3">
      <c r="A319" t="s">
        <v>296</v>
      </c>
      <c r="B319" t="s">
        <v>66</v>
      </c>
      <c r="C319">
        <v>-12.8</v>
      </c>
      <c r="D319">
        <v>8.5</v>
      </c>
      <c r="F319">
        <v>-5.0999999999999996</v>
      </c>
      <c r="G319">
        <v>-1.9</v>
      </c>
      <c r="J319">
        <v>-0.92</v>
      </c>
      <c r="K319">
        <v>1.46</v>
      </c>
      <c r="M319">
        <v>-1.46</v>
      </c>
      <c r="N319">
        <v>-0.43</v>
      </c>
      <c r="Q319">
        <v>10123</v>
      </c>
    </row>
    <row r="320" spans="1:17" x14ac:dyDescent="0.3">
      <c r="A320" t="s">
        <v>177</v>
      </c>
      <c r="B320" t="s">
        <v>46</v>
      </c>
      <c r="C320">
        <v>-12.9</v>
      </c>
      <c r="D320">
        <v>13.9</v>
      </c>
      <c r="F320">
        <v>1.6</v>
      </c>
      <c r="G320">
        <v>-3.5</v>
      </c>
      <c r="J320">
        <v>-1.03</v>
      </c>
      <c r="K320">
        <v>1.75</v>
      </c>
      <c r="M320">
        <v>0.61</v>
      </c>
      <c r="N320">
        <v>-4.9800000000000004</v>
      </c>
      <c r="Q320">
        <v>14916</v>
      </c>
    </row>
    <row r="321" spans="1:17" x14ac:dyDescent="0.3">
      <c r="A321" t="s">
        <v>364</v>
      </c>
      <c r="B321" t="s">
        <v>48</v>
      </c>
      <c r="C321">
        <v>-13.4</v>
      </c>
      <c r="F321">
        <v>-5.2</v>
      </c>
      <c r="G321">
        <v>0.7</v>
      </c>
      <c r="J321">
        <v>-1.01</v>
      </c>
      <c r="M321">
        <v>-0.98</v>
      </c>
      <c r="N321">
        <v>0.17</v>
      </c>
      <c r="Q321">
        <v>11490</v>
      </c>
    </row>
    <row r="322" spans="1:17" x14ac:dyDescent="0.3">
      <c r="A322" t="s">
        <v>290</v>
      </c>
      <c r="B322" t="s">
        <v>50</v>
      </c>
      <c r="C322">
        <v>-13.6</v>
      </c>
      <c r="E322">
        <v>-5.2</v>
      </c>
      <c r="F322">
        <v>-5.6</v>
      </c>
      <c r="G322">
        <v>10.199999999999999</v>
      </c>
      <c r="J322">
        <v>-1.21</v>
      </c>
      <c r="L322">
        <v>-1.57</v>
      </c>
      <c r="M322">
        <v>-2.4700000000000002</v>
      </c>
      <c r="N322">
        <v>1.95</v>
      </c>
      <c r="Q322">
        <v>14078</v>
      </c>
    </row>
    <row r="323" spans="1:17" x14ac:dyDescent="0.3">
      <c r="A323" t="s">
        <v>189</v>
      </c>
      <c r="B323" t="s">
        <v>77</v>
      </c>
      <c r="C323">
        <v>-13.7</v>
      </c>
      <c r="D323">
        <v>-1.4</v>
      </c>
      <c r="E323">
        <v>21.4</v>
      </c>
      <c r="F323">
        <v>6.1</v>
      </c>
      <c r="G323">
        <v>-0.3</v>
      </c>
      <c r="H323">
        <v>4.7</v>
      </c>
      <c r="J323">
        <v>-1.38</v>
      </c>
      <c r="K323">
        <v>-0.34</v>
      </c>
      <c r="L323">
        <v>2.16</v>
      </c>
      <c r="M323">
        <v>3.03</v>
      </c>
      <c r="N323">
        <v>-1.45</v>
      </c>
      <c r="O323">
        <v>2.0299999999999998</v>
      </c>
      <c r="Q323">
        <v>13074</v>
      </c>
    </row>
    <row r="324" spans="1:17" x14ac:dyDescent="0.3">
      <c r="A324" t="s">
        <v>390</v>
      </c>
      <c r="B324" t="s">
        <v>146</v>
      </c>
      <c r="C324">
        <v>-14.1</v>
      </c>
      <c r="D324">
        <v>-5</v>
      </c>
      <c r="F324">
        <v>-1.6</v>
      </c>
      <c r="G324">
        <v>-4.2</v>
      </c>
      <c r="J324">
        <v>-1.66</v>
      </c>
      <c r="K324">
        <v>-1.4</v>
      </c>
      <c r="M324">
        <v>-2.61</v>
      </c>
      <c r="N324">
        <v>-2.54</v>
      </c>
      <c r="Q324">
        <v>16130</v>
      </c>
    </row>
    <row r="325" spans="1:17" x14ac:dyDescent="0.3">
      <c r="A325" t="s">
        <v>368</v>
      </c>
      <c r="B325" t="s">
        <v>62</v>
      </c>
      <c r="C325">
        <v>-14.4</v>
      </c>
      <c r="D325">
        <v>2</v>
      </c>
      <c r="F325">
        <v>-5</v>
      </c>
      <c r="G325">
        <v>-1.9</v>
      </c>
      <c r="J325">
        <v>-2.17</v>
      </c>
      <c r="K325">
        <v>0.61</v>
      </c>
      <c r="M325">
        <v>-1.28</v>
      </c>
      <c r="N325">
        <v>-0.46</v>
      </c>
      <c r="Q325">
        <v>6249</v>
      </c>
    </row>
    <row r="326" spans="1:17" x14ac:dyDescent="0.3">
      <c r="A326" t="s">
        <v>333</v>
      </c>
      <c r="B326" t="s">
        <v>62</v>
      </c>
      <c r="C326">
        <v>-14.5</v>
      </c>
      <c r="D326">
        <v>-2.1</v>
      </c>
      <c r="F326">
        <v>-2.8</v>
      </c>
      <c r="G326">
        <v>1.5</v>
      </c>
      <c r="J326">
        <v>-2.25</v>
      </c>
      <c r="K326">
        <v>-3.55</v>
      </c>
      <c r="M326">
        <v>-0.9</v>
      </c>
      <c r="N326">
        <v>0.57999999999999996</v>
      </c>
      <c r="Q326">
        <v>18790</v>
      </c>
    </row>
    <row r="327" spans="1:17" x14ac:dyDescent="0.3">
      <c r="A327" t="s">
        <v>337</v>
      </c>
      <c r="B327" t="s">
        <v>95</v>
      </c>
      <c r="C327">
        <v>-14.8</v>
      </c>
      <c r="D327">
        <v>1.9</v>
      </c>
      <c r="F327">
        <v>1.1000000000000001</v>
      </c>
      <c r="G327">
        <v>-0.4</v>
      </c>
      <c r="J327">
        <v>-1.79</v>
      </c>
      <c r="K327">
        <v>0.96</v>
      </c>
      <c r="M327">
        <v>0.19</v>
      </c>
      <c r="N327">
        <v>-2.36</v>
      </c>
      <c r="Q327">
        <v>15454</v>
      </c>
    </row>
    <row r="328" spans="1:17" x14ac:dyDescent="0.3">
      <c r="A328" t="s">
        <v>360</v>
      </c>
      <c r="B328" t="s">
        <v>43</v>
      </c>
      <c r="C328">
        <v>-15</v>
      </c>
      <c r="D328">
        <v>3.2</v>
      </c>
      <c r="F328">
        <v>0.1</v>
      </c>
      <c r="G328">
        <v>3.5</v>
      </c>
      <c r="J328">
        <v>-2.13</v>
      </c>
      <c r="K328">
        <v>1.1200000000000001</v>
      </c>
      <c r="M328">
        <v>0.03</v>
      </c>
      <c r="N328">
        <v>2.86</v>
      </c>
      <c r="Q328">
        <v>18525</v>
      </c>
    </row>
    <row r="329" spans="1:17" x14ac:dyDescent="0.3">
      <c r="A329" t="s">
        <v>396</v>
      </c>
      <c r="B329" t="s">
        <v>48</v>
      </c>
      <c r="C329">
        <v>-15.7</v>
      </c>
      <c r="D329">
        <v>-5.3</v>
      </c>
      <c r="E329">
        <v>-12.8</v>
      </c>
      <c r="F329">
        <v>-1</v>
      </c>
      <c r="G329">
        <v>-2.2999999999999998</v>
      </c>
      <c r="J329">
        <v>-2.7</v>
      </c>
      <c r="K329">
        <v>-1.58</v>
      </c>
      <c r="L329">
        <v>-4.8899999999999997</v>
      </c>
      <c r="M329">
        <v>-2.34</v>
      </c>
      <c r="N329">
        <v>-2.41</v>
      </c>
      <c r="Q329">
        <v>1841</v>
      </c>
    </row>
    <row r="330" spans="1:17" x14ac:dyDescent="0.3">
      <c r="A330" t="s">
        <v>378</v>
      </c>
      <c r="B330" t="s">
        <v>193</v>
      </c>
      <c r="C330">
        <v>-15.9</v>
      </c>
      <c r="D330">
        <v>2.4</v>
      </c>
      <c r="F330">
        <v>4.7</v>
      </c>
      <c r="G330">
        <v>-5.4</v>
      </c>
      <c r="J330">
        <v>-3.31</v>
      </c>
      <c r="K330">
        <v>2.17</v>
      </c>
      <c r="M330">
        <v>1.0900000000000001</v>
      </c>
      <c r="N330">
        <v>-2.74</v>
      </c>
      <c r="Q330">
        <v>4772</v>
      </c>
    </row>
    <row r="331" spans="1:17" x14ac:dyDescent="0.3">
      <c r="A331" t="s">
        <v>381</v>
      </c>
      <c r="B331" t="s">
        <v>46</v>
      </c>
      <c r="C331">
        <v>-16.600000000000001</v>
      </c>
      <c r="D331">
        <v>0.2</v>
      </c>
      <c r="F331">
        <v>3.3</v>
      </c>
      <c r="G331">
        <v>-3.6</v>
      </c>
      <c r="J331">
        <v>-2.2400000000000002</v>
      </c>
      <c r="K331">
        <v>1.34</v>
      </c>
      <c r="M331">
        <v>0.91</v>
      </c>
      <c r="N331">
        <v>-2.4900000000000002</v>
      </c>
      <c r="Q331">
        <v>17432</v>
      </c>
    </row>
    <row r="332" spans="1:17" x14ac:dyDescent="0.3">
      <c r="A332" t="s">
        <v>377</v>
      </c>
      <c r="B332" t="s">
        <v>127</v>
      </c>
      <c r="C332">
        <v>-16.7</v>
      </c>
      <c r="D332">
        <v>-0.8</v>
      </c>
      <c r="F332">
        <v>2.5</v>
      </c>
      <c r="G332">
        <v>-3.3</v>
      </c>
      <c r="J332">
        <v>-1.49</v>
      </c>
      <c r="K332">
        <v>-0.57999999999999996</v>
      </c>
      <c r="M332">
        <v>0.38</v>
      </c>
      <c r="N332">
        <v>-2.1800000000000002</v>
      </c>
      <c r="Q332">
        <v>14527</v>
      </c>
    </row>
    <row r="333" spans="1:17" x14ac:dyDescent="0.3">
      <c r="A333" t="s">
        <v>317</v>
      </c>
      <c r="B333" t="s">
        <v>66</v>
      </c>
      <c r="C333">
        <v>-16.899999999999999</v>
      </c>
      <c r="E333">
        <v>12.5</v>
      </c>
      <c r="F333">
        <v>-1.6</v>
      </c>
      <c r="G333">
        <v>-2.1</v>
      </c>
      <c r="J333">
        <v>-1.44</v>
      </c>
      <c r="L333">
        <v>1.47</v>
      </c>
      <c r="M333">
        <v>-1.18</v>
      </c>
      <c r="N333">
        <v>-0.35</v>
      </c>
      <c r="Q333">
        <v>6902</v>
      </c>
    </row>
    <row r="334" spans="1:17" x14ac:dyDescent="0.3">
      <c r="A334" t="s">
        <v>385</v>
      </c>
      <c r="B334" t="s">
        <v>46</v>
      </c>
      <c r="C334">
        <v>-17</v>
      </c>
      <c r="D334">
        <v>-0.7</v>
      </c>
      <c r="F334">
        <v>-2.2000000000000002</v>
      </c>
      <c r="G334">
        <v>-0.9</v>
      </c>
      <c r="H334">
        <v>-3.9</v>
      </c>
      <c r="J334">
        <v>-1.21</v>
      </c>
      <c r="K334">
        <v>-0.15</v>
      </c>
      <c r="M334">
        <v>-0.99</v>
      </c>
      <c r="N334">
        <v>-0.99</v>
      </c>
      <c r="O334">
        <v>-6.7</v>
      </c>
      <c r="Q334">
        <v>15488</v>
      </c>
    </row>
    <row r="335" spans="1:17" x14ac:dyDescent="0.3">
      <c r="A335" t="s">
        <v>349</v>
      </c>
      <c r="B335" t="s">
        <v>83</v>
      </c>
      <c r="C335">
        <v>-17.600000000000001</v>
      </c>
      <c r="D335">
        <v>2</v>
      </c>
      <c r="F335">
        <v>2</v>
      </c>
      <c r="G335">
        <v>-1</v>
      </c>
      <c r="J335">
        <v>-2.19</v>
      </c>
      <c r="K335">
        <v>0.86</v>
      </c>
      <c r="M335">
        <v>0.71</v>
      </c>
      <c r="N335">
        <v>-0.28999999999999998</v>
      </c>
      <c r="Q335">
        <v>14509</v>
      </c>
    </row>
    <row r="336" spans="1:17" x14ac:dyDescent="0.3">
      <c r="A336" t="s">
        <v>340</v>
      </c>
      <c r="B336" t="s">
        <v>193</v>
      </c>
      <c r="C336">
        <v>-18</v>
      </c>
      <c r="D336">
        <v>-7.2</v>
      </c>
      <c r="F336">
        <v>-5.9</v>
      </c>
      <c r="H336">
        <v>0.1</v>
      </c>
      <c r="J336">
        <v>-1.35</v>
      </c>
      <c r="K336">
        <v>-0.95</v>
      </c>
      <c r="M336">
        <v>-1.38</v>
      </c>
      <c r="O336">
        <v>0.05</v>
      </c>
      <c r="Q336">
        <v>20633</v>
      </c>
    </row>
    <row r="337" spans="1:17" x14ac:dyDescent="0.3">
      <c r="A337" t="s">
        <v>230</v>
      </c>
      <c r="B337" t="s">
        <v>48</v>
      </c>
      <c r="C337">
        <v>-19.399999999999999</v>
      </c>
      <c r="D337">
        <v>1.9</v>
      </c>
      <c r="E337">
        <v>5.4</v>
      </c>
      <c r="F337">
        <v>-2.2000000000000002</v>
      </c>
      <c r="G337">
        <v>-1.6</v>
      </c>
      <c r="J337">
        <v>-1.9</v>
      </c>
      <c r="K337">
        <v>0.57999999999999996</v>
      </c>
      <c r="L337">
        <v>0.73</v>
      </c>
      <c r="M337">
        <v>-0.78</v>
      </c>
      <c r="N337">
        <v>-0.28000000000000003</v>
      </c>
      <c r="Q337">
        <v>10130</v>
      </c>
    </row>
    <row r="338" spans="1:17" x14ac:dyDescent="0.3">
      <c r="A338" t="s">
        <v>292</v>
      </c>
      <c r="B338" t="s">
        <v>146</v>
      </c>
      <c r="C338">
        <v>-20.7</v>
      </c>
      <c r="D338">
        <v>9</v>
      </c>
      <c r="F338">
        <v>0.4</v>
      </c>
      <c r="G338">
        <v>3.1</v>
      </c>
      <c r="J338">
        <v>-1.49</v>
      </c>
      <c r="K338">
        <v>1.43</v>
      </c>
      <c r="M338">
        <v>0.15</v>
      </c>
      <c r="N338">
        <v>0.64</v>
      </c>
      <c r="Q338">
        <v>12917</v>
      </c>
    </row>
    <row r="339" spans="1:17" x14ac:dyDescent="0.3">
      <c r="A339" t="s">
        <v>324</v>
      </c>
      <c r="B339" t="s">
        <v>127</v>
      </c>
      <c r="C339">
        <v>-23.1</v>
      </c>
      <c r="D339">
        <v>15</v>
      </c>
      <c r="G339">
        <v>-1.8</v>
      </c>
      <c r="J339">
        <v>-1.55</v>
      </c>
      <c r="K339">
        <v>1.17</v>
      </c>
      <c r="N339">
        <v>-1.18</v>
      </c>
      <c r="Q339">
        <v>13619</v>
      </c>
    </row>
    <row r="340" spans="1:17" x14ac:dyDescent="0.3">
      <c r="A340" t="s">
        <v>363</v>
      </c>
      <c r="B340" t="s">
        <v>143</v>
      </c>
      <c r="C340">
        <v>-26.9</v>
      </c>
      <c r="D340">
        <v>0.4</v>
      </c>
      <c r="G340">
        <v>-2.5</v>
      </c>
      <c r="J340">
        <v>-2.42</v>
      </c>
      <c r="K340">
        <v>0.06</v>
      </c>
      <c r="N340">
        <v>-0.96</v>
      </c>
      <c r="Q340">
        <v>13339</v>
      </c>
    </row>
    <row r="341" spans="1:17" x14ac:dyDescent="0.3">
      <c r="A341" t="s">
        <v>370</v>
      </c>
      <c r="B341" t="s">
        <v>48</v>
      </c>
      <c r="C341">
        <v>-27.3</v>
      </c>
      <c r="D341">
        <v>8.6999999999999993</v>
      </c>
      <c r="E341">
        <v>-0.3</v>
      </c>
      <c r="F341">
        <v>0.1</v>
      </c>
      <c r="G341">
        <v>1.4</v>
      </c>
      <c r="H341">
        <v>-1.3</v>
      </c>
      <c r="J341">
        <v>-3.21</v>
      </c>
      <c r="K341">
        <v>0.9</v>
      </c>
      <c r="L341">
        <v>-2.14</v>
      </c>
      <c r="M341">
        <v>1.6</v>
      </c>
      <c r="N341">
        <v>1.83</v>
      </c>
      <c r="O341">
        <v>-4.08</v>
      </c>
      <c r="Q341">
        <v>2608</v>
      </c>
    </row>
    <row r="342" spans="1:17" x14ac:dyDescent="0.3">
      <c r="A342" t="s">
        <v>27</v>
      </c>
      <c r="B342" t="s">
        <v>28</v>
      </c>
      <c r="E342">
        <v>10.9</v>
      </c>
      <c r="F342">
        <v>7.3</v>
      </c>
      <c r="L342">
        <v>2.0099999999999998</v>
      </c>
      <c r="M342">
        <v>1.85</v>
      </c>
      <c r="Q342">
        <v>3192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L342"/>
  <sheetViews>
    <sheetView workbookViewId="0"/>
  </sheetViews>
  <sheetFormatPr defaultRowHeight="14.4" x14ac:dyDescent="0.3"/>
  <sheetData>
    <row r="1" spans="1:12" x14ac:dyDescent="0.3">
      <c r="A1" t="s">
        <v>0</v>
      </c>
      <c r="B1" t="s">
        <v>1</v>
      </c>
      <c r="C1" t="s">
        <v>423</v>
      </c>
      <c r="D1" t="s">
        <v>422</v>
      </c>
      <c r="E1" t="s">
        <v>421</v>
      </c>
      <c r="F1" t="s">
        <v>420</v>
      </c>
      <c r="G1" t="s">
        <v>419</v>
      </c>
      <c r="H1" t="s">
        <v>418</v>
      </c>
      <c r="I1" t="s">
        <v>417</v>
      </c>
      <c r="J1" t="s">
        <v>416</v>
      </c>
      <c r="K1" t="s">
        <v>415</v>
      </c>
      <c r="L1" t="s">
        <v>24</v>
      </c>
    </row>
    <row r="2" spans="1:12" x14ac:dyDescent="0.3">
      <c r="A2" t="s">
        <v>54</v>
      </c>
      <c r="B2" t="s">
        <v>28</v>
      </c>
      <c r="C2" s="1">
        <v>0.40600000000000003</v>
      </c>
      <c r="D2" s="1">
        <v>0.63800000000000001</v>
      </c>
      <c r="E2" s="1">
        <v>0.50800000000000001</v>
      </c>
      <c r="F2" s="1">
        <v>0.46600000000000003</v>
      </c>
      <c r="G2" s="1">
        <v>0.80300000000000005</v>
      </c>
      <c r="H2" s="1">
        <v>0.65200000000000002</v>
      </c>
      <c r="I2" s="1">
        <v>0.438</v>
      </c>
      <c r="J2" s="1">
        <v>0.621</v>
      </c>
      <c r="K2" s="1">
        <v>0.17699999999999999</v>
      </c>
      <c r="L2">
        <v>7005</v>
      </c>
    </row>
    <row r="3" spans="1:12" x14ac:dyDescent="0.3">
      <c r="A3" t="s">
        <v>130</v>
      </c>
      <c r="B3" t="s">
        <v>48</v>
      </c>
      <c r="C3" s="1">
        <v>0.40500000000000003</v>
      </c>
      <c r="D3" s="1">
        <v>0.63600000000000001</v>
      </c>
      <c r="E3" s="1">
        <v>0.48799999999999999</v>
      </c>
      <c r="F3" s="1">
        <v>0.61099999999999999</v>
      </c>
      <c r="G3" s="1">
        <v>0.82499999999999996</v>
      </c>
      <c r="H3" s="1">
        <v>0.71199999999999997</v>
      </c>
      <c r="I3" s="1">
        <v>0.36199999999999999</v>
      </c>
      <c r="J3" s="1">
        <v>0.64700000000000002</v>
      </c>
      <c r="K3" s="1">
        <v>0.14099999999999999</v>
      </c>
      <c r="L3">
        <v>9817</v>
      </c>
    </row>
    <row r="4" spans="1:12" x14ac:dyDescent="0.3">
      <c r="A4" t="s">
        <v>218</v>
      </c>
      <c r="B4" t="s">
        <v>83</v>
      </c>
      <c r="C4" s="1">
        <v>0.39700000000000002</v>
      </c>
      <c r="D4" s="1">
        <v>0.70899999999999996</v>
      </c>
      <c r="E4" s="1">
        <v>0.52600000000000002</v>
      </c>
      <c r="F4" s="1">
        <v>0.67200000000000004</v>
      </c>
      <c r="G4" s="1">
        <v>0.82399999999999995</v>
      </c>
      <c r="H4" s="1">
        <v>0.75700000000000001</v>
      </c>
      <c r="I4" s="1">
        <v>0.41499999999999998</v>
      </c>
      <c r="J4" s="1">
        <v>0.68799999999999994</v>
      </c>
      <c r="K4" s="1">
        <v>0.128</v>
      </c>
      <c r="L4">
        <v>3132</v>
      </c>
    </row>
    <row r="5" spans="1:12" x14ac:dyDescent="0.3">
      <c r="A5" t="s">
        <v>64</v>
      </c>
      <c r="B5" t="s">
        <v>43</v>
      </c>
      <c r="C5" s="1">
        <v>0.39500000000000002</v>
      </c>
      <c r="D5" s="1">
        <v>0.63900000000000001</v>
      </c>
      <c r="E5" s="1">
        <v>0.47799999999999998</v>
      </c>
      <c r="F5" s="1">
        <v>0.69599999999999995</v>
      </c>
      <c r="G5" s="1">
        <v>0.84099999999999997</v>
      </c>
      <c r="H5" s="1">
        <v>0.76200000000000001</v>
      </c>
      <c r="I5" s="1">
        <v>0.34200000000000003</v>
      </c>
      <c r="J5" s="1">
        <v>0.60299999999999998</v>
      </c>
      <c r="K5" s="1">
        <v>0.114</v>
      </c>
      <c r="L5">
        <v>12297</v>
      </c>
    </row>
    <row r="6" spans="1:12" x14ac:dyDescent="0.3">
      <c r="A6" t="s">
        <v>202</v>
      </c>
      <c r="B6" t="s">
        <v>93</v>
      </c>
      <c r="C6" s="1">
        <v>0.39400000000000002</v>
      </c>
      <c r="D6" s="1">
        <v>0.81499999999999995</v>
      </c>
      <c r="E6" s="1">
        <v>0.58899999999999997</v>
      </c>
      <c r="F6" s="1">
        <v>0.68899999999999995</v>
      </c>
      <c r="G6" s="1">
        <v>0.85199999999999998</v>
      </c>
      <c r="H6" s="1">
        <v>0.79300000000000004</v>
      </c>
      <c r="I6" s="1">
        <v>0.46200000000000002</v>
      </c>
      <c r="J6" s="1">
        <v>0.66900000000000004</v>
      </c>
      <c r="K6" s="1">
        <v>0.122</v>
      </c>
      <c r="L6">
        <v>1581</v>
      </c>
    </row>
    <row r="7" spans="1:12" x14ac:dyDescent="0.3">
      <c r="A7" t="s">
        <v>70</v>
      </c>
      <c r="B7" t="s">
        <v>71</v>
      </c>
      <c r="C7" s="1">
        <v>0.39200000000000002</v>
      </c>
      <c r="D7" s="1">
        <v>0.80800000000000005</v>
      </c>
      <c r="E7" s="1">
        <v>0.58699999999999997</v>
      </c>
      <c r="F7" s="1">
        <v>0.53300000000000003</v>
      </c>
      <c r="G7" s="1">
        <v>0.65300000000000002</v>
      </c>
      <c r="H7" s="1">
        <v>0.61</v>
      </c>
      <c r="I7" s="1">
        <v>0.46800000000000003</v>
      </c>
      <c r="J7" s="1">
        <v>0.63</v>
      </c>
      <c r="K7" s="1">
        <v>0.22900000000000001</v>
      </c>
      <c r="L7">
        <v>14212</v>
      </c>
    </row>
    <row r="8" spans="1:12" x14ac:dyDescent="0.3">
      <c r="A8" t="s">
        <v>51</v>
      </c>
      <c r="B8" t="s">
        <v>32</v>
      </c>
      <c r="C8" s="1">
        <v>0.38400000000000001</v>
      </c>
      <c r="D8" s="1">
        <v>0.73399999999999999</v>
      </c>
      <c r="E8" s="1">
        <v>0.54800000000000004</v>
      </c>
      <c r="F8" s="1">
        <v>0.55300000000000005</v>
      </c>
      <c r="G8" s="1">
        <v>0.751</v>
      </c>
      <c r="H8" s="1">
        <v>0.67700000000000005</v>
      </c>
      <c r="I8" s="1">
        <v>0.46899999999999997</v>
      </c>
      <c r="J8" s="1">
        <v>0.65500000000000003</v>
      </c>
      <c r="K8" s="1">
        <v>0.17699999999999999</v>
      </c>
      <c r="L8">
        <v>14771</v>
      </c>
    </row>
    <row r="9" spans="1:12" x14ac:dyDescent="0.3">
      <c r="A9" t="s">
        <v>271</v>
      </c>
      <c r="B9" t="s">
        <v>48</v>
      </c>
      <c r="C9" s="1">
        <v>0.38300000000000001</v>
      </c>
      <c r="D9" s="1">
        <v>0.73499999999999999</v>
      </c>
      <c r="E9" s="1">
        <v>0.53300000000000003</v>
      </c>
      <c r="F9" s="1">
        <v>0.70399999999999996</v>
      </c>
      <c r="G9" s="1">
        <v>0.84099999999999997</v>
      </c>
      <c r="H9" s="1">
        <v>0.78500000000000003</v>
      </c>
      <c r="I9" s="1">
        <v>0.42699999999999999</v>
      </c>
      <c r="J9" s="1">
        <v>0.68100000000000005</v>
      </c>
      <c r="K9" s="1">
        <v>0.115</v>
      </c>
      <c r="L9">
        <v>13442</v>
      </c>
    </row>
    <row r="10" spans="1:12" x14ac:dyDescent="0.3">
      <c r="A10" t="s">
        <v>123</v>
      </c>
      <c r="B10" t="s">
        <v>48</v>
      </c>
      <c r="C10" s="1">
        <v>0.38300000000000001</v>
      </c>
      <c r="D10" s="1">
        <v>0.71899999999999997</v>
      </c>
      <c r="E10" s="1">
        <v>0.54300000000000004</v>
      </c>
      <c r="F10" s="1">
        <v>0.64700000000000002</v>
      </c>
      <c r="G10" s="1">
        <v>0.84499999999999997</v>
      </c>
      <c r="H10" s="1">
        <v>0.77200000000000002</v>
      </c>
      <c r="I10" s="1">
        <v>0.47699999999999998</v>
      </c>
      <c r="J10" s="1">
        <v>0.73099999999999998</v>
      </c>
      <c r="K10" s="1">
        <v>0.124</v>
      </c>
      <c r="L10">
        <v>11847</v>
      </c>
    </row>
    <row r="11" spans="1:12" x14ac:dyDescent="0.3">
      <c r="A11" t="s">
        <v>155</v>
      </c>
      <c r="B11" t="s">
        <v>53</v>
      </c>
      <c r="C11" s="1">
        <v>0.38100000000000001</v>
      </c>
      <c r="D11" s="1">
        <v>0.71199999999999997</v>
      </c>
      <c r="E11" s="1">
        <v>0.53200000000000003</v>
      </c>
      <c r="F11" s="1">
        <v>0.58099999999999996</v>
      </c>
      <c r="G11" s="1">
        <v>0.78300000000000003</v>
      </c>
      <c r="H11" s="1">
        <v>0.70399999999999996</v>
      </c>
      <c r="I11" s="1">
        <v>0.45500000000000002</v>
      </c>
      <c r="J11" s="1">
        <v>0.68100000000000005</v>
      </c>
      <c r="K11" s="1">
        <v>0.157</v>
      </c>
      <c r="L11">
        <v>3096</v>
      </c>
    </row>
    <row r="12" spans="1:12" x14ac:dyDescent="0.3">
      <c r="A12" t="s">
        <v>293</v>
      </c>
      <c r="B12" t="s">
        <v>98</v>
      </c>
      <c r="C12" s="1">
        <v>0.379</v>
      </c>
      <c r="D12" s="1">
        <v>0.73</v>
      </c>
      <c r="E12" s="1">
        <v>0.49399999999999999</v>
      </c>
      <c r="F12" s="1">
        <v>0.69899999999999995</v>
      </c>
      <c r="G12" s="1">
        <v>0.90200000000000002</v>
      </c>
      <c r="H12" s="1">
        <v>0.79700000000000004</v>
      </c>
      <c r="I12" s="1">
        <v>0.32700000000000001</v>
      </c>
      <c r="J12" s="1">
        <v>0.56000000000000005</v>
      </c>
      <c r="K12" s="1">
        <v>0.1</v>
      </c>
      <c r="L12">
        <v>3237</v>
      </c>
    </row>
    <row r="13" spans="1:12" x14ac:dyDescent="0.3">
      <c r="A13" t="s">
        <v>308</v>
      </c>
      <c r="B13" t="s">
        <v>34</v>
      </c>
      <c r="C13" s="1">
        <v>0.379</v>
      </c>
      <c r="D13" s="1">
        <v>0.68700000000000006</v>
      </c>
      <c r="E13" s="1">
        <v>0.495</v>
      </c>
      <c r="F13" s="1">
        <v>0.61799999999999999</v>
      </c>
      <c r="G13" s="1">
        <v>0.86399999999999999</v>
      </c>
      <c r="H13" s="1">
        <v>0.747</v>
      </c>
      <c r="I13" s="1">
        <v>0.378</v>
      </c>
      <c r="J13" s="1">
        <v>0.61299999999999999</v>
      </c>
      <c r="K13" s="1">
        <v>0.125</v>
      </c>
      <c r="L13">
        <v>12572</v>
      </c>
    </row>
    <row r="14" spans="1:12" x14ac:dyDescent="0.3">
      <c r="A14" t="s">
        <v>57</v>
      </c>
      <c r="B14" t="s">
        <v>58</v>
      </c>
      <c r="C14" s="1">
        <v>0.379</v>
      </c>
      <c r="D14" s="1">
        <v>0.746</v>
      </c>
      <c r="E14" s="1">
        <v>0.52900000000000003</v>
      </c>
      <c r="F14" s="1">
        <v>0.58499999999999996</v>
      </c>
      <c r="G14" s="1">
        <v>0.8</v>
      </c>
      <c r="H14" s="1">
        <v>0.70899999999999996</v>
      </c>
      <c r="I14" s="1">
        <v>0.40799999999999997</v>
      </c>
      <c r="J14" s="1">
        <v>0.64100000000000001</v>
      </c>
      <c r="K14" s="1">
        <v>0.154</v>
      </c>
      <c r="L14">
        <v>10954</v>
      </c>
    </row>
    <row r="15" spans="1:12" x14ac:dyDescent="0.3">
      <c r="A15" t="s">
        <v>356</v>
      </c>
      <c r="B15" t="s">
        <v>48</v>
      </c>
      <c r="C15" s="1">
        <v>0.378</v>
      </c>
      <c r="D15" s="1">
        <v>0.747</v>
      </c>
      <c r="E15" s="1">
        <v>0.52700000000000002</v>
      </c>
      <c r="F15" s="1">
        <v>0.627</v>
      </c>
      <c r="G15" s="1">
        <v>0.78500000000000003</v>
      </c>
      <c r="H15" s="1">
        <v>0.71699999999999997</v>
      </c>
      <c r="I15" s="1">
        <v>0.40200000000000002</v>
      </c>
      <c r="J15" s="1">
        <v>0.64300000000000002</v>
      </c>
      <c r="K15" s="1">
        <v>0.14899999999999999</v>
      </c>
      <c r="L15">
        <v>14107</v>
      </c>
    </row>
    <row r="16" spans="1:12" x14ac:dyDescent="0.3">
      <c r="A16" t="s">
        <v>300</v>
      </c>
      <c r="B16" t="s">
        <v>38</v>
      </c>
      <c r="C16" s="1">
        <v>0.378</v>
      </c>
      <c r="D16" s="1">
        <v>0.74299999999999999</v>
      </c>
      <c r="E16" s="1">
        <v>0.52900000000000003</v>
      </c>
      <c r="F16" s="1">
        <v>0.53900000000000003</v>
      </c>
      <c r="G16" s="1">
        <v>0.83299999999999996</v>
      </c>
      <c r="H16" s="1">
        <v>0.71</v>
      </c>
      <c r="I16" s="1">
        <v>0.41299999999999998</v>
      </c>
      <c r="J16" s="1">
        <v>0.64700000000000002</v>
      </c>
      <c r="K16" s="1">
        <v>0.153</v>
      </c>
      <c r="L16">
        <v>5615</v>
      </c>
    </row>
    <row r="17" spans="1:12" x14ac:dyDescent="0.3">
      <c r="A17" t="s">
        <v>309</v>
      </c>
      <c r="B17" t="s">
        <v>36</v>
      </c>
      <c r="C17" s="1">
        <v>0.377</v>
      </c>
      <c r="D17" s="1">
        <v>0.69899999999999995</v>
      </c>
      <c r="E17" s="1">
        <v>0.47599999999999998</v>
      </c>
      <c r="F17" s="1">
        <v>0.59299999999999997</v>
      </c>
      <c r="G17" s="1">
        <v>0.83799999999999997</v>
      </c>
      <c r="H17" s="1">
        <v>0.70299999999999996</v>
      </c>
      <c r="I17" s="1">
        <v>0.30599999999999999</v>
      </c>
      <c r="J17" s="1">
        <v>0.55500000000000005</v>
      </c>
      <c r="K17" s="1">
        <v>0.14099999999999999</v>
      </c>
      <c r="L17">
        <v>15042</v>
      </c>
    </row>
    <row r="18" spans="1:12" x14ac:dyDescent="0.3">
      <c r="A18" t="s">
        <v>68</v>
      </c>
      <c r="B18" t="s">
        <v>28</v>
      </c>
      <c r="C18" s="1">
        <v>0.372</v>
      </c>
      <c r="D18" s="1">
        <v>0.69399999999999995</v>
      </c>
      <c r="E18" s="1">
        <v>0.51700000000000002</v>
      </c>
      <c r="F18" s="1">
        <v>0.55100000000000005</v>
      </c>
      <c r="G18" s="1">
        <v>0.77700000000000002</v>
      </c>
      <c r="H18" s="1">
        <v>0.68799999999999994</v>
      </c>
      <c r="I18" s="1">
        <v>0.45200000000000001</v>
      </c>
      <c r="J18" s="1">
        <v>0.64300000000000002</v>
      </c>
      <c r="K18" s="1">
        <v>0.161</v>
      </c>
      <c r="L18">
        <v>8700</v>
      </c>
    </row>
    <row r="19" spans="1:12" x14ac:dyDescent="0.3">
      <c r="A19" t="s">
        <v>117</v>
      </c>
      <c r="B19" t="s">
        <v>93</v>
      </c>
      <c r="C19" s="1">
        <v>0.372</v>
      </c>
      <c r="D19" s="1">
        <v>0.628</v>
      </c>
      <c r="E19" s="1">
        <v>0.47299999999999998</v>
      </c>
      <c r="F19" s="1">
        <v>0.57299999999999995</v>
      </c>
      <c r="G19" s="1">
        <v>0.84599999999999997</v>
      </c>
      <c r="H19" s="1">
        <v>0.71499999999999997</v>
      </c>
      <c r="I19" s="1">
        <v>0.39300000000000002</v>
      </c>
      <c r="J19" s="1">
        <v>0.63600000000000001</v>
      </c>
      <c r="K19" s="1">
        <v>0.13400000000000001</v>
      </c>
      <c r="L19">
        <v>10131</v>
      </c>
    </row>
    <row r="20" spans="1:12" x14ac:dyDescent="0.3">
      <c r="A20" t="s">
        <v>347</v>
      </c>
      <c r="B20" t="s">
        <v>48</v>
      </c>
      <c r="C20" s="1">
        <v>0.371</v>
      </c>
      <c r="D20" s="1">
        <v>0.66300000000000003</v>
      </c>
      <c r="E20" s="1">
        <v>0.48699999999999999</v>
      </c>
      <c r="F20" s="1">
        <v>0.54500000000000004</v>
      </c>
      <c r="G20" s="1">
        <v>0.82099999999999995</v>
      </c>
      <c r="H20" s="1">
        <v>0.69499999999999995</v>
      </c>
      <c r="I20" s="1">
        <v>0.39700000000000002</v>
      </c>
      <c r="J20" s="1">
        <v>0.621</v>
      </c>
      <c r="K20" s="1">
        <v>0.14899999999999999</v>
      </c>
      <c r="L20">
        <v>12804</v>
      </c>
    </row>
    <row r="21" spans="1:12" x14ac:dyDescent="0.3">
      <c r="A21" t="s">
        <v>228</v>
      </c>
      <c r="B21" t="s">
        <v>32</v>
      </c>
      <c r="C21" s="1">
        <v>0.36899999999999999</v>
      </c>
      <c r="D21" s="1">
        <v>0.66700000000000004</v>
      </c>
      <c r="E21" s="1">
        <v>0.48899999999999999</v>
      </c>
      <c r="F21" s="1">
        <v>0.44400000000000001</v>
      </c>
      <c r="G21" s="1">
        <v>0.79800000000000004</v>
      </c>
      <c r="H21" s="1">
        <v>0.63700000000000001</v>
      </c>
      <c r="I21" s="1">
        <v>0.4</v>
      </c>
      <c r="J21" s="1">
        <v>0.67800000000000005</v>
      </c>
      <c r="K21" s="1">
        <v>0.17699999999999999</v>
      </c>
      <c r="L21">
        <v>13543</v>
      </c>
    </row>
    <row r="22" spans="1:12" x14ac:dyDescent="0.3">
      <c r="A22" t="s">
        <v>73</v>
      </c>
      <c r="B22" t="s">
        <v>28</v>
      </c>
      <c r="C22" s="1">
        <v>0.36899999999999999</v>
      </c>
      <c r="D22" s="1">
        <v>0.755</v>
      </c>
      <c r="E22" s="1">
        <v>0.53700000000000003</v>
      </c>
      <c r="F22" s="1">
        <v>0.54700000000000004</v>
      </c>
      <c r="G22" s="1">
        <v>0.77500000000000002</v>
      </c>
      <c r="H22" s="1">
        <v>0.68600000000000005</v>
      </c>
      <c r="I22" s="1">
        <v>0.434</v>
      </c>
      <c r="J22" s="1">
        <v>0.66</v>
      </c>
      <c r="K22" s="1">
        <v>0.16900000000000001</v>
      </c>
      <c r="L22">
        <v>13764</v>
      </c>
    </row>
    <row r="23" spans="1:12" x14ac:dyDescent="0.3">
      <c r="A23" t="s">
        <v>247</v>
      </c>
      <c r="B23" t="s">
        <v>40</v>
      </c>
      <c r="C23" s="1">
        <v>0.36899999999999999</v>
      </c>
      <c r="D23" s="1">
        <v>0.70199999999999996</v>
      </c>
      <c r="E23" s="1">
        <v>0.503</v>
      </c>
      <c r="F23" s="1">
        <v>0.66900000000000004</v>
      </c>
      <c r="G23" s="1">
        <v>0.88</v>
      </c>
      <c r="H23" s="1">
        <v>0.78700000000000003</v>
      </c>
      <c r="I23" s="1">
        <v>0.40200000000000002</v>
      </c>
      <c r="J23" s="1">
        <v>0.68799999999999994</v>
      </c>
      <c r="K23" s="1">
        <v>0.107</v>
      </c>
      <c r="L23">
        <v>15764</v>
      </c>
    </row>
    <row r="24" spans="1:12" x14ac:dyDescent="0.3">
      <c r="A24" t="s">
        <v>176</v>
      </c>
      <c r="B24" t="s">
        <v>75</v>
      </c>
      <c r="C24" s="1">
        <v>0.36899999999999999</v>
      </c>
      <c r="D24" s="1">
        <v>0.68200000000000005</v>
      </c>
      <c r="E24" s="1">
        <v>0.48799999999999999</v>
      </c>
      <c r="F24" s="1">
        <v>0.48299999999999998</v>
      </c>
      <c r="G24" s="1">
        <v>0.81299999999999994</v>
      </c>
      <c r="H24" s="1">
        <v>0.65800000000000003</v>
      </c>
      <c r="I24" s="1">
        <v>0.38100000000000001</v>
      </c>
      <c r="J24" s="1">
        <v>0.64400000000000002</v>
      </c>
      <c r="K24" s="1">
        <v>0.16700000000000001</v>
      </c>
      <c r="L24">
        <v>11752</v>
      </c>
    </row>
    <row r="25" spans="1:12" x14ac:dyDescent="0.3">
      <c r="A25" t="s">
        <v>287</v>
      </c>
      <c r="B25" t="s">
        <v>98</v>
      </c>
      <c r="C25" s="1">
        <v>0.36799999999999999</v>
      </c>
      <c r="D25" s="1">
        <v>0.68600000000000005</v>
      </c>
      <c r="E25" s="1">
        <v>0.48199999999999998</v>
      </c>
      <c r="F25" s="1">
        <v>0.55700000000000005</v>
      </c>
      <c r="G25" s="1">
        <v>0.84299999999999997</v>
      </c>
      <c r="H25" s="1">
        <v>0.70199999999999996</v>
      </c>
      <c r="I25" s="1">
        <v>0.35799999999999998</v>
      </c>
      <c r="J25" s="1">
        <v>0.61799999999999999</v>
      </c>
      <c r="K25" s="1">
        <v>0.14299999999999999</v>
      </c>
      <c r="L25">
        <v>19756</v>
      </c>
    </row>
    <row r="26" spans="1:12" x14ac:dyDescent="0.3">
      <c r="A26" t="s">
        <v>119</v>
      </c>
      <c r="B26" t="s">
        <v>48</v>
      </c>
      <c r="C26" s="1">
        <v>0.36699999999999999</v>
      </c>
      <c r="D26" s="1">
        <v>0.72399999999999998</v>
      </c>
      <c r="E26" s="1">
        <v>0.54</v>
      </c>
      <c r="F26" s="1">
        <v>0.46899999999999997</v>
      </c>
      <c r="G26" s="1">
        <v>0.73</v>
      </c>
      <c r="H26" s="1">
        <v>0.63800000000000001</v>
      </c>
      <c r="I26" s="1">
        <v>0.48299999999999998</v>
      </c>
      <c r="J26" s="1">
        <v>0.67</v>
      </c>
      <c r="K26" s="1">
        <v>0.19500000000000001</v>
      </c>
      <c r="L26">
        <v>18337</v>
      </c>
    </row>
    <row r="27" spans="1:12" x14ac:dyDescent="0.3">
      <c r="A27" t="s">
        <v>52</v>
      </c>
      <c r="B27" t="s">
        <v>53</v>
      </c>
      <c r="C27" s="1">
        <v>0.36699999999999999</v>
      </c>
      <c r="D27" s="1">
        <v>0.67800000000000005</v>
      </c>
      <c r="E27" s="1">
        <v>0.49299999999999999</v>
      </c>
      <c r="F27" s="1">
        <v>0.67100000000000004</v>
      </c>
      <c r="G27" s="1">
        <v>0.84799999999999998</v>
      </c>
      <c r="H27" s="1">
        <v>0.76900000000000002</v>
      </c>
      <c r="I27" s="1">
        <v>0.40400000000000003</v>
      </c>
      <c r="J27" s="1">
        <v>0.61799999999999999</v>
      </c>
      <c r="K27" s="1">
        <v>0.114</v>
      </c>
      <c r="L27">
        <v>14444</v>
      </c>
    </row>
    <row r="28" spans="1:12" x14ac:dyDescent="0.3">
      <c r="A28" t="s">
        <v>200</v>
      </c>
      <c r="B28" t="s">
        <v>48</v>
      </c>
      <c r="C28" s="1">
        <v>0.36599999999999999</v>
      </c>
      <c r="D28" s="1">
        <v>0.67</v>
      </c>
      <c r="E28" s="1">
        <v>0.47199999999999998</v>
      </c>
      <c r="F28" s="1">
        <v>0.71</v>
      </c>
      <c r="G28" s="1">
        <v>0.88400000000000001</v>
      </c>
      <c r="H28" s="1">
        <v>0.79600000000000004</v>
      </c>
      <c r="I28" s="1">
        <v>0.35</v>
      </c>
      <c r="J28" s="1">
        <v>0.59899999999999998</v>
      </c>
      <c r="K28" s="1">
        <v>9.6000000000000002E-2</v>
      </c>
      <c r="L28">
        <v>9325</v>
      </c>
    </row>
    <row r="29" spans="1:12" x14ac:dyDescent="0.3">
      <c r="A29" t="s">
        <v>94</v>
      </c>
      <c r="B29" t="s">
        <v>95</v>
      </c>
      <c r="C29" s="1">
        <v>0.36499999999999999</v>
      </c>
      <c r="D29" s="1">
        <v>0.68500000000000005</v>
      </c>
      <c r="E29" s="1">
        <v>0.48399999999999999</v>
      </c>
      <c r="F29" s="1">
        <v>0.504</v>
      </c>
      <c r="G29" s="1">
        <v>0.753</v>
      </c>
      <c r="H29" s="1">
        <v>0.63500000000000001</v>
      </c>
      <c r="I29" s="1">
        <v>0.372</v>
      </c>
      <c r="J29" s="1">
        <v>0.6</v>
      </c>
      <c r="K29" s="1">
        <v>0.17699999999999999</v>
      </c>
      <c r="L29">
        <v>11804</v>
      </c>
    </row>
    <row r="30" spans="1:12" x14ac:dyDescent="0.3">
      <c r="A30" t="s">
        <v>153</v>
      </c>
      <c r="B30" t="s">
        <v>66</v>
      </c>
      <c r="C30" s="1">
        <v>0.36399999999999999</v>
      </c>
      <c r="D30" s="1">
        <v>0.65100000000000002</v>
      </c>
      <c r="E30" s="1">
        <v>0.48899999999999999</v>
      </c>
      <c r="F30" s="1">
        <v>0.67300000000000004</v>
      </c>
      <c r="G30" s="1">
        <v>0.85499999999999998</v>
      </c>
      <c r="H30" s="1">
        <v>0.77900000000000003</v>
      </c>
      <c r="I30" s="1">
        <v>0.434</v>
      </c>
      <c r="J30" s="1">
        <v>0.65200000000000002</v>
      </c>
      <c r="K30" s="1">
        <v>0.108</v>
      </c>
      <c r="L30">
        <v>14168</v>
      </c>
    </row>
    <row r="31" spans="1:12" x14ac:dyDescent="0.3">
      <c r="A31" t="s">
        <v>327</v>
      </c>
      <c r="B31" t="s">
        <v>56</v>
      </c>
      <c r="C31" s="1">
        <v>0.36399999999999999</v>
      </c>
      <c r="D31" s="1">
        <v>0.72099999999999997</v>
      </c>
      <c r="E31" s="1">
        <v>0.51600000000000001</v>
      </c>
      <c r="F31" s="1">
        <v>0.52100000000000002</v>
      </c>
      <c r="G31" s="1">
        <v>0.84099999999999997</v>
      </c>
      <c r="H31" s="1">
        <v>0.71099999999999997</v>
      </c>
      <c r="I31" s="1">
        <v>0.42499999999999999</v>
      </c>
      <c r="J31" s="1">
        <v>0.65400000000000003</v>
      </c>
      <c r="K31" s="1">
        <v>0.14899999999999999</v>
      </c>
      <c r="L31">
        <v>6632</v>
      </c>
    </row>
    <row r="32" spans="1:12" x14ac:dyDescent="0.3">
      <c r="A32" t="s">
        <v>250</v>
      </c>
      <c r="B32" t="s">
        <v>127</v>
      </c>
      <c r="C32" s="1">
        <v>0.36399999999999999</v>
      </c>
      <c r="D32" s="1">
        <v>0.71699999999999997</v>
      </c>
      <c r="E32" s="1">
        <v>0.51700000000000002</v>
      </c>
      <c r="F32" s="1">
        <v>0.68300000000000005</v>
      </c>
      <c r="G32" s="1">
        <v>0.89600000000000002</v>
      </c>
      <c r="H32" s="1">
        <v>0.81100000000000005</v>
      </c>
      <c r="I32" s="1">
        <v>0.432</v>
      </c>
      <c r="J32" s="1">
        <v>0.65300000000000002</v>
      </c>
      <c r="K32" s="1">
        <v>9.8000000000000004E-2</v>
      </c>
      <c r="L32">
        <v>15240</v>
      </c>
    </row>
    <row r="33" spans="1:12" x14ac:dyDescent="0.3">
      <c r="A33" t="s">
        <v>63</v>
      </c>
      <c r="B33" t="s">
        <v>53</v>
      </c>
      <c r="C33" s="1">
        <v>0.36399999999999999</v>
      </c>
      <c r="D33" s="1">
        <v>0.73799999999999999</v>
      </c>
      <c r="E33" s="1">
        <v>0.51100000000000001</v>
      </c>
      <c r="F33" s="1">
        <v>0.61799999999999999</v>
      </c>
      <c r="G33" s="1">
        <v>0.81599999999999995</v>
      </c>
      <c r="H33" s="1">
        <v>0.73099999999999998</v>
      </c>
      <c r="I33" s="1">
        <v>0.39400000000000002</v>
      </c>
      <c r="J33" s="1">
        <v>0.59799999999999998</v>
      </c>
      <c r="K33" s="1">
        <v>0.13800000000000001</v>
      </c>
      <c r="L33">
        <v>14765</v>
      </c>
    </row>
    <row r="34" spans="1:12" x14ac:dyDescent="0.3">
      <c r="A34" t="s">
        <v>164</v>
      </c>
      <c r="B34" t="s">
        <v>89</v>
      </c>
      <c r="C34" s="1">
        <v>0.36299999999999999</v>
      </c>
      <c r="D34" s="1">
        <v>0.69499999999999995</v>
      </c>
      <c r="E34" s="1">
        <v>0.497</v>
      </c>
      <c r="F34" s="1">
        <v>0.40100000000000002</v>
      </c>
      <c r="G34" s="1">
        <v>0.78900000000000003</v>
      </c>
      <c r="H34" s="1">
        <v>0.62</v>
      </c>
      <c r="I34" s="1">
        <v>0.40500000000000003</v>
      </c>
      <c r="J34" s="1">
        <v>0.63</v>
      </c>
      <c r="K34" s="1">
        <v>0.189</v>
      </c>
      <c r="L34">
        <v>13594</v>
      </c>
    </row>
    <row r="35" spans="1:12" x14ac:dyDescent="0.3">
      <c r="A35" t="s">
        <v>282</v>
      </c>
      <c r="B35" t="s">
        <v>32</v>
      </c>
      <c r="C35" s="1">
        <v>0.36299999999999999</v>
      </c>
      <c r="D35" s="1">
        <v>0.754</v>
      </c>
      <c r="E35" s="1">
        <v>0.53400000000000003</v>
      </c>
      <c r="F35" s="1">
        <v>0.621</v>
      </c>
      <c r="G35" s="1">
        <v>0.71199999999999997</v>
      </c>
      <c r="H35" s="1">
        <v>0.67700000000000005</v>
      </c>
      <c r="I35" s="1">
        <v>0.439</v>
      </c>
      <c r="J35" s="1">
        <v>0.65700000000000003</v>
      </c>
      <c r="K35" s="1">
        <v>0.17199999999999999</v>
      </c>
      <c r="L35">
        <v>19403</v>
      </c>
    </row>
    <row r="36" spans="1:12" x14ac:dyDescent="0.3">
      <c r="A36" t="s">
        <v>113</v>
      </c>
      <c r="B36" t="s">
        <v>48</v>
      </c>
      <c r="C36" s="1">
        <v>0.36299999999999999</v>
      </c>
      <c r="D36" s="1">
        <v>0.65</v>
      </c>
      <c r="E36" s="1">
        <v>0.47699999999999998</v>
      </c>
      <c r="F36" s="1">
        <v>0.65300000000000002</v>
      </c>
      <c r="G36" s="1">
        <v>0.85399999999999998</v>
      </c>
      <c r="H36" s="1">
        <v>0.76300000000000001</v>
      </c>
      <c r="I36" s="1">
        <v>0.39900000000000002</v>
      </c>
      <c r="J36" s="1">
        <v>0.63300000000000001</v>
      </c>
      <c r="K36" s="1">
        <v>0.113</v>
      </c>
      <c r="L36">
        <v>10843</v>
      </c>
    </row>
    <row r="37" spans="1:12" x14ac:dyDescent="0.3">
      <c r="A37" t="s">
        <v>82</v>
      </c>
      <c r="B37" t="s">
        <v>83</v>
      </c>
      <c r="C37" s="1">
        <v>0.36199999999999999</v>
      </c>
      <c r="D37" s="1">
        <v>0.64100000000000001</v>
      </c>
      <c r="E37" s="1">
        <v>0.47499999999999998</v>
      </c>
      <c r="F37" s="1">
        <v>0.45800000000000002</v>
      </c>
      <c r="G37" s="1">
        <v>0.84799999999999998</v>
      </c>
      <c r="H37" s="1">
        <v>0.67100000000000004</v>
      </c>
      <c r="I37" s="1">
        <v>0.40400000000000003</v>
      </c>
      <c r="J37" s="1">
        <v>0.623</v>
      </c>
      <c r="K37" s="1">
        <v>0.156</v>
      </c>
      <c r="L37">
        <v>8048</v>
      </c>
    </row>
    <row r="38" spans="1:12" x14ac:dyDescent="0.3">
      <c r="A38" t="s">
        <v>49</v>
      </c>
      <c r="B38" t="s">
        <v>50</v>
      </c>
      <c r="C38" s="1">
        <v>0.36199999999999999</v>
      </c>
      <c r="D38" s="1">
        <v>0.68899999999999995</v>
      </c>
      <c r="E38" s="1">
        <v>0.501</v>
      </c>
      <c r="F38" s="1">
        <v>0.48099999999999998</v>
      </c>
      <c r="G38" s="1">
        <v>0.80900000000000005</v>
      </c>
      <c r="H38" s="1">
        <v>0.67300000000000004</v>
      </c>
      <c r="I38" s="1">
        <v>0.42599999999999999</v>
      </c>
      <c r="J38" s="1">
        <v>0.65600000000000003</v>
      </c>
      <c r="K38" s="1">
        <v>0.16400000000000001</v>
      </c>
      <c r="L38">
        <v>14986</v>
      </c>
    </row>
    <row r="39" spans="1:12" x14ac:dyDescent="0.3">
      <c r="A39" t="s">
        <v>323</v>
      </c>
      <c r="B39" t="s">
        <v>102</v>
      </c>
      <c r="C39" s="1">
        <v>0.36099999999999999</v>
      </c>
      <c r="D39" s="1">
        <v>0.7</v>
      </c>
      <c r="E39" s="1">
        <v>0.48299999999999998</v>
      </c>
      <c r="F39" s="1">
        <v>0.70299999999999996</v>
      </c>
      <c r="G39" s="1">
        <v>0.88400000000000001</v>
      </c>
      <c r="H39" s="1">
        <v>0.79800000000000004</v>
      </c>
      <c r="I39" s="1">
        <v>0.36</v>
      </c>
      <c r="J39" s="1">
        <v>0.56399999999999995</v>
      </c>
      <c r="K39" s="1">
        <v>9.8000000000000004E-2</v>
      </c>
      <c r="L39">
        <v>11589</v>
      </c>
    </row>
    <row r="40" spans="1:12" x14ac:dyDescent="0.3">
      <c r="A40" t="s">
        <v>288</v>
      </c>
      <c r="B40" t="s">
        <v>193</v>
      </c>
      <c r="C40" s="1">
        <v>0.36099999999999999</v>
      </c>
      <c r="D40" s="1">
        <v>0.64700000000000002</v>
      </c>
      <c r="E40" s="1">
        <v>0.46700000000000003</v>
      </c>
      <c r="F40" s="1">
        <v>0.67700000000000005</v>
      </c>
      <c r="G40" s="1">
        <v>0.88400000000000001</v>
      </c>
      <c r="H40" s="1">
        <v>0.78400000000000003</v>
      </c>
      <c r="I40" s="1">
        <v>0.373</v>
      </c>
      <c r="J40" s="1">
        <v>0.71699999999999997</v>
      </c>
      <c r="K40" s="1">
        <v>0.10100000000000001</v>
      </c>
      <c r="L40">
        <v>7608</v>
      </c>
    </row>
    <row r="41" spans="1:12" x14ac:dyDescent="0.3">
      <c r="A41" t="s">
        <v>296</v>
      </c>
      <c r="B41" t="s">
        <v>66</v>
      </c>
      <c r="C41" s="1">
        <v>0.36</v>
      </c>
      <c r="D41" s="1">
        <v>0.65800000000000003</v>
      </c>
      <c r="E41" s="1">
        <v>0.46200000000000002</v>
      </c>
      <c r="F41" s="1">
        <v>0.55900000000000005</v>
      </c>
      <c r="G41" s="1">
        <v>0.88200000000000001</v>
      </c>
      <c r="H41" s="1">
        <v>0.71599999999999997</v>
      </c>
      <c r="I41" s="1">
        <v>0.34200000000000003</v>
      </c>
      <c r="J41" s="1">
        <v>0.63700000000000001</v>
      </c>
      <c r="K41" s="1">
        <v>0.13100000000000001</v>
      </c>
      <c r="L41">
        <v>10123</v>
      </c>
    </row>
    <row r="42" spans="1:12" x14ac:dyDescent="0.3">
      <c r="A42" t="s">
        <v>120</v>
      </c>
      <c r="B42" t="s">
        <v>26</v>
      </c>
      <c r="C42" s="1">
        <v>0.36</v>
      </c>
      <c r="D42" s="1">
        <v>0.71299999999999997</v>
      </c>
      <c r="E42" s="1">
        <v>0.52100000000000002</v>
      </c>
      <c r="F42" s="1">
        <v>0.68600000000000005</v>
      </c>
      <c r="G42" s="1">
        <v>0.83699999999999997</v>
      </c>
      <c r="H42" s="1">
        <v>0.78</v>
      </c>
      <c r="I42" s="1">
        <v>0.45600000000000002</v>
      </c>
      <c r="J42" s="1">
        <v>0.71299999999999997</v>
      </c>
      <c r="K42" s="1">
        <v>0.114</v>
      </c>
      <c r="L42">
        <v>20099</v>
      </c>
    </row>
    <row r="43" spans="1:12" x14ac:dyDescent="0.3">
      <c r="A43" t="s">
        <v>111</v>
      </c>
      <c r="B43" t="s">
        <v>93</v>
      </c>
      <c r="C43" s="1">
        <v>0.35799999999999998</v>
      </c>
      <c r="D43" s="1">
        <v>0.66400000000000003</v>
      </c>
      <c r="E43" s="1">
        <v>0.46899999999999997</v>
      </c>
      <c r="F43" s="1">
        <v>0.52</v>
      </c>
      <c r="G43" s="1">
        <v>0.86199999999999999</v>
      </c>
      <c r="H43" s="1">
        <v>0.69599999999999995</v>
      </c>
      <c r="I43" s="1">
        <v>0.36299999999999999</v>
      </c>
      <c r="J43" s="1">
        <v>0.624</v>
      </c>
      <c r="K43" s="1">
        <v>0.14299999999999999</v>
      </c>
      <c r="L43">
        <v>9323</v>
      </c>
    </row>
    <row r="44" spans="1:12" x14ac:dyDescent="0.3">
      <c r="A44" t="s">
        <v>35</v>
      </c>
      <c r="B44" t="s">
        <v>36</v>
      </c>
      <c r="C44" s="1">
        <v>0.35799999999999998</v>
      </c>
      <c r="D44" s="1">
        <v>0.71</v>
      </c>
      <c r="E44" s="1">
        <v>0.505</v>
      </c>
      <c r="F44" s="1">
        <v>0.40799999999999997</v>
      </c>
      <c r="G44" s="1">
        <v>0.78300000000000003</v>
      </c>
      <c r="H44" s="1">
        <v>0.628</v>
      </c>
      <c r="I44" s="1">
        <v>0.41699999999999998</v>
      </c>
      <c r="J44" s="1">
        <v>0.60099999999999998</v>
      </c>
      <c r="K44" s="1">
        <v>0.188</v>
      </c>
      <c r="L44">
        <v>12910</v>
      </c>
    </row>
    <row r="45" spans="1:12" x14ac:dyDescent="0.3">
      <c r="A45" t="s">
        <v>257</v>
      </c>
      <c r="B45" t="s">
        <v>46</v>
      </c>
      <c r="C45" s="1">
        <v>0.35699999999999998</v>
      </c>
      <c r="D45" s="1">
        <v>0.73799999999999999</v>
      </c>
      <c r="E45" s="1">
        <v>0.51400000000000001</v>
      </c>
      <c r="F45" s="1">
        <v>0.53800000000000003</v>
      </c>
      <c r="G45" s="1">
        <v>0.84799999999999998</v>
      </c>
      <c r="H45" s="1">
        <v>0.72099999999999997</v>
      </c>
      <c r="I45" s="1">
        <v>0.41299999999999998</v>
      </c>
      <c r="J45" s="1">
        <v>0.64500000000000002</v>
      </c>
      <c r="K45" s="1">
        <v>0.14299999999999999</v>
      </c>
      <c r="L45">
        <v>12774</v>
      </c>
    </row>
    <row r="46" spans="1:12" x14ac:dyDescent="0.3">
      <c r="A46" t="s">
        <v>292</v>
      </c>
      <c r="B46" t="s">
        <v>146</v>
      </c>
      <c r="C46" s="1">
        <v>0.35699999999999998</v>
      </c>
      <c r="D46" s="1">
        <v>0.67400000000000004</v>
      </c>
      <c r="E46" s="1">
        <v>0.48799999999999999</v>
      </c>
      <c r="F46" s="1">
        <v>0.57299999999999995</v>
      </c>
      <c r="G46" s="1">
        <v>0.85899999999999999</v>
      </c>
      <c r="H46" s="1">
        <v>0.73699999999999999</v>
      </c>
      <c r="I46" s="1">
        <v>0.41499999999999998</v>
      </c>
      <c r="J46" s="1">
        <v>0.61699999999999999</v>
      </c>
      <c r="K46" s="1">
        <v>0.129</v>
      </c>
      <c r="L46">
        <v>12917</v>
      </c>
    </row>
    <row r="47" spans="1:12" x14ac:dyDescent="0.3">
      <c r="A47" t="s">
        <v>105</v>
      </c>
      <c r="B47" t="s">
        <v>53</v>
      </c>
      <c r="C47" s="1">
        <v>0.35599999999999998</v>
      </c>
      <c r="D47" s="1">
        <v>0.75600000000000001</v>
      </c>
      <c r="E47" s="1">
        <v>0.51200000000000001</v>
      </c>
      <c r="F47" s="1">
        <v>0.63500000000000001</v>
      </c>
      <c r="G47" s="1">
        <v>0.75900000000000001</v>
      </c>
      <c r="H47" s="1">
        <v>0.70699999999999996</v>
      </c>
      <c r="I47" s="1">
        <v>0.39100000000000001</v>
      </c>
      <c r="J47" s="1">
        <v>0.57999999999999996</v>
      </c>
      <c r="K47" s="1">
        <v>0.15</v>
      </c>
      <c r="L47">
        <v>5420</v>
      </c>
    </row>
    <row r="48" spans="1:12" x14ac:dyDescent="0.3">
      <c r="A48" t="s">
        <v>197</v>
      </c>
      <c r="B48" t="s">
        <v>66</v>
      </c>
      <c r="C48" s="1">
        <v>0.35599999999999998</v>
      </c>
      <c r="D48" s="1">
        <v>0.71799999999999997</v>
      </c>
      <c r="E48" s="1">
        <v>0.52</v>
      </c>
      <c r="F48" s="1">
        <v>0.59599999999999997</v>
      </c>
      <c r="G48" s="1">
        <v>0.85699999999999998</v>
      </c>
      <c r="H48" s="1">
        <v>0.75900000000000001</v>
      </c>
      <c r="I48" s="1">
        <v>0.45300000000000001</v>
      </c>
      <c r="J48" s="1">
        <v>0.64300000000000002</v>
      </c>
      <c r="K48" s="1">
        <v>0.125</v>
      </c>
      <c r="L48">
        <v>5372</v>
      </c>
    </row>
    <row r="49" spans="1:12" x14ac:dyDescent="0.3">
      <c r="A49" t="s">
        <v>245</v>
      </c>
      <c r="B49" t="s">
        <v>56</v>
      </c>
      <c r="C49" s="1">
        <v>0.35499999999999998</v>
      </c>
      <c r="D49" s="1">
        <v>0.70599999999999996</v>
      </c>
      <c r="E49" s="1">
        <v>0.50700000000000001</v>
      </c>
      <c r="F49" s="1">
        <v>0.73899999999999999</v>
      </c>
      <c r="G49" s="1">
        <v>0.85599999999999998</v>
      </c>
      <c r="H49" s="1">
        <v>0.80900000000000005</v>
      </c>
      <c r="I49" s="1">
        <v>0.432</v>
      </c>
      <c r="J49" s="1">
        <v>0.66</v>
      </c>
      <c r="K49" s="1">
        <v>9.7000000000000003E-2</v>
      </c>
      <c r="L49">
        <v>15288</v>
      </c>
    </row>
    <row r="50" spans="1:12" x14ac:dyDescent="0.3">
      <c r="A50" t="s">
        <v>242</v>
      </c>
      <c r="B50" t="s">
        <v>30</v>
      </c>
      <c r="C50" s="1">
        <v>0.35499999999999998</v>
      </c>
      <c r="D50" s="1">
        <v>0.70599999999999996</v>
      </c>
      <c r="E50" s="1">
        <v>0.51500000000000001</v>
      </c>
      <c r="F50" s="1">
        <v>0.59499999999999997</v>
      </c>
      <c r="G50" s="1">
        <v>0.871</v>
      </c>
      <c r="H50" s="1">
        <v>0.76700000000000002</v>
      </c>
      <c r="I50" s="1">
        <v>0.45500000000000002</v>
      </c>
      <c r="J50" s="1">
        <v>0.65500000000000003</v>
      </c>
      <c r="K50" s="1">
        <v>0.12</v>
      </c>
      <c r="L50">
        <v>12970</v>
      </c>
    </row>
    <row r="51" spans="1:12" x14ac:dyDescent="0.3">
      <c r="A51" t="s">
        <v>317</v>
      </c>
      <c r="B51" t="s">
        <v>66</v>
      </c>
      <c r="C51" s="1">
        <v>0.35399999999999998</v>
      </c>
      <c r="D51" s="1">
        <v>0.69</v>
      </c>
      <c r="E51" s="1">
        <v>0.48499999999999999</v>
      </c>
      <c r="F51" s="1">
        <v>0.69599999999999995</v>
      </c>
      <c r="G51" s="1">
        <v>0.878</v>
      </c>
      <c r="H51" s="1">
        <v>0.79700000000000004</v>
      </c>
      <c r="I51" s="1">
        <v>0.39</v>
      </c>
      <c r="J51" s="1">
        <v>0.64300000000000002</v>
      </c>
      <c r="K51" s="1">
        <v>9.8000000000000004E-2</v>
      </c>
      <c r="L51">
        <v>6902</v>
      </c>
    </row>
    <row r="52" spans="1:12" x14ac:dyDescent="0.3">
      <c r="A52" t="s">
        <v>169</v>
      </c>
      <c r="B52" t="s">
        <v>38</v>
      </c>
      <c r="C52" s="1">
        <v>0.35399999999999998</v>
      </c>
      <c r="D52" s="1">
        <v>0.69099999999999995</v>
      </c>
      <c r="E52" s="1">
        <v>0.48299999999999998</v>
      </c>
      <c r="F52" s="1">
        <v>0.53800000000000003</v>
      </c>
      <c r="G52" s="1">
        <v>0.88700000000000001</v>
      </c>
      <c r="H52" s="1">
        <v>0.72899999999999998</v>
      </c>
      <c r="I52" s="1">
        <v>0.38300000000000001</v>
      </c>
      <c r="J52" s="1">
        <v>0.61199999999999999</v>
      </c>
      <c r="K52" s="1">
        <v>0.13100000000000001</v>
      </c>
      <c r="L52">
        <v>8004</v>
      </c>
    </row>
    <row r="53" spans="1:12" x14ac:dyDescent="0.3">
      <c r="A53" t="s">
        <v>207</v>
      </c>
      <c r="B53" t="s">
        <v>159</v>
      </c>
      <c r="C53" s="1">
        <v>0.35399999999999998</v>
      </c>
      <c r="D53" s="1">
        <v>0.69199999999999995</v>
      </c>
      <c r="E53" s="1">
        <v>0.46800000000000003</v>
      </c>
      <c r="F53" s="1">
        <v>0.63</v>
      </c>
      <c r="G53" s="1">
        <v>0.83399999999999996</v>
      </c>
      <c r="H53" s="1">
        <v>0.73199999999999998</v>
      </c>
      <c r="I53" s="1">
        <v>0.33600000000000002</v>
      </c>
      <c r="J53" s="1">
        <v>0.54900000000000004</v>
      </c>
      <c r="K53" s="1">
        <v>0.125</v>
      </c>
      <c r="L53">
        <v>12575</v>
      </c>
    </row>
    <row r="54" spans="1:12" x14ac:dyDescent="0.3">
      <c r="A54" t="s">
        <v>92</v>
      </c>
      <c r="B54" t="s">
        <v>93</v>
      </c>
      <c r="C54" s="1">
        <v>0.35399999999999998</v>
      </c>
      <c r="D54" s="1">
        <v>0.72299999999999998</v>
      </c>
      <c r="E54" s="1">
        <v>0.52200000000000002</v>
      </c>
      <c r="F54" s="1">
        <v>0.52400000000000002</v>
      </c>
      <c r="G54" s="1">
        <v>0.78200000000000003</v>
      </c>
      <c r="H54" s="1">
        <v>0.68700000000000006</v>
      </c>
      <c r="I54" s="1">
        <v>0.45600000000000002</v>
      </c>
      <c r="J54" s="1">
        <v>0.70299999999999996</v>
      </c>
      <c r="K54" s="1">
        <v>0.16400000000000001</v>
      </c>
      <c r="L54">
        <v>3137</v>
      </c>
    </row>
    <row r="55" spans="1:12" x14ac:dyDescent="0.3">
      <c r="A55" t="s">
        <v>216</v>
      </c>
      <c r="B55" t="s">
        <v>50</v>
      </c>
      <c r="C55" s="1">
        <v>0.35399999999999998</v>
      </c>
      <c r="D55" s="1">
        <v>0.65900000000000003</v>
      </c>
      <c r="E55" s="1">
        <v>0.48899999999999999</v>
      </c>
      <c r="F55" s="1">
        <v>0.68500000000000005</v>
      </c>
      <c r="G55" s="1">
        <v>0.88300000000000001</v>
      </c>
      <c r="H55" s="1">
        <v>0.80300000000000005</v>
      </c>
      <c r="I55" s="1">
        <v>0.442</v>
      </c>
      <c r="J55" s="1">
        <v>0.65700000000000003</v>
      </c>
      <c r="K55" s="1">
        <v>9.6000000000000002E-2</v>
      </c>
      <c r="L55">
        <v>9803</v>
      </c>
    </row>
    <row r="56" spans="1:12" x14ac:dyDescent="0.3">
      <c r="A56" t="s">
        <v>86</v>
      </c>
      <c r="B56" t="s">
        <v>48</v>
      </c>
      <c r="C56" s="1">
        <v>0.35299999999999998</v>
      </c>
      <c r="D56" s="1">
        <v>0.61599999999999999</v>
      </c>
      <c r="E56" s="1">
        <v>0.46</v>
      </c>
      <c r="F56" s="1">
        <v>0.56999999999999995</v>
      </c>
      <c r="G56" s="1">
        <v>0.84699999999999998</v>
      </c>
      <c r="H56" s="1">
        <v>0.72099999999999997</v>
      </c>
      <c r="I56" s="1">
        <v>0.40600000000000003</v>
      </c>
      <c r="J56" s="1">
        <v>0.67400000000000004</v>
      </c>
      <c r="K56" s="1">
        <v>0.128</v>
      </c>
      <c r="L56">
        <v>19291</v>
      </c>
    </row>
    <row r="57" spans="1:12" x14ac:dyDescent="0.3">
      <c r="A57" t="s">
        <v>96</v>
      </c>
      <c r="B57" t="s">
        <v>48</v>
      </c>
      <c r="C57" s="1">
        <v>0.35199999999999998</v>
      </c>
      <c r="D57" s="1">
        <v>0.64100000000000001</v>
      </c>
      <c r="E57" s="1">
        <v>0.46500000000000002</v>
      </c>
      <c r="F57" s="1">
        <v>0.68</v>
      </c>
      <c r="G57" s="1">
        <v>0.85599999999999998</v>
      </c>
      <c r="H57" s="1">
        <v>0.77500000000000002</v>
      </c>
      <c r="I57" s="1">
        <v>0.39100000000000001</v>
      </c>
      <c r="J57" s="1">
        <v>0.67300000000000004</v>
      </c>
      <c r="K57" s="1">
        <v>0.105</v>
      </c>
      <c r="L57">
        <v>1943</v>
      </c>
    </row>
    <row r="58" spans="1:12" x14ac:dyDescent="0.3">
      <c r="A58" t="s">
        <v>238</v>
      </c>
      <c r="B58" t="s">
        <v>159</v>
      </c>
      <c r="C58" s="1">
        <v>0.35199999999999998</v>
      </c>
      <c r="D58" s="1">
        <v>0.66500000000000004</v>
      </c>
      <c r="E58" s="1">
        <v>0.499</v>
      </c>
      <c r="F58" s="1">
        <v>0.60099999999999998</v>
      </c>
      <c r="G58" s="1">
        <v>0.76200000000000001</v>
      </c>
      <c r="H58" s="1">
        <v>0.70199999999999996</v>
      </c>
      <c r="I58" s="1">
        <v>0.46700000000000003</v>
      </c>
      <c r="J58" s="1">
        <v>0.66900000000000004</v>
      </c>
      <c r="K58" s="1">
        <v>0.14899999999999999</v>
      </c>
      <c r="L58">
        <v>15761</v>
      </c>
    </row>
    <row r="59" spans="1:12" x14ac:dyDescent="0.3">
      <c r="A59" t="s">
        <v>116</v>
      </c>
      <c r="B59" t="s">
        <v>56</v>
      </c>
      <c r="C59" s="1">
        <v>0.35199999999999998</v>
      </c>
      <c r="D59" s="1">
        <v>0.64</v>
      </c>
      <c r="E59" s="1">
        <v>0.47499999999999998</v>
      </c>
      <c r="F59" s="1">
        <v>0.57099999999999995</v>
      </c>
      <c r="G59" s="1">
        <v>0.82599999999999996</v>
      </c>
      <c r="H59" s="1">
        <v>0.71699999999999997</v>
      </c>
      <c r="I59" s="1">
        <v>0.42599999999999999</v>
      </c>
      <c r="J59" s="1">
        <v>0.66500000000000004</v>
      </c>
      <c r="K59" s="1">
        <v>0.13400000000000001</v>
      </c>
      <c r="L59">
        <v>9111</v>
      </c>
    </row>
    <row r="60" spans="1:12" x14ac:dyDescent="0.3">
      <c r="A60" t="s">
        <v>199</v>
      </c>
      <c r="B60" t="s">
        <v>40</v>
      </c>
      <c r="C60" s="1">
        <v>0.35199999999999998</v>
      </c>
      <c r="D60" s="1">
        <v>0.68700000000000006</v>
      </c>
      <c r="E60" s="1">
        <v>0.49199999999999999</v>
      </c>
      <c r="F60" s="1">
        <v>0.59699999999999998</v>
      </c>
      <c r="G60" s="1">
        <v>0.83499999999999996</v>
      </c>
      <c r="H60" s="1">
        <v>0.73599999999999999</v>
      </c>
      <c r="I60" s="1">
        <v>0.41899999999999998</v>
      </c>
      <c r="J60" s="1">
        <v>0.62</v>
      </c>
      <c r="K60" s="1">
        <v>0.13</v>
      </c>
      <c r="L60">
        <v>17149</v>
      </c>
    </row>
    <row r="61" spans="1:12" x14ac:dyDescent="0.3">
      <c r="A61" t="s">
        <v>151</v>
      </c>
      <c r="B61" t="s">
        <v>40</v>
      </c>
      <c r="C61" s="1">
        <v>0.35099999999999998</v>
      </c>
      <c r="D61" s="1">
        <v>0.73</v>
      </c>
      <c r="E61" s="1">
        <v>0.51300000000000001</v>
      </c>
      <c r="F61" s="1">
        <v>0.50700000000000001</v>
      </c>
      <c r="G61" s="1">
        <v>0.74299999999999999</v>
      </c>
      <c r="H61" s="1">
        <v>0.65</v>
      </c>
      <c r="I61" s="1">
        <v>0.42599999999999999</v>
      </c>
      <c r="J61" s="1">
        <v>0.621</v>
      </c>
      <c r="K61" s="1">
        <v>0.17899999999999999</v>
      </c>
      <c r="L61">
        <v>11384</v>
      </c>
    </row>
    <row r="62" spans="1:12" x14ac:dyDescent="0.3">
      <c r="A62" t="s">
        <v>240</v>
      </c>
      <c r="B62" t="s">
        <v>38</v>
      </c>
      <c r="C62" s="1">
        <v>0.35099999999999998</v>
      </c>
      <c r="D62" s="1">
        <v>0.621</v>
      </c>
      <c r="E62" s="1">
        <v>0.47199999999999998</v>
      </c>
      <c r="F62" s="1">
        <v>0.56499999999999995</v>
      </c>
      <c r="G62" s="1">
        <v>0.79200000000000004</v>
      </c>
      <c r="H62" s="1">
        <v>0.69799999999999995</v>
      </c>
      <c r="I62" s="1">
        <v>0.44800000000000001</v>
      </c>
      <c r="J62" s="1">
        <v>0.66</v>
      </c>
      <c r="K62" s="1">
        <v>0.14199999999999999</v>
      </c>
      <c r="L62">
        <v>10603</v>
      </c>
    </row>
    <row r="63" spans="1:12" x14ac:dyDescent="0.3">
      <c r="A63" t="s">
        <v>213</v>
      </c>
      <c r="B63" t="s">
        <v>32</v>
      </c>
      <c r="C63" s="1">
        <v>0.35099999999999998</v>
      </c>
      <c r="D63" s="1">
        <v>0.68200000000000005</v>
      </c>
      <c r="E63" s="1">
        <v>0.49199999999999999</v>
      </c>
      <c r="F63" s="1">
        <v>0.7</v>
      </c>
      <c r="G63" s="1">
        <v>0.85599999999999998</v>
      </c>
      <c r="H63" s="1">
        <v>0.79300000000000004</v>
      </c>
      <c r="I63" s="1">
        <v>0.42699999999999999</v>
      </c>
      <c r="J63" s="1">
        <v>0.65500000000000003</v>
      </c>
      <c r="K63" s="1">
        <v>0.10199999999999999</v>
      </c>
      <c r="L63">
        <v>16502</v>
      </c>
    </row>
    <row r="64" spans="1:12" x14ac:dyDescent="0.3">
      <c r="A64" t="s">
        <v>205</v>
      </c>
      <c r="B64" t="s">
        <v>71</v>
      </c>
      <c r="C64" s="1">
        <v>0.35099999999999998</v>
      </c>
      <c r="D64" s="1">
        <v>0.623</v>
      </c>
      <c r="E64" s="1">
        <v>0.45500000000000002</v>
      </c>
      <c r="F64" s="1">
        <v>0.61799999999999999</v>
      </c>
      <c r="G64" s="1">
        <v>0.90100000000000002</v>
      </c>
      <c r="H64" s="1">
        <v>0.76600000000000001</v>
      </c>
      <c r="I64" s="1">
        <v>0.38200000000000001</v>
      </c>
      <c r="J64" s="1">
        <v>0.622</v>
      </c>
      <c r="K64" s="1">
        <v>0.106</v>
      </c>
      <c r="L64">
        <v>12890</v>
      </c>
    </row>
    <row r="65" spans="1:12" x14ac:dyDescent="0.3">
      <c r="A65" t="s">
        <v>131</v>
      </c>
      <c r="B65" t="s">
        <v>77</v>
      </c>
      <c r="C65" s="1">
        <v>0.35099999999999998</v>
      </c>
      <c r="D65" s="1">
        <v>0.66100000000000003</v>
      </c>
      <c r="E65" s="1">
        <v>0.49</v>
      </c>
      <c r="F65" s="1">
        <v>0.68700000000000006</v>
      </c>
      <c r="G65" s="1">
        <v>0.85799999999999998</v>
      </c>
      <c r="H65" s="1">
        <v>0.79</v>
      </c>
      <c r="I65" s="1">
        <v>0.44700000000000001</v>
      </c>
      <c r="J65" s="1">
        <v>0.66400000000000003</v>
      </c>
      <c r="K65" s="1">
        <v>0.10299999999999999</v>
      </c>
      <c r="L65">
        <v>12049</v>
      </c>
    </row>
    <row r="66" spans="1:12" x14ac:dyDescent="0.3">
      <c r="A66" t="s">
        <v>72</v>
      </c>
      <c r="B66" t="s">
        <v>34</v>
      </c>
      <c r="C66" s="1">
        <v>0.35099999999999998</v>
      </c>
      <c r="D66" s="1">
        <v>0.68400000000000005</v>
      </c>
      <c r="E66" s="1">
        <v>0.49199999999999999</v>
      </c>
      <c r="F66" s="1">
        <v>0.64800000000000002</v>
      </c>
      <c r="G66" s="1">
        <v>0.84799999999999998</v>
      </c>
      <c r="H66" s="1">
        <v>0.76600000000000001</v>
      </c>
      <c r="I66" s="1">
        <v>0.42199999999999999</v>
      </c>
      <c r="J66" s="1">
        <v>0.60699999999999998</v>
      </c>
      <c r="K66" s="1">
        <v>0.115</v>
      </c>
      <c r="L66">
        <v>14309</v>
      </c>
    </row>
    <row r="67" spans="1:12" x14ac:dyDescent="0.3">
      <c r="A67" t="s">
        <v>302</v>
      </c>
      <c r="B67" t="s">
        <v>159</v>
      </c>
      <c r="C67" s="1">
        <v>0.35099999999999998</v>
      </c>
      <c r="D67" s="1">
        <v>0.753</v>
      </c>
      <c r="E67" s="1">
        <v>0.52400000000000002</v>
      </c>
      <c r="F67" s="1">
        <v>0.77</v>
      </c>
      <c r="G67" s="1">
        <v>0.876</v>
      </c>
      <c r="H67" s="1">
        <v>0.83599999999999997</v>
      </c>
      <c r="I67" s="1">
        <v>0.43099999999999999</v>
      </c>
      <c r="J67" s="1">
        <v>0.65100000000000002</v>
      </c>
      <c r="K67" s="1">
        <v>8.5999999999999993E-2</v>
      </c>
      <c r="L67">
        <v>17735</v>
      </c>
    </row>
    <row r="68" spans="1:12" x14ac:dyDescent="0.3">
      <c r="A68" t="s">
        <v>103</v>
      </c>
      <c r="B68" t="s">
        <v>53</v>
      </c>
      <c r="C68" s="1">
        <v>0.35099999999999998</v>
      </c>
      <c r="D68" s="1">
        <v>0.71599999999999997</v>
      </c>
      <c r="E68" s="1">
        <v>0.50600000000000001</v>
      </c>
      <c r="F68" s="1">
        <v>0.55700000000000005</v>
      </c>
      <c r="G68" s="1">
        <v>0.87</v>
      </c>
      <c r="H68" s="1">
        <v>0.746</v>
      </c>
      <c r="I68" s="1">
        <v>0.42699999999999999</v>
      </c>
      <c r="J68" s="1">
        <v>0.67400000000000004</v>
      </c>
      <c r="K68" s="1">
        <v>0.129</v>
      </c>
      <c r="L68">
        <v>2036</v>
      </c>
    </row>
    <row r="69" spans="1:12" x14ac:dyDescent="0.3">
      <c r="A69" t="s">
        <v>114</v>
      </c>
      <c r="B69" t="s">
        <v>56</v>
      </c>
      <c r="C69" s="1">
        <v>0.35</v>
      </c>
      <c r="D69" s="1">
        <v>0.66600000000000004</v>
      </c>
      <c r="E69" s="1">
        <v>0.47699999999999998</v>
      </c>
      <c r="F69" s="1">
        <v>0.51300000000000001</v>
      </c>
      <c r="G69" s="1">
        <v>0.85799999999999998</v>
      </c>
      <c r="H69" s="1">
        <v>0.70599999999999996</v>
      </c>
      <c r="I69" s="1">
        <v>0.4</v>
      </c>
      <c r="J69" s="1">
        <v>0.65300000000000002</v>
      </c>
      <c r="K69" s="1">
        <v>0.14000000000000001</v>
      </c>
      <c r="L69">
        <v>19427</v>
      </c>
    </row>
    <row r="70" spans="1:12" x14ac:dyDescent="0.3">
      <c r="A70" t="s">
        <v>346</v>
      </c>
      <c r="B70" t="s">
        <v>58</v>
      </c>
      <c r="C70" s="1">
        <v>0.35</v>
      </c>
      <c r="D70" s="1">
        <v>0.72899999999999998</v>
      </c>
      <c r="E70" s="1">
        <v>0.51400000000000001</v>
      </c>
      <c r="F70" s="1">
        <v>0.53500000000000003</v>
      </c>
      <c r="G70" s="1">
        <v>0.72299999999999998</v>
      </c>
      <c r="H70" s="1">
        <v>0.65</v>
      </c>
      <c r="I70" s="1">
        <v>0.433</v>
      </c>
      <c r="J70" s="1">
        <v>0.63400000000000001</v>
      </c>
      <c r="K70" s="1">
        <v>0.18</v>
      </c>
      <c r="L70">
        <v>14710</v>
      </c>
    </row>
    <row r="71" spans="1:12" x14ac:dyDescent="0.3">
      <c r="A71" t="s">
        <v>67</v>
      </c>
      <c r="B71" t="s">
        <v>28</v>
      </c>
      <c r="C71" s="1">
        <v>0.35</v>
      </c>
      <c r="D71" s="1">
        <v>0.67900000000000005</v>
      </c>
      <c r="E71" s="1">
        <v>0.499</v>
      </c>
      <c r="F71" s="1">
        <v>0.49099999999999999</v>
      </c>
      <c r="G71" s="1">
        <v>0.77100000000000002</v>
      </c>
      <c r="H71" s="1">
        <v>0.66300000000000003</v>
      </c>
      <c r="I71" s="1">
        <v>0.45200000000000001</v>
      </c>
      <c r="J71" s="1">
        <v>0.64100000000000001</v>
      </c>
      <c r="K71" s="1">
        <v>0.16800000000000001</v>
      </c>
      <c r="L71">
        <v>13125</v>
      </c>
    </row>
    <row r="72" spans="1:12" x14ac:dyDescent="0.3">
      <c r="A72" t="s">
        <v>196</v>
      </c>
      <c r="B72" t="s">
        <v>26</v>
      </c>
      <c r="C72" s="1">
        <v>0.34799999999999998</v>
      </c>
      <c r="D72" s="1">
        <v>0.66400000000000003</v>
      </c>
      <c r="E72" s="1">
        <v>0.48299999999999998</v>
      </c>
      <c r="F72" s="1">
        <v>0.70799999999999996</v>
      </c>
      <c r="G72" s="1">
        <v>0.90200000000000002</v>
      </c>
      <c r="H72" s="1">
        <v>0.82099999999999995</v>
      </c>
      <c r="I72" s="1">
        <v>0.42499999999999999</v>
      </c>
      <c r="J72" s="1">
        <v>0.68899999999999995</v>
      </c>
      <c r="K72" s="1">
        <v>8.5999999999999993E-2</v>
      </c>
      <c r="L72">
        <v>14682</v>
      </c>
    </row>
    <row r="73" spans="1:12" x14ac:dyDescent="0.3">
      <c r="A73" t="s">
        <v>160</v>
      </c>
      <c r="B73" t="s">
        <v>75</v>
      </c>
      <c r="C73" s="1">
        <v>0.34799999999999998</v>
      </c>
      <c r="D73" s="1">
        <v>0.747</v>
      </c>
      <c r="E73" s="1">
        <v>0.51100000000000001</v>
      </c>
      <c r="F73" s="1">
        <v>0.70099999999999996</v>
      </c>
      <c r="G73" s="1">
        <v>0.89900000000000002</v>
      </c>
      <c r="H73" s="1">
        <v>0.81899999999999995</v>
      </c>
      <c r="I73" s="1">
        <v>0.40799999999999997</v>
      </c>
      <c r="J73" s="1">
        <v>0.64400000000000002</v>
      </c>
      <c r="K73" s="1">
        <v>9.1999999999999998E-2</v>
      </c>
      <c r="L73">
        <v>9388</v>
      </c>
    </row>
    <row r="74" spans="1:12" x14ac:dyDescent="0.3">
      <c r="A74" t="s">
        <v>201</v>
      </c>
      <c r="B74" t="s">
        <v>53</v>
      </c>
      <c r="C74" s="1">
        <v>0.34799999999999998</v>
      </c>
      <c r="D74" s="1">
        <v>0.68400000000000005</v>
      </c>
      <c r="E74" s="1">
        <v>0.48299999999999998</v>
      </c>
      <c r="F74" s="1">
        <v>0.55900000000000005</v>
      </c>
      <c r="G74" s="1">
        <v>0.80200000000000005</v>
      </c>
      <c r="H74" s="1">
        <v>0.69699999999999995</v>
      </c>
      <c r="I74" s="1">
        <v>0.4</v>
      </c>
      <c r="J74" s="1">
        <v>0.64700000000000002</v>
      </c>
      <c r="K74" s="1">
        <v>0.14599999999999999</v>
      </c>
      <c r="L74">
        <v>18498</v>
      </c>
    </row>
    <row r="75" spans="1:12" x14ac:dyDescent="0.3">
      <c r="A75" t="s">
        <v>185</v>
      </c>
      <c r="B75" t="s">
        <v>83</v>
      </c>
      <c r="C75" s="1">
        <v>0.34799999999999998</v>
      </c>
      <c r="D75" s="1">
        <v>0.71399999999999997</v>
      </c>
      <c r="E75" s="1">
        <v>0.504</v>
      </c>
      <c r="F75" s="1">
        <v>0.63900000000000001</v>
      </c>
      <c r="G75" s="1">
        <v>0.85499999999999998</v>
      </c>
      <c r="H75" s="1">
        <v>0.77</v>
      </c>
      <c r="I75" s="1">
        <v>0.42699999999999999</v>
      </c>
      <c r="J75" s="1">
        <v>0.69499999999999995</v>
      </c>
      <c r="K75" s="1">
        <v>0.11600000000000001</v>
      </c>
      <c r="L75">
        <v>5524</v>
      </c>
    </row>
    <row r="76" spans="1:12" x14ac:dyDescent="0.3">
      <c r="A76" t="s">
        <v>263</v>
      </c>
      <c r="B76" t="s">
        <v>159</v>
      </c>
      <c r="C76" s="1">
        <v>0.34699999999999998</v>
      </c>
      <c r="D76" s="1">
        <v>0.70099999999999996</v>
      </c>
      <c r="E76" s="1">
        <v>0.497</v>
      </c>
      <c r="F76" s="1">
        <v>0.56200000000000006</v>
      </c>
      <c r="G76" s="1">
        <v>0.82199999999999995</v>
      </c>
      <c r="H76" s="1">
        <v>0.71699999999999997</v>
      </c>
      <c r="I76" s="1">
        <v>0.42299999999999999</v>
      </c>
      <c r="J76" s="1">
        <v>0.64300000000000002</v>
      </c>
      <c r="K76" s="1">
        <v>0.14000000000000001</v>
      </c>
      <c r="L76">
        <v>15440</v>
      </c>
    </row>
    <row r="77" spans="1:12" x14ac:dyDescent="0.3">
      <c r="A77" t="s">
        <v>225</v>
      </c>
      <c r="B77" t="s">
        <v>127</v>
      </c>
      <c r="C77" s="1">
        <v>0.34699999999999998</v>
      </c>
      <c r="D77" s="1">
        <v>0.64</v>
      </c>
      <c r="E77" s="1">
        <v>0.46100000000000002</v>
      </c>
      <c r="F77" s="1">
        <v>0.54</v>
      </c>
      <c r="G77" s="1">
        <v>0.81399999999999995</v>
      </c>
      <c r="H77" s="1">
        <v>0.68799999999999994</v>
      </c>
      <c r="I77" s="1">
        <v>0.38800000000000001</v>
      </c>
      <c r="J77" s="1">
        <v>0.58099999999999996</v>
      </c>
      <c r="K77" s="1">
        <v>0.14399999999999999</v>
      </c>
      <c r="L77">
        <v>14993</v>
      </c>
    </row>
    <row r="78" spans="1:12" x14ac:dyDescent="0.3">
      <c r="A78" t="s">
        <v>25</v>
      </c>
      <c r="B78" t="s">
        <v>26</v>
      </c>
      <c r="C78" s="1">
        <v>0.34699999999999998</v>
      </c>
      <c r="D78" s="1">
        <v>0.70599999999999996</v>
      </c>
      <c r="E78" s="1">
        <v>0.49299999999999999</v>
      </c>
      <c r="F78" s="1">
        <v>0.59</v>
      </c>
      <c r="G78" s="1">
        <v>0.747</v>
      </c>
      <c r="H78" s="1">
        <v>0.68200000000000005</v>
      </c>
      <c r="I78" s="1">
        <v>0.40600000000000003</v>
      </c>
      <c r="J78" s="1">
        <v>0.61299999999999999</v>
      </c>
      <c r="K78" s="1">
        <v>0.157</v>
      </c>
      <c r="L78">
        <v>9073</v>
      </c>
    </row>
    <row r="79" spans="1:12" x14ac:dyDescent="0.3">
      <c r="A79" t="s">
        <v>165</v>
      </c>
      <c r="B79" t="s">
        <v>98</v>
      </c>
      <c r="C79" s="1">
        <v>0.34699999999999998</v>
      </c>
      <c r="D79" s="1">
        <v>0.71199999999999997</v>
      </c>
      <c r="E79" s="1">
        <v>0.495</v>
      </c>
      <c r="F79" s="1">
        <v>0.51100000000000001</v>
      </c>
      <c r="G79" s="1">
        <v>0.81100000000000005</v>
      </c>
      <c r="H79" s="1">
        <v>0.68600000000000005</v>
      </c>
      <c r="I79" s="1">
        <v>0.40699999999999997</v>
      </c>
      <c r="J79" s="1">
        <v>0.61799999999999999</v>
      </c>
      <c r="K79" s="1">
        <v>0.155</v>
      </c>
      <c r="L79">
        <v>12988</v>
      </c>
    </row>
    <row r="80" spans="1:12" x14ac:dyDescent="0.3">
      <c r="A80" t="s">
        <v>65</v>
      </c>
      <c r="B80" t="s">
        <v>66</v>
      </c>
      <c r="C80" s="1">
        <v>0.34599999999999997</v>
      </c>
      <c r="D80" s="1">
        <v>0.71899999999999997</v>
      </c>
      <c r="E80" s="1">
        <v>0.50600000000000001</v>
      </c>
      <c r="F80" s="1">
        <v>0.505</v>
      </c>
      <c r="G80" s="1">
        <v>0.81799999999999995</v>
      </c>
      <c r="H80" s="1">
        <v>0.69599999999999995</v>
      </c>
      <c r="I80" s="1">
        <v>0.42899999999999999</v>
      </c>
      <c r="J80" s="1">
        <v>0.67200000000000004</v>
      </c>
      <c r="K80" s="1">
        <v>0.154</v>
      </c>
      <c r="L80">
        <v>13758</v>
      </c>
    </row>
    <row r="81" spans="1:12" x14ac:dyDescent="0.3">
      <c r="A81" t="s">
        <v>107</v>
      </c>
      <c r="B81" t="s">
        <v>32</v>
      </c>
      <c r="C81" s="1">
        <v>0.34499999999999997</v>
      </c>
      <c r="D81" s="1">
        <v>0.67300000000000004</v>
      </c>
      <c r="E81" s="1">
        <v>0.49199999999999999</v>
      </c>
      <c r="F81" s="1">
        <v>0.497</v>
      </c>
      <c r="G81" s="1">
        <v>0.76100000000000001</v>
      </c>
      <c r="H81" s="1">
        <v>0.65900000000000003</v>
      </c>
      <c r="I81" s="1">
        <v>0.44800000000000001</v>
      </c>
      <c r="J81" s="1">
        <v>0.58899999999999997</v>
      </c>
      <c r="K81" s="1">
        <v>0.16800000000000001</v>
      </c>
      <c r="L81">
        <v>8823</v>
      </c>
    </row>
    <row r="82" spans="1:12" x14ac:dyDescent="0.3">
      <c r="A82" t="s">
        <v>217</v>
      </c>
      <c r="B82" t="s">
        <v>89</v>
      </c>
      <c r="C82" s="1">
        <v>0.34399999999999997</v>
      </c>
      <c r="D82" s="1">
        <v>0.68899999999999995</v>
      </c>
      <c r="E82" s="1">
        <v>0.48799999999999999</v>
      </c>
      <c r="F82" s="1">
        <v>0.54200000000000004</v>
      </c>
      <c r="G82" s="1">
        <v>0.77900000000000003</v>
      </c>
      <c r="H82" s="1">
        <v>0.68200000000000005</v>
      </c>
      <c r="I82" s="1">
        <v>0.41699999999999998</v>
      </c>
      <c r="J82" s="1">
        <v>0.55900000000000005</v>
      </c>
      <c r="K82" s="1">
        <v>0.155</v>
      </c>
      <c r="L82">
        <v>17130</v>
      </c>
    </row>
    <row r="83" spans="1:12" x14ac:dyDescent="0.3">
      <c r="A83" t="s">
        <v>179</v>
      </c>
      <c r="B83" t="s">
        <v>93</v>
      </c>
      <c r="C83" s="1">
        <v>0.34399999999999997</v>
      </c>
      <c r="D83" s="1">
        <v>0.69199999999999995</v>
      </c>
      <c r="E83" s="1">
        <v>0.48199999999999998</v>
      </c>
      <c r="F83" s="1">
        <v>0.69499999999999995</v>
      </c>
      <c r="G83" s="1">
        <v>0.86199999999999999</v>
      </c>
      <c r="H83" s="1">
        <v>0.79</v>
      </c>
      <c r="I83" s="1">
        <v>0.39700000000000002</v>
      </c>
      <c r="J83" s="1">
        <v>0.63800000000000001</v>
      </c>
      <c r="K83" s="1">
        <v>0.10100000000000001</v>
      </c>
      <c r="L83">
        <v>3284</v>
      </c>
    </row>
    <row r="84" spans="1:12" x14ac:dyDescent="0.3">
      <c r="A84" t="s">
        <v>33</v>
      </c>
      <c r="B84" t="s">
        <v>34</v>
      </c>
      <c r="C84" s="1">
        <v>0.34399999999999997</v>
      </c>
      <c r="D84" s="1">
        <v>0.72699999999999998</v>
      </c>
      <c r="E84" s="1">
        <v>0.51300000000000001</v>
      </c>
      <c r="F84" s="1">
        <v>0.48599999999999999</v>
      </c>
      <c r="G84" s="1">
        <v>0.77100000000000002</v>
      </c>
      <c r="H84" s="1">
        <v>0.66500000000000004</v>
      </c>
      <c r="I84" s="1">
        <v>0.443</v>
      </c>
      <c r="J84" s="1">
        <v>0.65700000000000003</v>
      </c>
      <c r="K84" s="1">
        <v>0.17199999999999999</v>
      </c>
      <c r="L84">
        <v>3548</v>
      </c>
    </row>
    <row r="85" spans="1:12" x14ac:dyDescent="0.3">
      <c r="A85" t="s">
        <v>122</v>
      </c>
      <c r="B85" t="s">
        <v>95</v>
      </c>
      <c r="C85" s="1">
        <v>0.34300000000000003</v>
      </c>
      <c r="D85" s="1">
        <v>0.73199999999999998</v>
      </c>
      <c r="E85" s="1">
        <v>0.51500000000000001</v>
      </c>
      <c r="F85" s="1">
        <v>0.68600000000000005</v>
      </c>
      <c r="G85" s="1">
        <v>0.84299999999999997</v>
      </c>
      <c r="H85" s="1">
        <v>0.78500000000000003</v>
      </c>
      <c r="I85" s="1">
        <v>0.443</v>
      </c>
      <c r="J85" s="1">
        <v>0.64700000000000002</v>
      </c>
      <c r="K85" s="1">
        <v>0.111</v>
      </c>
      <c r="L85">
        <v>5358</v>
      </c>
    </row>
    <row r="86" spans="1:12" x14ac:dyDescent="0.3">
      <c r="A86" t="s">
        <v>141</v>
      </c>
      <c r="B86" t="s">
        <v>98</v>
      </c>
      <c r="C86" s="1">
        <v>0.34300000000000003</v>
      </c>
      <c r="D86" s="1">
        <v>0.69399999999999995</v>
      </c>
      <c r="E86" s="1">
        <v>0.47399999999999998</v>
      </c>
      <c r="F86" s="1">
        <v>0.59199999999999997</v>
      </c>
      <c r="G86" s="1">
        <v>0.85499999999999998</v>
      </c>
      <c r="H86" s="1">
        <v>0.73599999999999999</v>
      </c>
      <c r="I86" s="1">
        <v>0.374</v>
      </c>
      <c r="J86" s="1">
        <v>0.60199999999999998</v>
      </c>
      <c r="K86" s="1">
        <v>0.125</v>
      </c>
      <c r="L86">
        <v>18333</v>
      </c>
    </row>
    <row r="87" spans="1:12" x14ac:dyDescent="0.3">
      <c r="A87" t="s">
        <v>210</v>
      </c>
      <c r="B87" t="s">
        <v>40</v>
      </c>
      <c r="C87" s="1">
        <v>0.34300000000000003</v>
      </c>
      <c r="D87" s="1">
        <v>0.67300000000000004</v>
      </c>
      <c r="E87" s="1">
        <v>0.46899999999999997</v>
      </c>
      <c r="F87" s="1">
        <v>0.56599999999999995</v>
      </c>
      <c r="G87" s="1">
        <v>0.86199999999999999</v>
      </c>
      <c r="H87" s="1">
        <v>0.72899999999999998</v>
      </c>
      <c r="I87" s="1">
        <v>0.38200000000000001</v>
      </c>
      <c r="J87" s="1">
        <v>0.58299999999999996</v>
      </c>
      <c r="K87" s="1">
        <v>0.127</v>
      </c>
      <c r="L87">
        <v>13345</v>
      </c>
    </row>
    <row r="88" spans="1:12" x14ac:dyDescent="0.3">
      <c r="A88" t="s">
        <v>374</v>
      </c>
      <c r="B88" t="s">
        <v>43</v>
      </c>
      <c r="C88" s="1">
        <v>0.34200000000000003</v>
      </c>
      <c r="D88" s="1">
        <v>0.69799999999999995</v>
      </c>
      <c r="E88" s="1">
        <v>0.497</v>
      </c>
      <c r="F88" s="1">
        <v>0.68799999999999994</v>
      </c>
      <c r="G88" s="1">
        <v>0.81499999999999995</v>
      </c>
      <c r="H88" s="1">
        <v>0.76500000000000001</v>
      </c>
      <c r="I88" s="1">
        <v>0.434</v>
      </c>
      <c r="J88" s="1">
        <v>0.66400000000000003</v>
      </c>
      <c r="K88" s="1">
        <v>0.11700000000000001</v>
      </c>
      <c r="L88">
        <v>6033</v>
      </c>
    </row>
    <row r="89" spans="1:12" x14ac:dyDescent="0.3">
      <c r="A89" t="s">
        <v>382</v>
      </c>
      <c r="B89" t="s">
        <v>36</v>
      </c>
      <c r="C89" s="1">
        <v>0.34200000000000003</v>
      </c>
      <c r="D89" s="1">
        <v>0.65400000000000003</v>
      </c>
      <c r="E89" s="1">
        <v>0.47</v>
      </c>
      <c r="F89" s="1">
        <v>0.70099999999999996</v>
      </c>
      <c r="G89" s="1">
        <v>0.876</v>
      </c>
      <c r="H89" s="1">
        <v>0.80100000000000005</v>
      </c>
      <c r="I89" s="1">
        <v>0.41099999999999998</v>
      </c>
      <c r="J89" s="1">
        <v>0.63400000000000001</v>
      </c>
      <c r="K89" s="1">
        <v>9.2999999999999999E-2</v>
      </c>
      <c r="L89">
        <v>3543</v>
      </c>
    </row>
    <row r="90" spans="1:12" x14ac:dyDescent="0.3">
      <c r="A90" t="s">
        <v>90</v>
      </c>
      <c r="B90" t="s">
        <v>56</v>
      </c>
      <c r="C90" s="1">
        <v>0.34100000000000003</v>
      </c>
      <c r="D90" s="1">
        <v>0.73</v>
      </c>
      <c r="E90" s="1">
        <v>0.504</v>
      </c>
      <c r="F90" s="1">
        <v>0.60199999999999998</v>
      </c>
      <c r="G90" s="1">
        <v>0.80400000000000005</v>
      </c>
      <c r="H90" s="1">
        <v>0.72499999999999998</v>
      </c>
      <c r="I90" s="1">
        <v>0.41799999999999998</v>
      </c>
      <c r="J90" s="1">
        <v>0.65100000000000002</v>
      </c>
      <c r="K90" s="1">
        <v>0.13900000000000001</v>
      </c>
      <c r="L90">
        <v>5640</v>
      </c>
    </row>
    <row r="91" spans="1:12" x14ac:dyDescent="0.3">
      <c r="A91" t="s">
        <v>187</v>
      </c>
      <c r="B91" t="s">
        <v>58</v>
      </c>
      <c r="C91" s="1">
        <v>0.34100000000000003</v>
      </c>
      <c r="D91" s="1">
        <v>0.69899999999999995</v>
      </c>
      <c r="E91" s="1">
        <v>0.50600000000000001</v>
      </c>
      <c r="F91" s="1">
        <v>0.69199999999999995</v>
      </c>
      <c r="G91" s="1">
        <v>0.85099999999999998</v>
      </c>
      <c r="H91" s="1">
        <v>0.79300000000000004</v>
      </c>
      <c r="I91" s="1">
        <v>0.46</v>
      </c>
      <c r="J91" s="1">
        <v>0.65800000000000003</v>
      </c>
      <c r="K91" s="1">
        <v>0.104</v>
      </c>
      <c r="L91">
        <v>10310</v>
      </c>
    </row>
    <row r="92" spans="1:12" x14ac:dyDescent="0.3">
      <c r="A92" t="s">
        <v>274</v>
      </c>
      <c r="B92" t="s">
        <v>48</v>
      </c>
      <c r="C92" s="1">
        <v>0.34100000000000003</v>
      </c>
      <c r="D92" s="1">
        <v>0.72</v>
      </c>
      <c r="E92" s="1">
        <v>0.53</v>
      </c>
      <c r="F92" s="1">
        <v>0.69599999999999995</v>
      </c>
      <c r="G92" s="1">
        <v>0.89400000000000002</v>
      </c>
      <c r="H92" s="1">
        <v>0.83</v>
      </c>
      <c r="I92" s="1">
        <v>0.498</v>
      </c>
      <c r="J92" s="1">
        <v>0.63100000000000001</v>
      </c>
      <c r="K92" s="1">
        <v>0.09</v>
      </c>
      <c r="L92">
        <v>7407</v>
      </c>
    </row>
    <row r="93" spans="1:12" x14ac:dyDescent="0.3">
      <c r="A93" t="s">
        <v>388</v>
      </c>
      <c r="B93" t="s">
        <v>159</v>
      </c>
      <c r="C93" s="1">
        <v>0.34</v>
      </c>
      <c r="D93" s="1">
        <v>0.65</v>
      </c>
      <c r="E93" s="1">
        <v>0.46500000000000002</v>
      </c>
      <c r="F93" s="1">
        <v>0.70099999999999996</v>
      </c>
      <c r="G93" s="1">
        <v>0.90800000000000003</v>
      </c>
      <c r="H93" s="1">
        <v>0.81799999999999995</v>
      </c>
      <c r="I93" s="1">
        <v>0.40400000000000003</v>
      </c>
      <c r="J93" s="1">
        <v>0.63700000000000001</v>
      </c>
      <c r="K93" s="1">
        <v>8.5000000000000006E-2</v>
      </c>
      <c r="L93">
        <v>4505</v>
      </c>
    </row>
    <row r="94" spans="1:12" x14ac:dyDescent="0.3">
      <c r="A94" t="s">
        <v>230</v>
      </c>
      <c r="B94" t="s">
        <v>48</v>
      </c>
      <c r="C94" s="1">
        <v>0.34</v>
      </c>
      <c r="D94" s="1">
        <v>0.69299999999999995</v>
      </c>
      <c r="E94" s="1">
        <v>0.502</v>
      </c>
      <c r="F94" s="1">
        <v>0.71799999999999997</v>
      </c>
      <c r="G94" s="1">
        <v>0.90900000000000003</v>
      </c>
      <c r="H94" s="1">
        <v>0.83799999999999997</v>
      </c>
      <c r="I94" s="1">
        <v>0.45700000000000002</v>
      </c>
      <c r="J94" s="1">
        <v>0.63500000000000001</v>
      </c>
      <c r="K94" s="1">
        <v>8.1000000000000003E-2</v>
      </c>
      <c r="L94">
        <v>10130</v>
      </c>
    </row>
    <row r="95" spans="1:12" x14ac:dyDescent="0.3">
      <c r="A95" t="s">
        <v>175</v>
      </c>
      <c r="B95" t="s">
        <v>40</v>
      </c>
      <c r="C95" s="1">
        <v>0.34</v>
      </c>
      <c r="D95" s="1">
        <v>0.71799999999999997</v>
      </c>
      <c r="E95" s="1">
        <v>0.498</v>
      </c>
      <c r="F95" s="1">
        <v>0.57899999999999996</v>
      </c>
      <c r="G95" s="1">
        <v>0.80900000000000005</v>
      </c>
      <c r="H95" s="1">
        <v>0.71699999999999997</v>
      </c>
      <c r="I95" s="1">
        <v>0.41799999999999998</v>
      </c>
      <c r="J95" s="1">
        <v>0.65600000000000003</v>
      </c>
      <c r="K95" s="1">
        <v>0.14099999999999999</v>
      </c>
      <c r="L95">
        <v>11828</v>
      </c>
    </row>
    <row r="96" spans="1:12" x14ac:dyDescent="0.3">
      <c r="A96" t="s">
        <v>394</v>
      </c>
      <c r="B96" t="s">
        <v>48</v>
      </c>
      <c r="C96" s="1">
        <v>0.34</v>
      </c>
      <c r="D96" s="1">
        <v>0.67200000000000004</v>
      </c>
      <c r="E96" s="1">
        <v>0.47099999999999997</v>
      </c>
      <c r="F96" s="1">
        <v>0.754</v>
      </c>
      <c r="G96" s="1">
        <v>0.871</v>
      </c>
      <c r="H96" s="1">
        <v>0.82</v>
      </c>
      <c r="I96" s="1">
        <v>0.39500000000000002</v>
      </c>
      <c r="J96" s="1">
        <v>0.55200000000000005</v>
      </c>
      <c r="K96" s="1">
        <v>8.5000000000000006E-2</v>
      </c>
      <c r="L96">
        <v>11694</v>
      </c>
    </row>
    <row r="97" spans="1:12" x14ac:dyDescent="0.3">
      <c r="A97" t="s">
        <v>112</v>
      </c>
      <c r="B97" t="s">
        <v>53</v>
      </c>
      <c r="C97" s="1">
        <v>0.33900000000000002</v>
      </c>
      <c r="D97" s="1">
        <v>0.68600000000000005</v>
      </c>
      <c r="E97" s="1">
        <v>0.5</v>
      </c>
      <c r="F97" s="1">
        <v>0.60799999999999998</v>
      </c>
      <c r="G97" s="1">
        <v>0.84399999999999997</v>
      </c>
      <c r="H97" s="1">
        <v>0.75800000000000001</v>
      </c>
      <c r="I97" s="1">
        <v>0.46500000000000002</v>
      </c>
      <c r="J97" s="1">
        <v>0.65700000000000003</v>
      </c>
      <c r="K97" s="1">
        <v>0.121</v>
      </c>
      <c r="L97">
        <v>19374</v>
      </c>
    </row>
    <row r="98" spans="1:12" x14ac:dyDescent="0.3">
      <c r="A98" t="s">
        <v>168</v>
      </c>
      <c r="B98" t="s">
        <v>38</v>
      </c>
      <c r="C98" s="1">
        <v>0.33900000000000002</v>
      </c>
      <c r="D98" s="1">
        <v>0.67800000000000005</v>
      </c>
      <c r="E98" s="1">
        <v>0.46400000000000002</v>
      </c>
      <c r="F98" s="1">
        <v>0.65200000000000002</v>
      </c>
      <c r="G98" s="1">
        <v>0.82899999999999996</v>
      </c>
      <c r="H98" s="1">
        <v>0.747</v>
      </c>
      <c r="I98" s="1">
        <v>0.36799999999999999</v>
      </c>
      <c r="J98" s="1">
        <v>0.63400000000000001</v>
      </c>
      <c r="K98" s="1">
        <v>0.11700000000000001</v>
      </c>
      <c r="L98">
        <v>13164</v>
      </c>
    </row>
    <row r="99" spans="1:12" x14ac:dyDescent="0.3">
      <c r="A99" t="s">
        <v>209</v>
      </c>
      <c r="B99" t="s">
        <v>48</v>
      </c>
      <c r="C99" s="1">
        <v>0.33900000000000002</v>
      </c>
      <c r="D99" s="1">
        <v>0.68</v>
      </c>
      <c r="E99" s="1">
        <v>0.48199999999999998</v>
      </c>
      <c r="F99" s="1">
        <v>0.53400000000000003</v>
      </c>
      <c r="G99" s="1">
        <v>0.81399999999999995</v>
      </c>
      <c r="H99" s="1">
        <v>0.7</v>
      </c>
      <c r="I99" s="1">
        <v>0.42</v>
      </c>
      <c r="J99" s="1">
        <v>0.60299999999999998</v>
      </c>
      <c r="K99" s="1">
        <v>0.14499999999999999</v>
      </c>
      <c r="L99">
        <v>3950</v>
      </c>
    </row>
    <row r="100" spans="1:12" x14ac:dyDescent="0.3">
      <c r="A100" t="s">
        <v>149</v>
      </c>
      <c r="B100" t="s">
        <v>71</v>
      </c>
      <c r="C100" s="1">
        <v>0.33900000000000002</v>
      </c>
      <c r="D100" s="1">
        <v>0.72799999999999998</v>
      </c>
      <c r="E100" s="1">
        <v>0.51</v>
      </c>
      <c r="F100" s="1">
        <v>0.63</v>
      </c>
      <c r="G100" s="1">
        <v>0.85799999999999998</v>
      </c>
      <c r="H100" s="1">
        <v>0.77300000000000002</v>
      </c>
      <c r="I100" s="1">
        <v>0.44</v>
      </c>
      <c r="J100" s="1">
        <v>0.61099999999999999</v>
      </c>
      <c r="K100" s="1">
        <v>0.11600000000000001</v>
      </c>
      <c r="L100">
        <v>16162</v>
      </c>
    </row>
    <row r="101" spans="1:12" x14ac:dyDescent="0.3">
      <c r="A101" t="s">
        <v>74</v>
      </c>
      <c r="B101" t="s">
        <v>75</v>
      </c>
      <c r="C101" s="1">
        <v>0.33800000000000002</v>
      </c>
      <c r="D101" s="1">
        <v>0.67600000000000005</v>
      </c>
      <c r="E101" s="1">
        <v>0.48199999999999998</v>
      </c>
      <c r="F101" s="1">
        <v>0.65500000000000003</v>
      </c>
      <c r="G101" s="1">
        <v>0.874</v>
      </c>
      <c r="H101" s="1">
        <v>0.78600000000000003</v>
      </c>
      <c r="I101" s="1">
        <v>0.42599999999999999</v>
      </c>
      <c r="J101" s="1">
        <v>0.63800000000000001</v>
      </c>
      <c r="K101" s="1">
        <v>0.10299999999999999</v>
      </c>
      <c r="L101">
        <v>18383</v>
      </c>
    </row>
    <row r="102" spans="1:12" x14ac:dyDescent="0.3">
      <c r="A102" t="s">
        <v>310</v>
      </c>
      <c r="B102" t="s">
        <v>146</v>
      </c>
      <c r="C102" s="1">
        <v>0.33800000000000002</v>
      </c>
      <c r="D102" s="1">
        <v>0.7</v>
      </c>
      <c r="E102" s="1">
        <v>0.48599999999999999</v>
      </c>
      <c r="F102" s="1">
        <v>0.63100000000000001</v>
      </c>
      <c r="G102" s="1">
        <v>0.85699999999999998</v>
      </c>
      <c r="H102" s="1">
        <v>0.76400000000000001</v>
      </c>
      <c r="I102" s="1">
        <v>0.40899999999999997</v>
      </c>
      <c r="J102" s="1">
        <v>0.56200000000000006</v>
      </c>
      <c r="K102" s="1">
        <v>0.115</v>
      </c>
      <c r="L102">
        <v>10836</v>
      </c>
    </row>
    <row r="103" spans="1:12" x14ac:dyDescent="0.3">
      <c r="A103" t="s">
        <v>294</v>
      </c>
      <c r="B103" t="s">
        <v>28</v>
      </c>
      <c r="C103" s="1">
        <v>0.33800000000000002</v>
      </c>
      <c r="D103" s="1">
        <v>0.68400000000000005</v>
      </c>
      <c r="E103" s="1">
        <v>0.48699999999999999</v>
      </c>
      <c r="F103" s="1">
        <v>0.60499999999999998</v>
      </c>
      <c r="G103" s="1">
        <v>0.82499999999999996</v>
      </c>
      <c r="H103" s="1">
        <v>0.73799999999999999</v>
      </c>
      <c r="I103" s="1">
        <v>0.43099999999999999</v>
      </c>
      <c r="J103" s="1">
        <v>0.68100000000000005</v>
      </c>
      <c r="K103" s="1">
        <v>0.128</v>
      </c>
      <c r="L103">
        <v>12763</v>
      </c>
    </row>
    <row r="104" spans="1:12" x14ac:dyDescent="0.3">
      <c r="A104" t="s">
        <v>189</v>
      </c>
      <c r="B104" t="s">
        <v>77</v>
      </c>
      <c r="C104" s="1">
        <v>0.33800000000000002</v>
      </c>
      <c r="D104" s="1">
        <v>0.64700000000000002</v>
      </c>
      <c r="E104" s="1">
        <v>0.47499999999999998</v>
      </c>
      <c r="F104" s="1">
        <v>0.56000000000000005</v>
      </c>
      <c r="G104" s="1">
        <v>0.82199999999999995</v>
      </c>
      <c r="H104" s="1">
        <v>0.71799999999999997</v>
      </c>
      <c r="I104" s="1">
        <v>0.44500000000000001</v>
      </c>
      <c r="J104" s="1">
        <v>0.624</v>
      </c>
      <c r="K104" s="1">
        <v>0.13400000000000001</v>
      </c>
      <c r="L104">
        <v>13074</v>
      </c>
    </row>
    <row r="105" spans="1:12" x14ac:dyDescent="0.3">
      <c r="A105" t="s">
        <v>124</v>
      </c>
      <c r="B105" t="s">
        <v>89</v>
      </c>
      <c r="C105" s="1">
        <v>0.33700000000000002</v>
      </c>
      <c r="D105" s="1">
        <v>0.69499999999999995</v>
      </c>
      <c r="E105" s="1">
        <v>0.46600000000000003</v>
      </c>
      <c r="F105" s="1">
        <v>0.5</v>
      </c>
      <c r="G105" s="1">
        <v>0.79400000000000004</v>
      </c>
      <c r="H105" s="1">
        <v>0.65900000000000003</v>
      </c>
      <c r="I105" s="1">
        <v>0.36199999999999999</v>
      </c>
      <c r="J105" s="1">
        <v>0.56299999999999994</v>
      </c>
      <c r="K105" s="1">
        <v>0.159</v>
      </c>
      <c r="L105">
        <v>15689</v>
      </c>
    </row>
    <row r="106" spans="1:12" x14ac:dyDescent="0.3">
      <c r="A106" t="s">
        <v>291</v>
      </c>
      <c r="B106" t="s">
        <v>143</v>
      </c>
      <c r="C106" s="1">
        <v>0.33600000000000002</v>
      </c>
      <c r="D106" s="1">
        <v>0.70899999999999996</v>
      </c>
      <c r="E106" s="1">
        <v>0.51200000000000001</v>
      </c>
      <c r="F106" s="1">
        <v>0.53800000000000003</v>
      </c>
      <c r="G106" s="1">
        <v>0.85</v>
      </c>
      <c r="H106" s="1">
        <v>0.74199999999999999</v>
      </c>
      <c r="I106" s="1">
        <v>0.47099999999999997</v>
      </c>
      <c r="J106" s="1">
        <v>0.621</v>
      </c>
      <c r="K106" s="1">
        <v>0.13200000000000001</v>
      </c>
      <c r="L106">
        <v>17369</v>
      </c>
    </row>
    <row r="107" spans="1:12" x14ac:dyDescent="0.3">
      <c r="A107" t="s">
        <v>311</v>
      </c>
      <c r="B107" t="s">
        <v>48</v>
      </c>
      <c r="C107" s="1">
        <v>0.33600000000000002</v>
      </c>
      <c r="D107" s="1">
        <v>0.64800000000000002</v>
      </c>
      <c r="E107" s="1">
        <v>0.44800000000000001</v>
      </c>
      <c r="F107" s="1">
        <v>0.66600000000000004</v>
      </c>
      <c r="G107" s="1">
        <v>0.91500000000000004</v>
      </c>
      <c r="H107" s="1">
        <v>0.79500000000000004</v>
      </c>
      <c r="I107" s="1">
        <v>0.35799999999999998</v>
      </c>
      <c r="J107" s="1">
        <v>0.627</v>
      </c>
      <c r="K107" s="1">
        <v>9.1999999999999998E-2</v>
      </c>
      <c r="L107">
        <v>4869</v>
      </c>
    </row>
    <row r="108" spans="1:12" x14ac:dyDescent="0.3">
      <c r="A108" t="s">
        <v>181</v>
      </c>
      <c r="B108" t="s">
        <v>102</v>
      </c>
      <c r="C108" s="1">
        <v>0.33600000000000002</v>
      </c>
      <c r="D108" s="1">
        <v>0.70099999999999996</v>
      </c>
      <c r="E108" s="1">
        <v>0.48799999999999999</v>
      </c>
      <c r="F108" s="1">
        <v>0.63800000000000001</v>
      </c>
      <c r="G108" s="1">
        <v>0.871</v>
      </c>
      <c r="H108" s="1">
        <v>0.77700000000000002</v>
      </c>
      <c r="I108" s="1">
        <v>0.41599999999999998</v>
      </c>
      <c r="J108" s="1">
        <v>0.60399999999999998</v>
      </c>
      <c r="K108" s="1">
        <v>0.109</v>
      </c>
      <c r="L108">
        <v>18684</v>
      </c>
    </row>
    <row r="109" spans="1:12" x14ac:dyDescent="0.3">
      <c r="A109" t="s">
        <v>320</v>
      </c>
      <c r="B109" t="s">
        <v>26</v>
      </c>
      <c r="C109" s="1">
        <v>0.33500000000000002</v>
      </c>
      <c r="D109" s="1">
        <v>0.72699999999999998</v>
      </c>
      <c r="E109" s="1">
        <v>0.48499999999999999</v>
      </c>
      <c r="F109" s="1">
        <v>0.72399999999999998</v>
      </c>
      <c r="G109" s="1">
        <v>0.84799999999999998</v>
      </c>
      <c r="H109" s="1">
        <v>0.79500000000000004</v>
      </c>
      <c r="I109" s="1">
        <v>0.38100000000000001</v>
      </c>
      <c r="J109" s="1">
        <v>0.57299999999999995</v>
      </c>
      <c r="K109" s="1">
        <v>9.9000000000000005E-2</v>
      </c>
      <c r="L109">
        <v>19312</v>
      </c>
    </row>
    <row r="110" spans="1:12" x14ac:dyDescent="0.3">
      <c r="A110" t="s">
        <v>335</v>
      </c>
      <c r="B110" t="s">
        <v>30</v>
      </c>
      <c r="C110" s="1">
        <v>0.33500000000000002</v>
      </c>
      <c r="D110" s="1">
        <v>0.72299999999999998</v>
      </c>
      <c r="E110" s="1">
        <v>0.498</v>
      </c>
      <c r="F110" s="1">
        <v>0.68799999999999994</v>
      </c>
      <c r="G110" s="1">
        <v>0.85599999999999998</v>
      </c>
      <c r="H110" s="1">
        <v>0.79</v>
      </c>
      <c r="I110" s="1">
        <v>0.42</v>
      </c>
      <c r="J110" s="1">
        <v>0.626</v>
      </c>
      <c r="K110" s="1">
        <v>0.104</v>
      </c>
      <c r="L110">
        <v>16977</v>
      </c>
    </row>
    <row r="111" spans="1:12" x14ac:dyDescent="0.3">
      <c r="A111" t="s">
        <v>162</v>
      </c>
      <c r="B111" t="s">
        <v>75</v>
      </c>
      <c r="C111" s="1">
        <v>0.33500000000000002</v>
      </c>
      <c r="D111" s="1">
        <v>0.66500000000000004</v>
      </c>
      <c r="E111" s="1">
        <v>0.44600000000000001</v>
      </c>
      <c r="F111" s="1">
        <v>0.71599999999999997</v>
      </c>
      <c r="G111" s="1">
        <v>0.89400000000000002</v>
      </c>
      <c r="H111" s="1">
        <v>0.80500000000000005</v>
      </c>
      <c r="I111" s="1">
        <v>0.33600000000000002</v>
      </c>
      <c r="J111" s="1">
        <v>0.55900000000000005</v>
      </c>
      <c r="K111" s="1">
        <v>8.6999999999999994E-2</v>
      </c>
      <c r="L111">
        <v>9434</v>
      </c>
    </row>
    <row r="112" spans="1:12" x14ac:dyDescent="0.3">
      <c r="A112" t="s">
        <v>268</v>
      </c>
      <c r="B112" t="s">
        <v>48</v>
      </c>
      <c r="C112" s="1">
        <v>0.33500000000000002</v>
      </c>
      <c r="D112" s="1">
        <v>0.67800000000000005</v>
      </c>
      <c r="E112" s="1">
        <v>0.46</v>
      </c>
      <c r="F112" s="1">
        <v>0.64600000000000002</v>
      </c>
      <c r="G112" s="1">
        <v>0.83299999999999996</v>
      </c>
      <c r="H112" s="1">
        <v>0.747</v>
      </c>
      <c r="I112" s="1">
        <v>0.36499999999999999</v>
      </c>
      <c r="J112" s="1">
        <v>0.57699999999999996</v>
      </c>
      <c r="K112" s="1">
        <v>0.11600000000000001</v>
      </c>
      <c r="L112">
        <v>13194</v>
      </c>
    </row>
    <row r="113" spans="1:12" x14ac:dyDescent="0.3">
      <c r="A113" t="s">
        <v>180</v>
      </c>
      <c r="B113" t="s">
        <v>95</v>
      </c>
      <c r="C113" s="1">
        <v>0.33500000000000002</v>
      </c>
      <c r="D113" s="1">
        <v>0.60399999999999998</v>
      </c>
      <c r="E113" s="1">
        <v>0.442</v>
      </c>
      <c r="F113" s="1">
        <v>0.626</v>
      </c>
      <c r="G113" s="1">
        <v>0.85699999999999998</v>
      </c>
      <c r="H113" s="1">
        <v>0.752</v>
      </c>
      <c r="I113" s="1">
        <v>0.39900000000000002</v>
      </c>
      <c r="J113" s="1">
        <v>0.623</v>
      </c>
      <c r="K113" s="1">
        <v>0.11</v>
      </c>
      <c r="L113">
        <v>16149</v>
      </c>
    </row>
    <row r="114" spans="1:12" x14ac:dyDescent="0.3">
      <c r="A114" t="s">
        <v>203</v>
      </c>
      <c r="B114" t="s">
        <v>48</v>
      </c>
      <c r="C114" s="1">
        <v>0.33500000000000002</v>
      </c>
      <c r="D114" s="1">
        <v>0.70799999999999996</v>
      </c>
      <c r="E114" s="1">
        <v>0.48799999999999999</v>
      </c>
      <c r="F114" s="1">
        <v>0.65600000000000003</v>
      </c>
      <c r="G114" s="1">
        <v>0.82799999999999996</v>
      </c>
      <c r="H114" s="1">
        <v>0.75800000000000001</v>
      </c>
      <c r="I114" s="1">
        <v>0.40899999999999997</v>
      </c>
      <c r="J114" s="1">
        <v>0.58299999999999996</v>
      </c>
      <c r="K114" s="1">
        <v>0.11799999999999999</v>
      </c>
      <c r="L114">
        <v>19309</v>
      </c>
    </row>
    <row r="115" spans="1:12" x14ac:dyDescent="0.3">
      <c r="A115" t="s">
        <v>104</v>
      </c>
      <c r="B115" t="s">
        <v>32</v>
      </c>
      <c r="C115" s="1">
        <v>0.33500000000000002</v>
      </c>
      <c r="D115" s="1">
        <v>0.64100000000000001</v>
      </c>
      <c r="E115" s="1">
        <v>0.47299999999999998</v>
      </c>
      <c r="F115" s="1">
        <v>0.55500000000000005</v>
      </c>
      <c r="G115" s="1">
        <v>0.83599999999999997</v>
      </c>
      <c r="H115" s="1">
        <v>0.72599999999999998</v>
      </c>
      <c r="I115" s="1">
        <v>0.45100000000000001</v>
      </c>
      <c r="J115" s="1">
        <v>0.627</v>
      </c>
      <c r="K115" s="1">
        <v>0.129</v>
      </c>
      <c r="L115">
        <v>4676</v>
      </c>
    </row>
    <row r="116" spans="1:12" x14ac:dyDescent="0.3">
      <c r="A116" t="s">
        <v>227</v>
      </c>
      <c r="B116" t="s">
        <v>58</v>
      </c>
      <c r="C116" s="1">
        <v>0.33500000000000002</v>
      </c>
      <c r="D116" s="1">
        <v>0.71899999999999997</v>
      </c>
      <c r="E116" s="1">
        <v>0.504</v>
      </c>
      <c r="F116" s="1">
        <v>0.63600000000000001</v>
      </c>
      <c r="G116" s="1">
        <v>0.82</v>
      </c>
      <c r="H116" s="1">
        <v>0.751</v>
      </c>
      <c r="I116" s="1">
        <v>0.439</v>
      </c>
      <c r="J116" s="1">
        <v>0.65800000000000003</v>
      </c>
      <c r="K116" s="1">
        <v>0.125</v>
      </c>
      <c r="L116">
        <v>11762</v>
      </c>
    </row>
    <row r="117" spans="1:12" x14ac:dyDescent="0.3">
      <c r="A117" t="s">
        <v>301</v>
      </c>
      <c r="B117" t="s">
        <v>56</v>
      </c>
      <c r="C117" s="1">
        <v>0.33500000000000002</v>
      </c>
      <c r="D117" s="1">
        <v>0.71799999999999997</v>
      </c>
      <c r="E117" s="1">
        <v>0.49399999999999999</v>
      </c>
      <c r="F117" s="1">
        <v>0.72599999999999998</v>
      </c>
      <c r="G117" s="1">
        <v>0.89700000000000002</v>
      </c>
      <c r="H117" s="1">
        <v>0.83</v>
      </c>
      <c r="I117" s="1">
        <v>0.41499999999999998</v>
      </c>
      <c r="J117" s="1">
        <v>0.64900000000000002</v>
      </c>
      <c r="K117" s="1">
        <v>8.4000000000000005E-2</v>
      </c>
      <c r="L117">
        <v>15846</v>
      </c>
    </row>
    <row r="118" spans="1:12" x14ac:dyDescent="0.3">
      <c r="A118" t="s">
        <v>386</v>
      </c>
      <c r="B118" t="s">
        <v>46</v>
      </c>
      <c r="C118" s="1">
        <v>0.33500000000000002</v>
      </c>
      <c r="D118" s="1">
        <v>0.69899999999999995</v>
      </c>
      <c r="E118" s="1">
        <v>0.47899999999999998</v>
      </c>
      <c r="F118" s="1">
        <v>0.67800000000000005</v>
      </c>
      <c r="G118" s="1">
        <v>0.89</v>
      </c>
      <c r="H118" s="1">
        <v>0.8</v>
      </c>
      <c r="I118" s="1">
        <v>0.39600000000000002</v>
      </c>
      <c r="J118" s="1">
        <v>0.63400000000000001</v>
      </c>
      <c r="K118" s="1">
        <v>9.6000000000000002E-2</v>
      </c>
      <c r="L118">
        <v>16256</v>
      </c>
    </row>
    <row r="119" spans="1:12" x14ac:dyDescent="0.3">
      <c r="A119" t="s">
        <v>285</v>
      </c>
      <c r="B119" t="s">
        <v>43</v>
      </c>
      <c r="C119" s="1">
        <v>0.33400000000000002</v>
      </c>
      <c r="D119" s="1">
        <v>0.69799999999999995</v>
      </c>
      <c r="E119" s="1">
        <v>0.48599999999999999</v>
      </c>
      <c r="F119" s="1">
        <v>0.70799999999999996</v>
      </c>
      <c r="G119" s="1">
        <v>0.90900000000000003</v>
      </c>
      <c r="H119" s="1">
        <v>0.82899999999999996</v>
      </c>
      <c r="I119" s="1">
        <v>0.41599999999999998</v>
      </c>
      <c r="J119" s="1">
        <v>0.60499999999999998</v>
      </c>
      <c r="K119" s="1">
        <v>8.3000000000000004E-2</v>
      </c>
      <c r="L119">
        <v>1994</v>
      </c>
    </row>
    <row r="120" spans="1:12" x14ac:dyDescent="0.3">
      <c r="A120" t="s">
        <v>192</v>
      </c>
      <c r="B120" t="s">
        <v>193</v>
      </c>
      <c r="C120" s="1">
        <v>0.33400000000000002</v>
      </c>
      <c r="D120" s="1">
        <v>0.65900000000000003</v>
      </c>
      <c r="E120" s="1">
        <v>0.47499999999999998</v>
      </c>
      <c r="F120" s="1">
        <v>0.77300000000000002</v>
      </c>
      <c r="G120" s="1">
        <v>0.874</v>
      </c>
      <c r="H120" s="1">
        <v>0.83399999999999996</v>
      </c>
      <c r="I120" s="1">
        <v>0.435</v>
      </c>
      <c r="J120" s="1">
        <v>0.65700000000000003</v>
      </c>
      <c r="K120" s="1">
        <v>7.9000000000000001E-2</v>
      </c>
      <c r="L120">
        <v>15467</v>
      </c>
    </row>
    <row r="121" spans="1:12" x14ac:dyDescent="0.3">
      <c r="A121" t="s">
        <v>332</v>
      </c>
      <c r="B121" t="s">
        <v>146</v>
      </c>
      <c r="C121" s="1">
        <v>0.33300000000000002</v>
      </c>
      <c r="D121" s="1">
        <v>0.71899999999999997</v>
      </c>
      <c r="E121" s="1">
        <v>0.51600000000000001</v>
      </c>
      <c r="F121" s="1">
        <v>0.71599999999999997</v>
      </c>
      <c r="G121" s="1">
        <v>0.90700000000000003</v>
      </c>
      <c r="H121" s="1">
        <v>0.84199999999999997</v>
      </c>
      <c r="I121" s="1">
        <v>0.47199999999999998</v>
      </c>
      <c r="J121" s="1">
        <v>0.621</v>
      </c>
      <c r="K121" s="1">
        <v>8.1000000000000003E-2</v>
      </c>
      <c r="L121">
        <v>7803</v>
      </c>
    </row>
    <row r="122" spans="1:12" x14ac:dyDescent="0.3">
      <c r="A122" t="s">
        <v>91</v>
      </c>
      <c r="B122" t="s">
        <v>89</v>
      </c>
      <c r="C122" s="1">
        <v>0.33300000000000002</v>
      </c>
      <c r="D122" s="1">
        <v>0.72</v>
      </c>
      <c r="E122" s="1">
        <v>0.48599999999999999</v>
      </c>
      <c r="F122" s="1">
        <v>0.61</v>
      </c>
      <c r="G122" s="1">
        <v>0.78700000000000003</v>
      </c>
      <c r="H122" s="1">
        <v>0.71299999999999997</v>
      </c>
      <c r="I122" s="1">
        <v>0.39600000000000002</v>
      </c>
      <c r="J122" s="1">
        <v>0.627</v>
      </c>
      <c r="K122" s="1">
        <v>0.13900000000000001</v>
      </c>
      <c r="L122">
        <v>14843</v>
      </c>
    </row>
    <row r="123" spans="1:12" x14ac:dyDescent="0.3">
      <c r="A123" t="s">
        <v>312</v>
      </c>
      <c r="B123" t="s">
        <v>40</v>
      </c>
      <c r="C123" s="1">
        <v>0.33100000000000002</v>
      </c>
      <c r="D123" s="1">
        <v>0.69599999999999995</v>
      </c>
      <c r="E123" s="1">
        <v>0.47299999999999998</v>
      </c>
      <c r="F123" s="1">
        <v>0.63200000000000001</v>
      </c>
      <c r="G123" s="1">
        <v>0.85399999999999998</v>
      </c>
      <c r="H123" s="1">
        <v>0.75900000000000001</v>
      </c>
      <c r="I123" s="1">
        <v>0.38800000000000001</v>
      </c>
      <c r="J123" s="1">
        <v>0.61299999999999999</v>
      </c>
      <c r="K123" s="1">
        <v>0.114</v>
      </c>
      <c r="L123">
        <v>404</v>
      </c>
    </row>
    <row r="124" spans="1:12" x14ac:dyDescent="0.3">
      <c r="A124" t="s">
        <v>305</v>
      </c>
      <c r="B124" t="s">
        <v>62</v>
      </c>
      <c r="C124" s="1">
        <v>0.33100000000000002</v>
      </c>
      <c r="D124" s="1">
        <v>0.68</v>
      </c>
      <c r="E124" s="1">
        <v>0.48399999999999999</v>
      </c>
      <c r="F124" s="1">
        <v>0.53200000000000003</v>
      </c>
      <c r="G124" s="1">
        <v>0.81699999999999995</v>
      </c>
      <c r="H124" s="1">
        <v>0.70799999999999996</v>
      </c>
      <c r="I124" s="1">
        <v>0.439</v>
      </c>
      <c r="J124" s="1">
        <v>0.63100000000000001</v>
      </c>
      <c r="K124" s="1">
        <v>0.14199999999999999</v>
      </c>
      <c r="L124">
        <v>15423</v>
      </c>
    </row>
    <row r="125" spans="1:12" x14ac:dyDescent="0.3">
      <c r="A125" t="s">
        <v>134</v>
      </c>
      <c r="B125" t="s">
        <v>71</v>
      </c>
      <c r="C125" s="1">
        <v>0.33100000000000002</v>
      </c>
      <c r="D125" s="1">
        <v>0.66500000000000004</v>
      </c>
      <c r="E125" s="1">
        <v>0.44</v>
      </c>
      <c r="F125" s="1">
        <v>0.68400000000000005</v>
      </c>
      <c r="G125" s="1">
        <v>0.84599999999999997</v>
      </c>
      <c r="H125" s="1">
        <v>0.76400000000000001</v>
      </c>
      <c r="I125" s="1">
        <v>0.32600000000000001</v>
      </c>
      <c r="J125" s="1">
        <v>0.48099999999999998</v>
      </c>
      <c r="K125" s="1">
        <v>0.104</v>
      </c>
      <c r="L125">
        <v>7448</v>
      </c>
    </row>
    <row r="126" spans="1:12" x14ac:dyDescent="0.3">
      <c r="A126" t="s">
        <v>157</v>
      </c>
      <c r="B126" t="s">
        <v>30</v>
      </c>
      <c r="C126" s="1">
        <v>0.33100000000000002</v>
      </c>
      <c r="D126" s="1">
        <v>0.67400000000000004</v>
      </c>
      <c r="E126" s="1">
        <v>0.48399999999999999</v>
      </c>
      <c r="F126" s="1">
        <v>0.624</v>
      </c>
      <c r="G126" s="1">
        <v>0.871</v>
      </c>
      <c r="H126" s="1">
        <v>0.77800000000000002</v>
      </c>
      <c r="I126" s="1">
        <v>0.44600000000000001</v>
      </c>
      <c r="J126" s="1">
        <v>0.65600000000000003</v>
      </c>
      <c r="K126" s="1">
        <v>0.108</v>
      </c>
      <c r="L126">
        <v>13549</v>
      </c>
    </row>
    <row r="127" spans="1:12" x14ac:dyDescent="0.3">
      <c r="A127" t="s">
        <v>144</v>
      </c>
      <c r="B127" t="s">
        <v>50</v>
      </c>
      <c r="C127" s="1">
        <v>0.33</v>
      </c>
      <c r="D127" s="1">
        <v>0.71899999999999997</v>
      </c>
      <c r="E127" s="1">
        <v>0.50600000000000001</v>
      </c>
      <c r="F127" s="1">
        <v>0.65</v>
      </c>
      <c r="G127" s="1">
        <v>0.78500000000000003</v>
      </c>
      <c r="H127" s="1">
        <v>0.73699999999999999</v>
      </c>
      <c r="I127" s="1">
        <v>0.45300000000000001</v>
      </c>
      <c r="J127" s="1">
        <v>0.66100000000000003</v>
      </c>
      <c r="K127" s="1">
        <v>0.13300000000000001</v>
      </c>
      <c r="L127">
        <v>12777</v>
      </c>
    </row>
    <row r="128" spans="1:12" x14ac:dyDescent="0.3">
      <c r="A128" t="s">
        <v>215</v>
      </c>
      <c r="B128" t="s">
        <v>48</v>
      </c>
      <c r="C128" s="1">
        <v>0.33</v>
      </c>
      <c r="D128" s="1">
        <v>0.67200000000000004</v>
      </c>
      <c r="E128" s="1">
        <v>0.47099999999999997</v>
      </c>
      <c r="F128" s="1">
        <v>0.64100000000000001</v>
      </c>
      <c r="G128" s="1">
        <v>0.88500000000000001</v>
      </c>
      <c r="H128" s="1">
        <v>0.78500000000000003</v>
      </c>
      <c r="I128" s="1">
        <v>0.41299999999999998</v>
      </c>
      <c r="J128" s="1">
        <v>0.63400000000000001</v>
      </c>
      <c r="K128" s="1">
        <v>0.10100000000000001</v>
      </c>
      <c r="L128">
        <v>7593</v>
      </c>
    </row>
    <row r="129" spans="1:12" x14ac:dyDescent="0.3">
      <c r="A129" t="s">
        <v>256</v>
      </c>
      <c r="B129" t="s">
        <v>102</v>
      </c>
      <c r="C129" s="1">
        <v>0.32900000000000001</v>
      </c>
      <c r="D129" s="1">
        <v>0.73199999999999998</v>
      </c>
      <c r="E129" s="1">
        <v>0.49299999999999999</v>
      </c>
      <c r="F129" s="1">
        <v>0.65600000000000003</v>
      </c>
      <c r="G129" s="1">
        <v>0.8</v>
      </c>
      <c r="H129" s="1">
        <v>0.74299999999999999</v>
      </c>
      <c r="I129" s="1">
        <v>0.40500000000000003</v>
      </c>
      <c r="J129" s="1">
        <v>0.59799999999999998</v>
      </c>
      <c r="K129" s="1">
        <v>0.127</v>
      </c>
      <c r="L129">
        <v>14875</v>
      </c>
    </row>
    <row r="130" spans="1:12" x14ac:dyDescent="0.3">
      <c r="A130" t="s">
        <v>289</v>
      </c>
      <c r="B130" t="s">
        <v>46</v>
      </c>
      <c r="C130" s="1">
        <v>0.32900000000000001</v>
      </c>
      <c r="D130" s="1">
        <v>0.67500000000000004</v>
      </c>
      <c r="E130" s="1">
        <v>0.49</v>
      </c>
      <c r="F130" s="1">
        <v>0.52300000000000002</v>
      </c>
      <c r="G130" s="1">
        <v>0.86299999999999999</v>
      </c>
      <c r="H130" s="1">
        <v>0.74099999999999999</v>
      </c>
      <c r="I130" s="1">
        <v>0.46600000000000003</v>
      </c>
      <c r="J130" s="1">
        <v>0.63800000000000001</v>
      </c>
      <c r="K130" s="1">
        <v>0.127</v>
      </c>
      <c r="L130">
        <v>15038</v>
      </c>
    </row>
    <row r="131" spans="1:12" x14ac:dyDescent="0.3">
      <c r="A131" t="s">
        <v>44</v>
      </c>
      <c r="B131" t="s">
        <v>40</v>
      </c>
      <c r="C131" s="1">
        <v>0.32900000000000001</v>
      </c>
      <c r="D131" s="1">
        <v>0.65500000000000003</v>
      </c>
      <c r="E131" s="1">
        <v>0.47099999999999997</v>
      </c>
      <c r="F131" s="1">
        <v>0.56799999999999995</v>
      </c>
      <c r="G131" s="1">
        <v>0.78800000000000003</v>
      </c>
      <c r="H131" s="1">
        <v>0.70199999999999996</v>
      </c>
      <c r="I131" s="1">
        <v>0.437</v>
      </c>
      <c r="J131" s="1">
        <v>0.59099999999999997</v>
      </c>
      <c r="K131" s="1">
        <v>0.14099999999999999</v>
      </c>
      <c r="L131">
        <v>10233</v>
      </c>
    </row>
    <row r="132" spans="1:12" x14ac:dyDescent="0.3">
      <c r="A132" t="s">
        <v>167</v>
      </c>
      <c r="B132" t="s">
        <v>38</v>
      </c>
      <c r="C132" s="1">
        <v>0.32700000000000001</v>
      </c>
      <c r="D132" s="1">
        <v>0.64700000000000002</v>
      </c>
      <c r="E132" s="1">
        <v>0.442</v>
      </c>
      <c r="F132" s="1">
        <v>0.47299999999999998</v>
      </c>
      <c r="G132" s="1">
        <v>0.83199999999999996</v>
      </c>
      <c r="H132" s="1">
        <v>0.66100000000000003</v>
      </c>
      <c r="I132" s="1">
        <v>0.35899999999999999</v>
      </c>
      <c r="J132" s="1">
        <v>0.58599999999999997</v>
      </c>
      <c r="K132" s="1">
        <v>0.15</v>
      </c>
      <c r="L132">
        <v>12863</v>
      </c>
    </row>
    <row r="133" spans="1:12" x14ac:dyDescent="0.3">
      <c r="A133" t="s">
        <v>329</v>
      </c>
      <c r="B133" t="s">
        <v>98</v>
      </c>
      <c r="C133" s="1">
        <v>0.32700000000000001</v>
      </c>
      <c r="D133" s="1">
        <v>0.72499999999999998</v>
      </c>
      <c r="E133" s="1">
        <v>0.48199999999999998</v>
      </c>
      <c r="F133" s="1">
        <v>0.65900000000000003</v>
      </c>
      <c r="G133" s="1">
        <v>0.89200000000000002</v>
      </c>
      <c r="H133" s="1">
        <v>0.79600000000000004</v>
      </c>
      <c r="I133" s="1">
        <v>0.39</v>
      </c>
      <c r="J133" s="1">
        <v>0.64500000000000002</v>
      </c>
      <c r="K133" s="1">
        <v>9.9000000000000005E-2</v>
      </c>
      <c r="L133">
        <v>17611</v>
      </c>
    </row>
    <row r="134" spans="1:12" x14ac:dyDescent="0.3">
      <c r="A134" t="s">
        <v>333</v>
      </c>
      <c r="B134" t="s">
        <v>62</v>
      </c>
      <c r="C134" s="1">
        <v>0.32700000000000001</v>
      </c>
      <c r="D134" s="1">
        <v>0.67200000000000004</v>
      </c>
      <c r="E134" s="1">
        <v>0.46899999999999997</v>
      </c>
      <c r="F134" s="1">
        <v>0.72499999999999998</v>
      </c>
      <c r="G134" s="1">
        <v>0.86199999999999999</v>
      </c>
      <c r="H134" s="1">
        <v>0.80600000000000005</v>
      </c>
      <c r="I134" s="1">
        <v>0.41399999999999998</v>
      </c>
      <c r="J134" s="1">
        <v>0.63</v>
      </c>
      <c r="K134" s="1">
        <v>9.0999999999999998E-2</v>
      </c>
      <c r="L134">
        <v>18790</v>
      </c>
    </row>
    <row r="135" spans="1:12" x14ac:dyDescent="0.3">
      <c r="A135" t="s">
        <v>79</v>
      </c>
      <c r="B135" t="s">
        <v>34</v>
      </c>
      <c r="C135" s="1">
        <v>0.32700000000000001</v>
      </c>
      <c r="D135" s="1">
        <v>0.73799999999999999</v>
      </c>
      <c r="E135" s="1">
        <v>0.49099999999999999</v>
      </c>
      <c r="F135" s="1">
        <v>0.69</v>
      </c>
      <c r="G135" s="1">
        <v>0.82099999999999995</v>
      </c>
      <c r="H135" s="1">
        <v>0.76900000000000002</v>
      </c>
      <c r="I135" s="1">
        <v>0.4</v>
      </c>
      <c r="J135" s="1">
        <v>0.64600000000000002</v>
      </c>
      <c r="K135" s="1">
        <v>0.114</v>
      </c>
      <c r="L135">
        <v>4020</v>
      </c>
    </row>
    <row r="136" spans="1:12" x14ac:dyDescent="0.3">
      <c r="A136" t="s">
        <v>325</v>
      </c>
      <c r="B136" t="s">
        <v>34</v>
      </c>
      <c r="C136" s="1">
        <v>0.32600000000000001</v>
      </c>
      <c r="D136" s="1">
        <v>0.68899999999999995</v>
      </c>
      <c r="E136" s="1">
        <v>0.48199999999999998</v>
      </c>
      <c r="F136" s="1">
        <v>0.57899999999999996</v>
      </c>
      <c r="G136" s="1">
        <v>0.84299999999999997</v>
      </c>
      <c r="H136" s="1">
        <v>0.74199999999999999</v>
      </c>
      <c r="I136" s="1">
        <v>0.43099999999999999</v>
      </c>
      <c r="J136" s="1">
        <v>0.64300000000000002</v>
      </c>
      <c r="K136" s="1">
        <v>0.125</v>
      </c>
      <c r="L136">
        <v>15043</v>
      </c>
    </row>
    <row r="137" spans="1:12" x14ac:dyDescent="0.3">
      <c r="A137" t="s">
        <v>147</v>
      </c>
      <c r="B137" t="s">
        <v>48</v>
      </c>
      <c r="C137" s="1">
        <v>0.32500000000000001</v>
      </c>
      <c r="D137" s="1">
        <v>0.63800000000000001</v>
      </c>
      <c r="E137" s="1">
        <v>0.45</v>
      </c>
      <c r="F137" s="1">
        <v>0.63500000000000001</v>
      </c>
      <c r="G137" s="1">
        <v>0.879</v>
      </c>
      <c r="H137" s="1">
        <v>0.77300000000000002</v>
      </c>
      <c r="I137" s="1">
        <v>0.40100000000000002</v>
      </c>
      <c r="J137" s="1">
        <v>0.57699999999999996</v>
      </c>
      <c r="K137" s="1">
        <v>0.10199999999999999</v>
      </c>
      <c r="L137">
        <v>4264</v>
      </c>
    </row>
    <row r="138" spans="1:12" x14ac:dyDescent="0.3">
      <c r="A138" t="s">
        <v>45</v>
      </c>
      <c r="B138" t="s">
        <v>46</v>
      </c>
      <c r="C138" s="1">
        <v>0.32500000000000001</v>
      </c>
      <c r="D138" s="1">
        <v>0.66300000000000003</v>
      </c>
      <c r="E138" s="1">
        <v>0.47199999999999998</v>
      </c>
      <c r="F138" s="1">
        <v>0.60599999999999998</v>
      </c>
      <c r="G138" s="1">
        <v>0.82599999999999996</v>
      </c>
      <c r="H138" s="1">
        <v>0.74</v>
      </c>
      <c r="I138" s="1">
        <v>0.434</v>
      </c>
      <c r="J138" s="1">
        <v>0.63700000000000001</v>
      </c>
      <c r="K138" s="1">
        <v>0.122</v>
      </c>
      <c r="L138">
        <v>13911</v>
      </c>
    </row>
    <row r="139" spans="1:12" x14ac:dyDescent="0.3">
      <c r="A139" t="s">
        <v>154</v>
      </c>
      <c r="B139" t="s">
        <v>28</v>
      </c>
      <c r="C139" s="1">
        <v>0.32500000000000001</v>
      </c>
      <c r="D139" s="1">
        <v>0.68899999999999995</v>
      </c>
      <c r="E139" s="1">
        <v>0.47499999999999998</v>
      </c>
      <c r="F139" s="1">
        <v>0.63700000000000001</v>
      </c>
      <c r="G139" s="1">
        <v>0.90100000000000002</v>
      </c>
      <c r="H139" s="1">
        <v>0.79400000000000004</v>
      </c>
      <c r="I139" s="1">
        <v>0.41099999999999998</v>
      </c>
      <c r="J139" s="1">
        <v>0.60299999999999998</v>
      </c>
      <c r="K139" s="1">
        <v>9.8000000000000004E-2</v>
      </c>
      <c r="L139">
        <v>2391</v>
      </c>
    </row>
    <row r="140" spans="1:12" x14ac:dyDescent="0.3">
      <c r="A140" t="s">
        <v>84</v>
      </c>
      <c r="B140" t="s">
        <v>43</v>
      </c>
      <c r="C140" s="1">
        <v>0.32500000000000001</v>
      </c>
      <c r="D140" s="1">
        <v>0.74099999999999999</v>
      </c>
      <c r="E140" s="1">
        <v>0.496</v>
      </c>
      <c r="F140" s="1">
        <v>0.52200000000000002</v>
      </c>
      <c r="G140" s="1">
        <v>0.86899999999999999</v>
      </c>
      <c r="H140" s="1">
        <v>0.73599999999999999</v>
      </c>
      <c r="I140" s="1">
        <v>0.41199999999999998</v>
      </c>
      <c r="J140" s="1">
        <v>0.56999999999999995</v>
      </c>
      <c r="K140" s="1">
        <v>0.13100000000000001</v>
      </c>
      <c r="L140">
        <v>6661</v>
      </c>
    </row>
    <row r="141" spans="1:12" x14ac:dyDescent="0.3">
      <c r="A141" t="s">
        <v>81</v>
      </c>
      <c r="B141" t="s">
        <v>50</v>
      </c>
      <c r="C141" s="1">
        <v>0.32400000000000001</v>
      </c>
      <c r="D141" s="1">
        <v>0.68500000000000005</v>
      </c>
      <c r="E141" s="1">
        <v>0.47799999999999998</v>
      </c>
      <c r="F141" s="1">
        <v>0.56499999999999995</v>
      </c>
      <c r="G141" s="1">
        <v>0.80600000000000005</v>
      </c>
      <c r="H141" s="1">
        <v>0.71299999999999997</v>
      </c>
      <c r="I141" s="1">
        <v>0.42799999999999999</v>
      </c>
      <c r="J141" s="1">
        <v>0.60399999999999998</v>
      </c>
      <c r="K141" s="1">
        <v>0.13700000000000001</v>
      </c>
      <c r="L141">
        <v>17479</v>
      </c>
    </row>
    <row r="142" spans="1:12" x14ac:dyDescent="0.3">
      <c r="A142" t="s">
        <v>348</v>
      </c>
      <c r="B142" t="s">
        <v>146</v>
      </c>
      <c r="C142" s="1">
        <v>0.32400000000000001</v>
      </c>
      <c r="D142" s="1">
        <v>0.73499999999999999</v>
      </c>
      <c r="E142" s="1">
        <v>0.499</v>
      </c>
      <c r="F142" s="1">
        <v>0.67700000000000005</v>
      </c>
      <c r="G142" s="1">
        <v>0.89800000000000002</v>
      </c>
      <c r="H142" s="1">
        <v>0.81599999999999995</v>
      </c>
      <c r="I142" s="1">
        <v>0.42599999999999999</v>
      </c>
      <c r="J142" s="1">
        <v>0.627</v>
      </c>
      <c r="K142" s="1">
        <v>9.1999999999999998E-2</v>
      </c>
      <c r="L142">
        <v>12938</v>
      </c>
    </row>
    <row r="143" spans="1:12" x14ac:dyDescent="0.3">
      <c r="A143" t="s">
        <v>341</v>
      </c>
      <c r="B143" t="s">
        <v>48</v>
      </c>
      <c r="C143" s="1">
        <v>0.32400000000000001</v>
      </c>
      <c r="D143" s="1">
        <v>0.69599999999999995</v>
      </c>
      <c r="E143" s="1">
        <v>0.47899999999999998</v>
      </c>
      <c r="F143" s="1">
        <v>0.63800000000000001</v>
      </c>
      <c r="G143" s="1">
        <v>0.82399999999999995</v>
      </c>
      <c r="H143" s="1">
        <v>0.751</v>
      </c>
      <c r="I143" s="1">
        <v>0.41699999999999998</v>
      </c>
      <c r="J143" s="1">
        <v>0.64900000000000002</v>
      </c>
      <c r="K143" s="1">
        <v>0.11899999999999999</v>
      </c>
      <c r="L143">
        <v>6627</v>
      </c>
    </row>
    <row r="144" spans="1:12" x14ac:dyDescent="0.3">
      <c r="A144" t="s">
        <v>264</v>
      </c>
      <c r="B144" t="s">
        <v>146</v>
      </c>
      <c r="C144" s="1">
        <v>0.32300000000000001</v>
      </c>
      <c r="D144" s="1">
        <v>0.72299999999999998</v>
      </c>
      <c r="E144" s="1">
        <v>0.5</v>
      </c>
      <c r="F144" s="1">
        <v>0.57399999999999995</v>
      </c>
      <c r="G144" s="1">
        <v>0.745</v>
      </c>
      <c r="H144" s="1">
        <v>0.68300000000000005</v>
      </c>
      <c r="I144" s="1">
        <v>0.442</v>
      </c>
      <c r="J144" s="1">
        <v>0.56899999999999995</v>
      </c>
      <c r="K144" s="1">
        <v>0.158</v>
      </c>
      <c r="L144">
        <v>10430</v>
      </c>
    </row>
    <row r="145" spans="1:12" x14ac:dyDescent="0.3">
      <c r="A145" t="s">
        <v>223</v>
      </c>
      <c r="B145" t="s">
        <v>71</v>
      </c>
      <c r="C145" s="1">
        <v>0.32300000000000001</v>
      </c>
      <c r="D145" s="1">
        <v>0.72499999999999998</v>
      </c>
      <c r="E145" s="1">
        <v>0.495</v>
      </c>
      <c r="F145" s="1">
        <v>0.68500000000000005</v>
      </c>
      <c r="G145" s="1">
        <v>0.83599999999999997</v>
      </c>
      <c r="H145" s="1">
        <v>0.77900000000000003</v>
      </c>
      <c r="I145" s="1">
        <v>0.42599999999999999</v>
      </c>
      <c r="J145" s="1">
        <v>0.622</v>
      </c>
      <c r="K145" s="1">
        <v>0.109</v>
      </c>
      <c r="L145">
        <v>6895</v>
      </c>
    </row>
    <row r="146" spans="1:12" x14ac:dyDescent="0.3">
      <c r="A146" t="s">
        <v>252</v>
      </c>
      <c r="B146" t="s">
        <v>48</v>
      </c>
      <c r="C146" s="1">
        <v>0.32300000000000001</v>
      </c>
      <c r="D146" s="1">
        <v>0.69</v>
      </c>
      <c r="E146" s="1">
        <v>0.48599999999999999</v>
      </c>
      <c r="F146" s="1">
        <v>0.64300000000000002</v>
      </c>
      <c r="G146" s="1">
        <v>0.82</v>
      </c>
      <c r="H146" s="1">
        <v>0.754</v>
      </c>
      <c r="I146" s="1">
        <v>0.44400000000000001</v>
      </c>
      <c r="J146" s="1">
        <v>0.58099999999999996</v>
      </c>
      <c r="K146" s="1">
        <v>0.11899999999999999</v>
      </c>
      <c r="L146">
        <v>5257</v>
      </c>
    </row>
    <row r="147" spans="1:12" x14ac:dyDescent="0.3">
      <c r="A147" t="s">
        <v>145</v>
      </c>
      <c r="B147" t="s">
        <v>146</v>
      </c>
      <c r="C147" s="1">
        <v>0.32300000000000001</v>
      </c>
      <c r="D147" s="1">
        <v>0.72</v>
      </c>
      <c r="E147" s="1">
        <v>0.47799999999999998</v>
      </c>
      <c r="F147" s="1">
        <v>0.73499999999999999</v>
      </c>
      <c r="G147" s="1">
        <v>0.83399999999999996</v>
      </c>
      <c r="H147" s="1">
        <v>0.79300000000000004</v>
      </c>
      <c r="I147" s="1">
        <v>0.38900000000000001</v>
      </c>
      <c r="J147" s="1">
        <v>0.63300000000000001</v>
      </c>
      <c r="K147" s="1">
        <v>9.9000000000000005E-2</v>
      </c>
      <c r="L147">
        <v>16269</v>
      </c>
    </row>
    <row r="148" spans="1:12" x14ac:dyDescent="0.3">
      <c r="A148" t="s">
        <v>273</v>
      </c>
      <c r="B148" t="s">
        <v>48</v>
      </c>
      <c r="C148" s="1">
        <v>0.32300000000000001</v>
      </c>
      <c r="D148" s="1">
        <v>0.628</v>
      </c>
      <c r="E148" s="1">
        <v>0.45100000000000001</v>
      </c>
      <c r="F148" s="1">
        <v>0.47399999999999998</v>
      </c>
      <c r="G148" s="1">
        <v>0.78200000000000003</v>
      </c>
      <c r="H148" s="1">
        <v>0.65400000000000003</v>
      </c>
      <c r="I148" s="1">
        <v>0.42</v>
      </c>
      <c r="J148" s="1">
        <v>0.61699999999999999</v>
      </c>
      <c r="K148" s="1">
        <v>0.16</v>
      </c>
      <c r="L148">
        <v>5003</v>
      </c>
    </row>
    <row r="149" spans="1:12" x14ac:dyDescent="0.3">
      <c r="A149" t="s">
        <v>194</v>
      </c>
      <c r="B149" t="s">
        <v>62</v>
      </c>
      <c r="C149" s="1">
        <v>0.32300000000000001</v>
      </c>
      <c r="D149" s="1">
        <v>0.622</v>
      </c>
      <c r="E149" s="1">
        <v>0.45300000000000001</v>
      </c>
      <c r="F149" s="1">
        <v>0.53700000000000003</v>
      </c>
      <c r="G149" s="1">
        <v>0.80900000000000005</v>
      </c>
      <c r="H149" s="1">
        <v>0.69899999999999995</v>
      </c>
      <c r="I149" s="1">
        <v>0.435</v>
      </c>
      <c r="J149" s="1">
        <v>0.65400000000000003</v>
      </c>
      <c r="K149" s="1">
        <v>0.13600000000000001</v>
      </c>
      <c r="L149">
        <v>12800</v>
      </c>
    </row>
    <row r="150" spans="1:12" x14ac:dyDescent="0.3">
      <c r="A150" t="s">
        <v>343</v>
      </c>
      <c r="B150" t="s">
        <v>38</v>
      </c>
      <c r="C150" s="1">
        <v>0.32200000000000001</v>
      </c>
      <c r="D150" s="1">
        <v>0.69099999999999995</v>
      </c>
      <c r="E150" s="1">
        <v>0.49</v>
      </c>
      <c r="F150" s="1">
        <v>0.75800000000000001</v>
      </c>
      <c r="G150" s="1">
        <v>0.88100000000000001</v>
      </c>
      <c r="H150" s="1">
        <v>0.83699999999999997</v>
      </c>
      <c r="I150" s="1">
        <v>0.45500000000000002</v>
      </c>
      <c r="J150" s="1">
        <v>0.67600000000000005</v>
      </c>
      <c r="K150" s="1">
        <v>0.08</v>
      </c>
      <c r="L150">
        <v>2717</v>
      </c>
    </row>
    <row r="151" spans="1:12" x14ac:dyDescent="0.3">
      <c r="A151" t="s">
        <v>304</v>
      </c>
      <c r="B151" t="s">
        <v>40</v>
      </c>
      <c r="C151" s="1">
        <v>0.32200000000000001</v>
      </c>
      <c r="D151" s="1">
        <v>0.72099999999999997</v>
      </c>
      <c r="E151" s="1">
        <v>0.47699999999999998</v>
      </c>
      <c r="F151" s="1">
        <v>0.67400000000000004</v>
      </c>
      <c r="G151" s="1">
        <v>0.86099999999999999</v>
      </c>
      <c r="H151" s="1">
        <v>0.78400000000000003</v>
      </c>
      <c r="I151" s="1">
        <v>0.38800000000000001</v>
      </c>
      <c r="J151" s="1">
        <v>0.58699999999999997</v>
      </c>
      <c r="K151" s="1">
        <v>0.10299999999999999</v>
      </c>
      <c r="L151">
        <v>7410</v>
      </c>
    </row>
    <row r="152" spans="1:12" x14ac:dyDescent="0.3">
      <c r="A152" t="s">
        <v>195</v>
      </c>
      <c r="B152" t="s">
        <v>30</v>
      </c>
      <c r="C152" s="1">
        <v>0.32100000000000001</v>
      </c>
      <c r="D152" s="1">
        <v>0.67600000000000005</v>
      </c>
      <c r="E152" s="1">
        <v>0.47</v>
      </c>
      <c r="F152" s="1">
        <v>0.60799999999999998</v>
      </c>
      <c r="G152" s="1">
        <v>0.81299999999999994</v>
      </c>
      <c r="H152" s="1">
        <v>0.73199999999999998</v>
      </c>
      <c r="I152" s="1">
        <v>0.42</v>
      </c>
      <c r="J152" s="1">
        <v>0.63200000000000001</v>
      </c>
      <c r="K152" s="1">
        <v>0.126</v>
      </c>
      <c r="L152">
        <v>11903</v>
      </c>
    </row>
    <row r="153" spans="1:12" x14ac:dyDescent="0.3">
      <c r="A153" t="s">
        <v>108</v>
      </c>
      <c r="B153" t="s">
        <v>89</v>
      </c>
      <c r="C153" s="1">
        <v>0.32100000000000001</v>
      </c>
      <c r="D153" s="1">
        <v>0.63</v>
      </c>
      <c r="E153" s="1">
        <v>0.438</v>
      </c>
      <c r="F153" s="1">
        <v>0.48699999999999999</v>
      </c>
      <c r="G153" s="1">
        <v>0.747</v>
      </c>
      <c r="H153" s="1">
        <v>0.629</v>
      </c>
      <c r="I153" s="1">
        <v>0.378</v>
      </c>
      <c r="J153" s="1">
        <v>0.626</v>
      </c>
      <c r="K153" s="1">
        <v>0.16300000000000001</v>
      </c>
      <c r="L153">
        <v>14375</v>
      </c>
    </row>
    <row r="154" spans="1:12" x14ac:dyDescent="0.3">
      <c r="A154" t="s">
        <v>239</v>
      </c>
      <c r="B154" t="s">
        <v>36</v>
      </c>
      <c r="C154" s="1">
        <v>0.32100000000000001</v>
      </c>
      <c r="D154" s="1">
        <v>0.72499999999999998</v>
      </c>
      <c r="E154" s="1">
        <v>0.48799999999999999</v>
      </c>
      <c r="F154" s="1">
        <v>0.68</v>
      </c>
      <c r="G154" s="1">
        <v>0.88500000000000001</v>
      </c>
      <c r="H154" s="1">
        <v>0.80600000000000005</v>
      </c>
      <c r="I154" s="1">
        <v>0.41499999999999998</v>
      </c>
      <c r="J154" s="1">
        <v>0.59099999999999997</v>
      </c>
      <c r="K154" s="1">
        <v>9.5000000000000001E-2</v>
      </c>
      <c r="L154">
        <v>18318</v>
      </c>
    </row>
    <row r="155" spans="1:12" x14ac:dyDescent="0.3">
      <c r="A155" t="s">
        <v>115</v>
      </c>
      <c r="B155" t="s">
        <v>26</v>
      </c>
      <c r="C155" s="1">
        <v>0.32</v>
      </c>
      <c r="D155" s="1">
        <v>0.66900000000000004</v>
      </c>
      <c r="E155" s="1">
        <v>0.45300000000000001</v>
      </c>
      <c r="F155" s="1">
        <v>0.67300000000000004</v>
      </c>
      <c r="G155" s="1">
        <v>0.89300000000000002</v>
      </c>
      <c r="H155" s="1">
        <v>0.79700000000000004</v>
      </c>
      <c r="I155" s="1">
        <v>0.38100000000000001</v>
      </c>
      <c r="J155" s="1">
        <v>0.64900000000000002</v>
      </c>
      <c r="K155" s="1">
        <v>9.1999999999999998E-2</v>
      </c>
      <c r="L155">
        <v>7274</v>
      </c>
    </row>
    <row r="156" spans="1:12" x14ac:dyDescent="0.3">
      <c r="A156" t="s">
        <v>265</v>
      </c>
      <c r="B156" t="s">
        <v>48</v>
      </c>
      <c r="C156" s="1">
        <v>0.32</v>
      </c>
      <c r="D156" s="1">
        <v>0.70499999999999996</v>
      </c>
      <c r="E156" s="1">
        <v>0.48399999999999999</v>
      </c>
      <c r="F156" s="1">
        <v>0.63800000000000001</v>
      </c>
      <c r="G156" s="1">
        <v>0.86199999999999999</v>
      </c>
      <c r="H156" s="1">
        <v>0.77700000000000002</v>
      </c>
      <c r="I156" s="1">
        <v>0.42599999999999999</v>
      </c>
      <c r="J156" s="1">
        <v>0.63600000000000001</v>
      </c>
      <c r="K156" s="1">
        <v>0.108</v>
      </c>
      <c r="L156">
        <v>8362</v>
      </c>
    </row>
    <row r="157" spans="1:12" x14ac:dyDescent="0.3">
      <c r="A157" t="s">
        <v>314</v>
      </c>
      <c r="B157" t="s">
        <v>102</v>
      </c>
      <c r="C157" s="1">
        <v>0.32</v>
      </c>
      <c r="D157" s="1">
        <v>0.68899999999999995</v>
      </c>
      <c r="E157" s="1">
        <v>0.48299999999999998</v>
      </c>
      <c r="F157" s="1">
        <v>0.66900000000000004</v>
      </c>
      <c r="G157" s="1">
        <v>0.81399999999999995</v>
      </c>
      <c r="H157" s="1">
        <v>0.76</v>
      </c>
      <c r="I157" s="1">
        <v>0.443</v>
      </c>
      <c r="J157" s="1">
        <v>0.65200000000000002</v>
      </c>
      <c r="K157" s="1">
        <v>0.11600000000000001</v>
      </c>
      <c r="L157">
        <v>16933</v>
      </c>
    </row>
    <row r="158" spans="1:12" x14ac:dyDescent="0.3">
      <c r="A158" t="s">
        <v>133</v>
      </c>
      <c r="B158" t="s">
        <v>53</v>
      </c>
      <c r="C158" s="1">
        <v>0.32</v>
      </c>
      <c r="D158" s="1">
        <v>0.64200000000000002</v>
      </c>
      <c r="E158" s="1">
        <v>0.45700000000000002</v>
      </c>
      <c r="F158" s="1">
        <v>0.61899999999999999</v>
      </c>
      <c r="G158" s="1">
        <v>0.876</v>
      </c>
      <c r="H158" s="1">
        <v>0.77300000000000002</v>
      </c>
      <c r="I158" s="1">
        <v>0.42699999999999999</v>
      </c>
      <c r="J158" s="1">
        <v>0.68600000000000005</v>
      </c>
      <c r="K158" s="1">
        <v>0.104</v>
      </c>
      <c r="L158">
        <v>13273</v>
      </c>
    </row>
    <row r="159" spans="1:12" x14ac:dyDescent="0.3">
      <c r="A159" t="s">
        <v>355</v>
      </c>
      <c r="B159" t="s">
        <v>193</v>
      </c>
      <c r="C159" s="1">
        <v>0.32</v>
      </c>
      <c r="D159" s="1">
        <v>0.68300000000000005</v>
      </c>
      <c r="E159" s="1">
        <v>0.46899999999999997</v>
      </c>
      <c r="F159" s="1">
        <v>0.68799999999999994</v>
      </c>
      <c r="G159" s="1">
        <v>0.86299999999999999</v>
      </c>
      <c r="H159" s="1">
        <v>0.79300000000000004</v>
      </c>
      <c r="I159" s="1">
        <v>0.41</v>
      </c>
      <c r="J159" s="1">
        <v>0.67300000000000004</v>
      </c>
      <c r="K159" s="1">
        <v>9.7000000000000003E-2</v>
      </c>
      <c r="L159">
        <v>5221</v>
      </c>
    </row>
    <row r="160" spans="1:12" x14ac:dyDescent="0.3">
      <c r="A160" t="s">
        <v>283</v>
      </c>
      <c r="B160" t="s">
        <v>26</v>
      </c>
      <c r="C160" s="1">
        <v>0.32</v>
      </c>
      <c r="D160" s="1">
        <v>0.69499999999999995</v>
      </c>
      <c r="E160" s="1">
        <v>0.505</v>
      </c>
      <c r="F160" s="1">
        <v>0.67200000000000004</v>
      </c>
      <c r="G160" s="1">
        <v>0.84</v>
      </c>
      <c r="H160" s="1">
        <v>0.78600000000000003</v>
      </c>
      <c r="I160" s="1">
        <v>0.49299999999999999</v>
      </c>
      <c r="J160" s="1">
        <v>0.67600000000000005</v>
      </c>
      <c r="K160" s="1">
        <v>0.108</v>
      </c>
      <c r="L160">
        <v>13799</v>
      </c>
    </row>
    <row r="161" spans="1:12" x14ac:dyDescent="0.3">
      <c r="A161" t="s">
        <v>142</v>
      </c>
      <c r="B161" t="s">
        <v>143</v>
      </c>
      <c r="C161" s="1">
        <v>0.31900000000000001</v>
      </c>
      <c r="D161" s="1">
        <v>0.68500000000000005</v>
      </c>
      <c r="E161" s="1">
        <v>0.47599999999999998</v>
      </c>
      <c r="F161" s="1">
        <v>0.66900000000000004</v>
      </c>
      <c r="G161" s="1">
        <v>0.81499999999999995</v>
      </c>
      <c r="H161" s="1">
        <v>0.75900000000000001</v>
      </c>
      <c r="I161" s="1">
        <v>0.42899999999999999</v>
      </c>
      <c r="J161" s="1">
        <v>0.61099999999999999</v>
      </c>
      <c r="K161" s="1">
        <v>0.115</v>
      </c>
      <c r="L161">
        <v>10021</v>
      </c>
    </row>
    <row r="162" spans="1:12" x14ac:dyDescent="0.3">
      <c r="A162" t="s">
        <v>267</v>
      </c>
      <c r="B162" t="s">
        <v>62</v>
      </c>
      <c r="C162" s="1">
        <v>0.31900000000000001</v>
      </c>
      <c r="D162" s="1">
        <v>0.66700000000000004</v>
      </c>
      <c r="E162" s="1">
        <v>0.45200000000000001</v>
      </c>
      <c r="F162" s="1">
        <v>0.503</v>
      </c>
      <c r="G162" s="1">
        <v>0.84299999999999997</v>
      </c>
      <c r="H162" s="1">
        <v>0.69499999999999995</v>
      </c>
      <c r="I162" s="1">
        <v>0.38300000000000001</v>
      </c>
      <c r="J162" s="1">
        <v>0.57799999999999996</v>
      </c>
      <c r="K162" s="1">
        <v>0.13800000000000001</v>
      </c>
      <c r="L162">
        <v>19867</v>
      </c>
    </row>
    <row r="163" spans="1:12" x14ac:dyDescent="0.3">
      <c r="A163" t="s">
        <v>41</v>
      </c>
      <c r="B163" t="s">
        <v>40</v>
      </c>
      <c r="C163" s="1">
        <v>0.31900000000000001</v>
      </c>
      <c r="D163" s="1">
        <v>0.59399999999999997</v>
      </c>
      <c r="E163" s="1">
        <v>0.41799999999999998</v>
      </c>
      <c r="F163" s="1">
        <v>0.61799999999999999</v>
      </c>
      <c r="G163" s="1">
        <v>0.86399999999999999</v>
      </c>
      <c r="H163" s="1">
        <v>0.74399999999999999</v>
      </c>
      <c r="I163" s="1">
        <v>0.35899999999999999</v>
      </c>
      <c r="J163" s="1">
        <v>0.55900000000000005</v>
      </c>
      <c r="K163" s="1">
        <v>0.107</v>
      </c>
      <c r="L163">
        <v>3240</v>
      </c>
    </row>
    <row r="164" spans="1:12" x14ac:dyDescent="0.3">
      <c r="A164" t="s">
        <v>129</v>
      </c>
      <c r="B164" t="s">
        <v>43</v>
      </c>
      <c r="C164" s="1">
        <v>0.31900000000000001</v>
      </c>
      <c r="D164" s="1">
        <v>0.69099999999999995</v>
      </c>
      <c r="E164" s="1">
        <v>0.49399999999999999</v>
      </c>
      <c r="F164" s="1">
        <v>0.54600000000000004</v>
      </c>
      <c r="G164" s="1">
        <v>0.77300000000000002</v>
      </c>
      <c r="H164" s="1">
        <v>0.69599999999999995</v>
      </c>
      <c r="I164" s="1">
        <v>0.47199999999999998</v>
      </c>
      <c r="J164" s="1">
        <v>0.621</v>
      </c>
      <c r="K164" s="1">
        <v>0.15</v>
      </c>
      <c r="L164">
        <v>15474</v>
      </c>
    </row>
    <row r="165" spans="1:12" x14ac:dyDescent="0.3">
      <c r="A165" t="s">
        <v>342</v>
      </c>
      <c r="B165" t="s">
        <v>93</v>
      </c>
      <c r="C165" s="1">
        <v>0.31900000000000001</v>
      </c>
      <c r="D165" s="1">
        <v>0.70799999999999996</v>
      </c>
      <c r="E165" s="1">
        <v>0.47</v>
      </c>
      <c r="F165" s="1">
        <v>0.68899999999999995</v>
      </c>
      <c r="G165" s="1">
        <v>0.84</v>
      </c>
      <c r="H165" s="1">
        <v>0.77800000000000002</v>
      </c>
      <c r="I165" s="1">
        <v>0.38800000000000001</v>
      </c>
      <c r="J165" s="1">
        <v>0.59299999999999997</v>
      </c>
      <c r="K165" s="1">
        <v>0.105</v>
      </c>
      <c r="L165">
        <v>12972</v>
      </c>
    </row>
    <row r="166" spans="1:12" x14ac:dyDescent="0.3">
      <c r="A166" t="s">
        <v>198</v>
      </c>
      <c r="B166" t="s">
        <v>75</v>
      </c>
      <c r="C166" s="1">
        <v>0.31900000000000001</v>
      </c>
      <c r="D166" s="1">
        <v>0.67500000000000004</v>
      </c>
      <c r="E166" s="1">
        <v>0.46800000000000003</v>
      </c>
      <c r="F166" s="1">
        <v>0.59</v>
      </c>
      <c r="G166" s="1">
        <v>0.86299999999999999</v>
      </c>
      <c r="H166" s="1">
        <v>0.755</v>
      </c>
      <c r="I166" s="1">
        <v>0.41799999999999998</v>
      </c>
      <c r="J166" s="1">
        <v>0.63700000000000001</v>
      </c>
      <c r="K166" s="1">
        <v>0.115</v>
      </c>
      <c r="L166">
        <v>13743</v>
      </c>
    </row>
    <row r="167" spans="1:12" x14ac:dyDescent="0.3">
      <c r="A167" t="s">
        <v>367</v>
      </c>
      <c r="B167" t="s">
        <v>48</v>
      </c>
      <c r="C167" s="1">
        <v>0.31900000000000001</v>
      </c>
      <c r="D167" s="1">
        <v>0.67</v>
      </c>
      <c r="E167" s="1">
        <v>0.45900000000000002</v>
      </c>
      <c r="F167" s="1">
        <v>0.61599999999999999</v>
      </c>
      <c r="G167" s="1">
        <v>0.89800000000000002</v>
      </c>
      <c r="H167" s="1">
        <v>0.78</v>
      </c>
      <c r="I167" s="1">
        <v>0.39800000000000002</v>
      </c>
      <c r="J167" s="1">
        <v>0.60899999999999999</v>
      </c>
      <c r="K167" s="1">
        <v>0.10100000000000001</v>
      </c>
      <c r="L167">
        <v>14862</v>
      </c>
    </row>
    <row r="168" spans="1:12" x14ac:dyDescent="0.3">
      <c r="A168" t="s">
        <v>375</v>
      </c>
      <c r="B168" t="s">
        <v>36</v>
      </c>
      <c r="C168" s="1">
        <v>0.318</v>
      </c>
      <c r="D168" s="1">
        <v>0.69899999999999995</v>
      </c>
      <c r="E168" s="1">
        <v>0.46899999999999997</v>
      </c>
      <c r="F168" s="1">
        <v>0.74</v>
      </c>
      <c r="G168" s="1">
        <v>0.78600000000000003</v>
      </c>
      <c r="H168" s="1">
        <v>0.76700000000000002</v>
      </c>
      <c r="I168" s="1">
        <v>0.39400000000000002</v>
      </c>
      <c r="J168" s="1">
        <v>0.58499999999999996</v>
      </c>
      <c r="K168" s="1">
        <v>0.109</v>
      </c>
      <c r="L168">
        <v>17281</v>
      </c>
    </row>
    <row r="169" spans="1:12" x14ac:dyDescent="0.3">
      <c r="A169" t="s">
        <v>135</v>
      </c>
      <c r="B169" t="s">
        <v>66</v>
      </c>
      <c r="C169" s="1">
        <v>0.318</v>
      </c>
      <c r="D169" s="1">
        <v>0.72699999999999998</v>
      </c>
      <c r="E169" s="1">
        <v>0.48899999999999999</v>
      </c>
      <c r="F169" s="1">
        <v>0.66100000000000003</v>
      </c>
      <c r="G169" s="1">
        <v>0.78700000000000003</v>
      </c>
      <c r="H169" s="1">
        <v>0.74</v>
      </c>
      <c r="I169" s="1">
        <v>0.41799999999999998</v>
      </c>
      <c r="J169" s="1">
        <v>0.58399999999999996</v>
      </c>
      <c r="K169" s="1">
        <v>0.127</v>
      </c>
      <c r="L169">
        <v>6397</v>
      </c>
    </row>
    <row r="170" spans="1:12" x14ac:dyDescent="0.3">
      <c r="A170" t="s">
        <v>132</v>
      </c>
      <c r="B170" t="s">
        <v>30</v>
      </c>
      <c r="C170" s="1">
        <v>0.318</v>
      </c>
      <c r="D170" s="1">
        <v>0.69299999999999995</v>
      </c>
      <c r="E170" s="1">
        <v>0.47099999999999997</v>
      </c>
      <c r="F170" s="1">
        <v>0.55400000000000005</v>
      </c>
      <c r="G170" s="1">
        <v>0.81599999999999995</v>
      </c>
      <c r="H170" s="1">
        <v>0.71199999999999997</v>
      </c>
      <c r="I170" s="1">
        <v>0.40899999999999997</v>
      </c>
      <c r="J170" s="1">
        <v>0.60499999999999998</v>
      </c>
      <c r="K170" s="1">
        <v>0.13600000000000001</v>
      </c>
      <c r="L170">
        <v>3201</v>
      </c>
    </row>
    <row r="171" spans="1:12" x14ac:dyDescent="0.3">
      <c r="A171" t="s">
        <v>322</v>
      </c>
      <c r="B171" t="s">
        <v>30</v>
      </c>
      <c r="C171" s="1">
        <v>0.318</v>
      </c>
      <c r="D171" s="1">
        <v>0.65100000000000002</v>
      </c>
      <c r="E171" s="1">
        <v>0.45600000000000002</v>
      </c>
      <c r="F171" s="1">
        <v>0.57499999999999996</v>
      </c>
      <c r="G171" s="1">
        <v>0.81399999999999995</v>
      </c>
      <c r="H171" s="1">
        <v>0.71699999999999997</v>
      </c>
      <c r="I171" s="1">
        <v>0.41399999999999998</v>
      </c>
      <c r="J171" s="1">
        <v>0.61399999999999999</v>
      </c>
      <c r="K171" s="1">
        <v>0.129</v>
      </c>
      <c r="L171">
        <v>6345</v>
      </c>
    </row>
    <row r="172" spans="1:12" x14ac:dyDescent="0.3">
      <c r="A172" t="s">
        <v>183</v>
      </c>
      <c r="B172" t="s">
        <v>89</v>
      </c>
      <c r="C172" s="1">
        <v>0.318</v>
      </c>
      <c r="D172" s="1">
        <v>0.69599999999999995</v>
      </c>
      <c r="E172" s="1">
        <v>0.47899999999999998</v>
      </c>
      <c r="F172" s="1">
        <v>0.621</v>
      </c>
      <c r="G172" s="1">
        <v>0.89100000000000001</v>
      </c>
      <c r="H172" s="1">
        <v>0.78900000000000003</v>
      </c>
      <c r="I172" s="1">
        <v>0.42699999999999999</v>
      </c>
      <c r="J172" s="1">
        <v>0.61199999999999999</v>
      </c>
      <c r="K172" s="1">
        <v>0.10100000000000001</v>
      </c>
      <c r="L172">
        <v>13050</v>
      </c>
    </row>
    <row r="173" spans="1:12" x14ac:dyDescent="0.3">
      <c r="A173" t="s">
        <v>136</v>
      </c>
      <c r="B173" t="s">
        <v>98</v>
      </c>
      <c r="C173" s="1">
        <v>0.317</v>
      </c>
      <c r="D173" s="1">
        <v>0.65900000000000003</v>
      </c>
      <c r="E173" s="1">
        <v>0.45400000000000001</v>
      </c>
      <c r="F173" s="1">
        <v>0.66500000000000004</v>
      </c>
      <c r="G173" s="1">
        <v>0.875</v>
      </c>
      <c r="H173" s="1">
        <v>0.78700000000000003</v>
      </c>
      <c r="I173" s="1">
        <v>0.39800000000000002</v>
      </c>
      <c r="J173" s="1">
        <v>0.60299999999999998</v>
      </c>
      <c r="K173" s="1">
        <v>9.7000000000000003E-2</v>
      </c>
      <c r="L173">
        <v>12918</v>
      </c>
    </row>
    <row r="174" spans="1:12" x14ac:dyDescent="0.3">
      <c r="A174" t="s">
        <v>328</v>
      </c>
      <c r="B174" t="s">
        <v>71</v>
      </c>
      <c r="C174" s="1">
        <v>0.317</v>
      </c>
      <c r="D174" s="1">
        <v>0.70799999999999996</v>
      </c>
      <c r="E174" s="1">
        <v>0.49099999999999999</v>
      </c>
      <c r="F174" s="1">
        <v>0.65100000000000002</v>
      </c>
      <c r="G174" s="1">
        <v>0.78200000000000003</v>
      </c>
      <c r="H174" s="1">
        <v>0.73499999999999999</v>
      </c>
      <c r="I174" s="1">
        <v>0.44600000000000001</v>
      </c>
      <c r="J174" s="1">
        <v>0.62</v>
      </c>
      <c r="K174" s="1">
        <v>0.13</v>
      </c>
      <c r="L174">
        <v>18679</v>
      </c>
    </row>
    <row r="175" spans="1:12" x14ac:dyDescent="0.3">
      <c r="A175" t="s">
        <v>237</v>
      </c>
      <c r="B175" t="s">
        <v>62</v>
      </c>
      <c r="C175" s="1">
        <v>0.317</v>
      </c>
      <c r="D175" s="1">
        <v>0.64800000000000002</v>
      </c>
      <c r="E175" s="1">
        <v>0.44800000000000001</v>
      </c>
      <c r="F175" s="1">
        <v>0.53</v>
      </c>
      <c r="G175" s="1">
        <v>0.86599999999999999</v>
      </c>
      <c r="H175" s="1">
        <v>0.72199999999999998</v>
      </c>
      <c r="I175" s="1">
        <v>0.39400000000000002</v>
      </c>
      <c r="J175" s="1">
        <v>0.55800000000000005</v>
      </c>
      <c r="K175" s="1">
        <v>0.124</v>
      </c>
      <c r="L175">
        <v>6984</v>
      </c>
    </row>
    <row r="176" spans="1:12" x14ac:dyDescent="0.3">
      <c r="A176" t="s">
        <v>214</v>
      </c>
      <c r="B176" t="s">
        <v>95</v>
      </c>
      <c r="C176" s="1">
        <v>0.317</v>
      </c>
      <c r="D176" s="1">
        <v>0.67700000000000005</v>
      </c>
      <c r="E176" s="1">
        <v>0.47499999999999998</v>
      </c>
      <c r="F176" s="1">
        <v>0.71199999999999997</v>
      </c>
      <c r="G176" s="1">
        <v>0.86899999999999999</v>
      </c>
      <c r="H176" s="1">
        <v>0.81</v>
      </c>
      <c r="I176" s="1">
        <v>0.438</v>
      </c>
      <c r="J176" s="1">
        <v>0.68200000000000005</v>
      </c>
      <c r="K176" s="1">
        <v>0.09</v>
      </c>
      <c r="L176">
        <v>13774</v>
      </c>
    </row>
    <row r="177" spans="1:12" x14ac:dyDescent="0.3">
      <c r="A177" t="s">
        <v>266</v>
      </c>
      <c r="B177" t="s">
        <v>62</v>
      </c>
      <c r="C177" s="1">
        <v>0.317</v>
      </c>
      <c r="D177" s="1">
        <v>0.63200000000000001</v>
      </c>
      <c r="E177" s="1">
        <v>0.44800000000000001</v>
      </c>
      <c r="F177" s="1">
        <v>0.51</v>
      </c>
      <c r="G177" s="1">
        <v>0.86</v>
      </c>
      <c r="H177" s="1">
        <v>0.71599999999999997</v>
      </c>
      <c r="I177" s="1">
        <v>0.41699999999999998</v>
      </c>
      <c r="J177" s="1">
        <v>0.57999999999999996</v>
      </c>
      <c r="K177" s="1">
        <v>0.127</v>
      </c>
      <c r="L177">
        <v>13403</v>
      </c>
    </row>
    <row r="178" spans="1:12" x14ac:dyDescent="0.3">
      <c r="A178" t="s">
        <v>188</v>
      </c>
      <c r="B178" t="s">
        <v>48</v>
      </c>
      <c r="C178" s="1">
        <v>0.317</v>
      </c>
      <c r="D178" s="1">
        <v>0.73399999999999999</v>
      </c>
      <c r="E178" s="1">
        <v>0.47799999999999998</v>
      </c>
      <c r="F178" s="1">
        <v>0.49199999999999999</v>
      </c>
      <c r="G178" s="1">
        <v>0.80500000000000005</v>
      </c>
      <c r="H178" s="1">
        <v>0.67800000000000005</v>
      </c>
      <c r="I178" s="1">
        <v>0.38800000000000001</v>
      </c>
      <c r="J178" s="1">
        <v>0.58399999999999996</v>
      </c>
      <c r="K178" s="1">
        <v>0.154</v>
      </c>
      <c r="L178">
        <v>15947</v>
      </c>
    </row>
    <row r="179" spans="1:12" x14ac:dyDescent="0.3">
      <c r="A179" t="s">
        <v>313</v>
      </c>
      <c r="B179" t="s">
        <v>71</v>
      </c>
      <c r="C179" s="1">
        <v>0.316</v>
      </c>
      <c r="D179" s="1">
        <v>0.70799999999999996</v>
      </c>
      <c r="E179" s="1">
        <v>0.48</v>
      </c>
      <c r="F179" s="1">
        <v>0.65800000000000003</v>
      </c>
      <c r="G179" s="1">
        <v>0.89200000000000002</v>
      </c>
      <c r="H179" s="1">
        <v>0.80300000000000005</v>
      </c>
      <c r="I179" s="1">
        <v>0.41799999999999998</v>
      </c>
      <c r="J179" s="1">
        <v>0.61799999999999999</v>
      </c>
      <c r="K179" s="1">
        <v>9.5000000000000001E-2</v>
      </c>
      <c r="L179">
        <v>9490</v>
      </c>
    </row>
    <row r="180" spans="1:12" x14ac:dyDescent="0.3">
      <c r="A180" t="s">
        <v>316</v>
      </c>
      <c r="B180" t="s">
        <v>102</v>
      </c>
      <c r="C180" s="1">
        <v>0.315</v>
      </c>
      <c r="D180" s="1">
        <v>0.69399999999999995</v>
      </c>
      <c r="E180" s="1">
        <v>0.48299999999999998</v>
      </c>
      <c r="F180" s="1">
        <v>0.66500000000000004</v>
      </c>
      <c r="G180" s="1">
        <v>0.85699999999999998</v>
      </c>
      <c r="H180" s="1">
        <v>0.78700000000000003</v>
      </c>
      <c r="I180" s="1">
        <v>0.442</v>
      </c>
      <c r="J180" s="1">
        <v>0.55700000000000005</v>
      </c>
      <c r="K180" s="1">
        <v>0.10299999999999999</v>
      </c>
      <c r="L180">
        <v>17085</v>
      </c>
    </row>
    <row r="181" spans="1:12" x14ac:dyDescent="0.3">
      <c r="A181" t="s">
        <v>234</v>
      </c>
      <c r="B181" t="s">
        <v>98</v>
      </c>
      <c r="C181" s="1">
        <v>0.315</v>
      </c>
      <c r="D181" s="1">
        <v>0.66400000000000003</v>
      </c>
      <c r="E181" s="1">
        <v>0.44900000000000001</v>
      </c>
      <c r="F181" s="1">
        <v>0.56299999999999994</v>
      </c>
      <c r="G181" s="1">
        <v>0.79800000000000004</v>
      </c>
      <c r="H181" s="1">
        <v>0.69599999999999995</v>
      </c>
      <c r="I181" s="1">
        <v>0.38400000000000001</v>
      </c>
      <c r="J181" s="1">
        <v>0.59399999999999997</v>
      </c>
      <c r="K181" s="1">
        <v>0.13600000000000001</v>
      </c>
      <c r="L181">
        <v>11486</v>
      </c>
    </row>
    <row r="182" spans="1:12" x14ac:dyDescent="0.3">
      <c r="A182" t="s">
        <v>80</v>
      </c>
      <c r="B182" t="s">
        <v>56</v>
      </c>
      <c r="C182" s="1">
        <v>0.315</v>
      </c>
      <c r="D182" s="1">
        <v>0.66</v>
      </c>
      <c r="E182" s="1">
        <v>0.45600000000000002</v>
      </c>
      <c r="F182" s="1">
        <v>0.53</v>
      </c>
      <c r="G182" s="1">
        <v>0.76100000000000001</v>
      </c>
      <c r="H182" s="1">
        <v>0.66700000000000004</v>
      </c>
      <c r="I182" s="1">
        <v>0.41</v>
      </c>
      <c r="J182" s="1">
        <v>0.65900000000000003</v>
      </c>
      <c r="K182" s="1">
        <v>0.152</v>
      </c>
      <c r="L182">
        <v>12808</v>
      </c>
    </row>
    <row r="183" spans="1:12" x14ac:dyDescent="0.3">
      <c r="A183" t="s">
        <v>331</v>
      </c>
      <c r="B183" t="s">
        <v>26</v>
      </c>
      <c r="C183" s="1">
        <v>0.315</v>
      </c>
      <c r="D183" s="1">
        <v>0.71399999999999997</v>
      </c>
      <c r="E183" s="1">
        <v>0.47799999999999998</v>
      </c>
      <c r="F183" s="1">
        <v>0.64800000000000002</v>
      </c>
      <c r="G183" s="1">
        <v>0.875</v>
      </c>
      <c r="H183" s="1">
        <v>0.78600000000000003</v>
      </c>
      <c r="I183" s="1">
        <v>0.40799999999999997</v>
      </c>
      <c r="J183" s="1">
        <v>0.64500000000000002</v>
      </c>
      <c r="K183" s="1">
        <v>0.10199999999999999</v>
      </c>
      <c r="L183">
        <v>10354</v>
      </c>
    </row>
    <row r="184" spans="1:12" x14ac:dyDescent="0.3">
      <c r="A184" t="s">
        <v>208</v>
      </c>
      <c r="B184" t="s">
        <v>26</v>
      </c>
      <c r="C184" s="1">
        <v>0.315</v>
      </c>
      <c r="D184" s="1">
        <v>0.65300000000000002</v>
      </c>
      <c r="E184" s="1">
        <v>0.46100000000000002</v>
      </c>
      <c r="F184" s="1">
        <v>0.443</v>
      </c>
      <c r="G184" s="1">
        <v>0.85599999999999998</v>
      </c>
      <c r="H184" s="1">
        <v>0.69499999999999995</v>
      </c>
      <c r="I184" s="1">
        <v>0.43099999999999999</v>
      </c>
      <c r="J184" s="1">
        <v>0.60099999999999998</v>
      </c>
      <c r="K184" s="1">
        <v>0.14000000000000001</v>
      </c>
      <c r="L184">
        <v>17186</v>
      </c>
    </row>
    <row r="185" spans="1:12" x14ac:dyDescent="0.3">
      <c r="A185" t="s">
        <v>275</v>
      </c>
      <c r="B185" t="s">
        <v>43</v>
      </c>
      <c r="C185" s="1">
        <v>0.315</v>
      </c>
      <c r="D185" s="1">
        <v>0.69699999999999995</v>
      </c>
      <c r="E185" s="1">
        <v>0.48399999999999999</v>
      </c>
      <c r="F185" s="1">
        <v>0.55400000000000005</v>
      </c>
      <c r="G185" s="1">
        <v>0.84699999999999998</v>
      </c>
      <c r="H185" s="1">
        <v>0.74099999999999999</v>
      </c>
      <c r="I185" s="1">
        <v>0.44400000000000001</v>
      </c>
      <c r="J185" s="1">
        <v>0.64300000000000002</v>
      </c>
      <c r="K185" s="1">
        <v>0.125</v>
      </c>
      <c r="L185">
        <v>11528</v>
      </c>
    </row>
    <row r="186" spans="1:12" x14ac:dyDescent="0.3">
      <c r="A186" t="s">
        <v>269</v>
      </c>
      <c r="B186" t="s">
        <v>36</v>
      </c>
      <c r="C186" s="1">
        <v>0.314</v>
      </c>
      <c r="D186" s="1">
        <v>0.623</v>
      </c>
      <c r="E186" s="1">
        <v>0.44800000000000001</v>
      </c>
      <c r="F186" s="1">
        <v>0.55300000000000005</v>
      </c>
      <c r="G186" s="1">
        <v>0.86499999999999999</v>
      </c>
      <c r="H186" s="1">
        <v>0.74</v>
      </c>
      <c r="I186" s="1">
        <v>0.432</v>
      </c>
      <c r="J186" s="1">
        <v>0.66300000000000003</v>
      </c>
      <c r="K186" s="1">
        <v>0.11600000000000001</v>
      </c>
      <c r="L186">
        <v>12778</v>
      </c>
    </row>
    <row r="187" spans="1:12" x14ac:dyDescent="0.3">
      <c r="A187" t="s">
        <v>366</v>
      </c>
      <c r="B187" t="s">
        <v>62</v>
      </c>
      <c r="C187" s="1">
        <v>0.314</v>
      </c>
      <c r="D187" s="1">
        <v>0.69199999999999995</v>
      </c>
      <c r="E187" s="1">
        <v>0.46200000000000002</v>
      </c>
      <c r="F187" s="1">
        <v>0.63800000000000001</v>
      </c>
      <c r="G187" s="1">
        <v>0.81799999999999995</v>
      </c>
      <c r="H187" s="1">
        <v>0.74299999999999999</v>
      </c>
      <c r="I187" s="1">
        <v>0.39200000000000002</v>
      </c>
      <c r="J187" s="1">
        <v>0.58399999999999996</v>
      </c>
      <c r="K187" s="1">
        <v>0.11899999999999999</v>
      </c>
      <c r="L187">
        <v>11964</v>
      </c>
    </row>
    <row r="188" spans="1:12" x14ac:dyDescent="0.3">
      <c r="A188" t="s">
        <v>363</v>
      </c>
      <c r="B188" t="s">
        <v>143</v>
      </c>
      <c r="C188" s="1">
        <v>0.314</v>
      </c>
      <c r="D188" s="1">
        <v>0.73099999999999998</v>
      </c>
      <c r="E188" s="1">
        <v>0.49099999999999999</v>
      </c>
      <c r="F188" s="1">
        <v>0.63200000000000001</v>
      </c>
      <c r="G188" s="1">
        <v>0.90800000000000003</v>
      </c>
      <c r="H188" s="1">
        <v>0.80700000000000005</v>
      </c>
      <c r="I188" s="1">
        <v>0.42599999999999999</v>
      </c>
      <c r="J188" s="1">
        <v>0.60399999999999998</v>
      </c>
      <c r="K188" s="1">
        <v>9.5000000000000001E-2</v>
      </c>
      <c r="L188">
        <v>13339</v>
      </c>
    </row>
    <row r="189" spans="1:12" x14ac:dyDescent="0.3">
      <c r="A189" t="s">
        <v>380</v>
      </c>
      <c r="B189" t="s">
        <v>102</v>
      </c>
      <c r="C189" s="1">
        <v>0.313</v>
      </c>
      <c r="D189" s="1">
        <v>0.754</v>
      </c>
      <c r="E189" s="1">
        <v>0.50700000000000001</v>
      </c>
      <c r="F189" s="1">
        <v>0.64</v>
      </c>
      <c r="G189" s="1">
        <v>0.875</v>
      </c>
      <c r="H189" s="1">
        <v>0.79400000000000004</v>
      </c>
      <c r="I189" s="1">
        <v>0.44</v>
      </c>
      <c r="J189" s="1">
        <v>0.629</v>
      </c>
      <c r="K189" s="1">
        <v>0.105</v>
      </c>
      <c r="L189">
        <v>14457</v>
      </c>
    </row>
    <row r="190" spans="1:12" x14ac:dyDescent="0.3">
      <c r="A190" t="s">
        <v>219</v>
      </c>
      <c r="B190" t="s">
        <v>40</v>
      </c>
      <c r="C190" s="1">
        <v>0.313</v>
      </c>
      <c r="D190" s="1">
        <v>0.74399999999999999</v>
      </c>
      <c r="E190" s="1">
        <v>0.50800000000000001</v>
      </c>
      <c r="F190" s="1">
        <v>0.61099999999999999</v>
      </c>
      <c r="G190" s="1">
        <v>0.79100000000000004</v>
      </c>
      <c r="H190" s="1">
        <v>0.73</v>
      </c>
      <c r="I190" s="1">
        <v>0.45300000000000001</v>
      </c>
      <c r="J190" s="1">
        <v>0.69199999999999995</v>
      </c>
      <c r="K190" s="1">
        <v>0.13700000000000001</v>
      </c>
      <c r="L190">
        <v>15552</v>
      </c>
    </row>
    <row r="191" spans="1:12" x14ac:dyDescent="0.3">
      <c r="A191" t="s">
        <v>251</v>
      </c>
      <c r="B191" t="s">
        <v>48</v>
      </c>
      <c r="C191" s="1">
        <v>0.313</v>
      </c>
      <c r="D191" s="1">
        <v>0.65600000000000003</v>
      </c>
      <c r="E191" s="1">
        <v>0.45100000000000001</v>
      </c>
      <c r="F191" s="1">
        <v>0.56200000000000006</v>
      </c>
      <c r="G191" s="1">
        <v>0.84899999999999998</v>
      </c>
      <c r="H191" s="1">
        <v>0.73</v>
      </c>
      <c r="I191" s="1">
        <v>0.40200000000000002</v>
      </c>
      <c r="J191" s="1">
        <v>0.59599999999999997</v>
      </c>
      <c r="K191" s="1">
        <v>0.122</v>
      </c>
      <c r="L191">
        <v>12703</v>
      </c>
    </row>
    <row r="192" spans="1:12" x14ac:dyDescent="0.3">
      <c r="A192" t="s">
        <v>297</v>
      </c>
      <c r="B192" t="s">
        <v>36</v>
      </c>
      <c r="C192" s="1">
        <v>0.313</v>
      </c>
      <c r="D192" s="1">
        <v>0.64500000000000002</v>
      </c>
      <c r="E192" s="1">
        <v>0.442</v>
      </c>
      <c r="F192" s="1">
        <v>0.63500000000000001</v>
      </c>
      <c r="G192" s="1">
        <v>0.88</v>
      </c>
      <c r="H192" s="1">
        <v>0.77400000000000002</v>
      </c>
      <c r="I192" s="1">
        <v>0.39</v>
      </c>
      <c r="J192" s="1">
        <v>0.60099999999999998</v>
      </c>
      <c r="K192" s="1">
        <v>0.1</v>
      </c>
      <c r="L192">
        <v>17948</v>
      </c>
    </row>
    <row r="193" spans="1:12" x14ac:dyDescent="0.3">
      <c r="A193" t="s">
        <v>383</v>
      </c>
      <c r="B193" t="s">
        <v>102</v>
      </c>
      <c r="C193" s="1">
        <v>0.313</v>
      </c>
      <c r="D193" s="1">
        <v>0.72</v>
      </c>
      <c r="E193" s="1">
        <v>0.504</v>
      </c>
      <c r="F193" s="1">
        <v>0.65400000000000003</v>
      </c>
      <c r="G193" s="1">
        <v>0.89200000000000002</v>
      </c>
      <c r="H193" s="1">
        <v>0.81399999999999995</v>
      </c>
      <c r="I193" s="1">
        <v>0.46899999999999997</v>
      </c>
      <c r="J193" s="1">
        <v>0.59299999999999997</v>
      </c>
      <c r="K193" s="1">
        <v>9.4E-2</v>
      </c>
      <c r="L193">
        <v>13071</v>
      </c>
    </row>
    <row r="194" spans="1:12" x14ac:dyDescent="0.3">
      <c r="A194" t="s">
        <v>158</v>
      </c>
      <c r="B194" t="s">
        <v>159</v>
      </c>
      <c r="C194" s="1">
        <v>0.312</v>
      </c>
      <c r="D194" s="1">
        <v>0.68400000000000005</v>
      </c>
      <c r="E194" s="1">
        <v>0.46100000000000002</v>
      </c>
      <c r="F194" s="1">
        <v>0.57599999999999996</v>
      </c>
      <c r="G194" s="1">
        <v>0.82</v>
      </c>
      <c r="H194" s="1">
        <v>0.72</v>
      </c>
      <c r="I194" s="1">
        <v>0.39900000000000002</v>
      </c>
      <c r="J194" s="1">
        <v>0.60799999999999998</v>
      </c>
      <c r="K194" s="1">
        <v>0.129</v>
      </c>
      <c r="L194">
        <v>14814</v>
      </c>
    </row>
    <row r="195" spans="1:12" x14ac:dyDescent="0.3">
      <c r="A195" t="s">
        <v>166</v>
      </c>
      <c r="B195" t="s">
        <v>50</v>
      </c>
      <c r="C195" s="1">
        <v>0.312</v>
      </c>
      <c r="D195" s="1">
        <v>0.69</v>
      </c>
      <c r="E195" s="1">
        <v>0.47399999999999998</v>
      </c>
      <c r="F195" s="1">
        <v>0.73399999999999999</v>
      </c>
      <c r="G195" s="1">
        <v>0.83299999999999996</v>
      </c>
      <c r="H195" s="1">
        <v>0.79600000000000004</v>
      </c>
      <c r="I195" s="1">
        <v>0.42899999999999999</v>
      </c>
      <c r="J195" s="1">
        <v>0.59699999999999998</v>
      </c>
      <c r="K195" s="1">
        <v>9.7000000000000003E-2</v>
      </c>
      <c r="L195">
        <v>14974</v>
      </c>
    </row>
    <row r="196" spans="1:12" x14ac:dyDescent="0.3">
      <c r="A196" t="s">
        <v>307</v>
      </c>
      <c r="B196" t="s">
        <v>95</v>
      </c>
      <c r="C196" s="1">
        <v>0.312</v>
      </c>
      <c r="D196" s="1">
        <v>0.72899999999999998</v>
      </c>
      <c r="E196" s="1">
        <v>0.49199999999999999</v>
      </c>
      <c r="F196" s="1">
        <v>0.66</v>
      </c>
      <c r="G196" s="1">
        <v>0.83499999999999996</v>
      </c>
      <c r="H196" s="1">
        <v>0.77200000000000002</v>
      </c>
      <c r="I196" s="1">
        <v>0.43099999999999999</v>
      </c>
      <c r="J196" s="1">
        <v>0.59499999999999997</v>
      </c>
      <c r="K196" s="1">
        <v>0.112</v>
      </c>
      <c r="L196">
        <v>11189</v>
      </c>
    </row>
    <row r="197" spans="1:12" x14ac:dyDescent="0.3">
      <c r="A197" t="s">
        <v>109</v>
      </c>
      <c r="B197" t="s">
        <v>48</v>
      </c>
      <c r="C197" s="1">
        <v>0.311</v>
      </c>
      <c r="D197" s="1">
        <v>0.65700000000000003</v>
      </c>
      <c r="E197" s="1">
        <v>0.44700000000000001</v>
      </c>
      <c r="F197" s="1">
        <v>0.61499999999999999</v>
      </c>
      <c r="G197" s="1">
        <v>0.89</v>
      </c>
      <c r="H197" s="1">
        <v>0.77400000000000002</v>
      </c>
      <c r="I197" s="1">
        <v>0.39200000000000002</v>
      </c>
      <c r="J197" s="1">
        <v>0.56799999999999995</v>
      </c>
      <c r="K197" s="1">
        <v>0.10100000000000001</v>
      </c>
      <c r="L197">
        <v>13431</v>
      </c>
    </row>
    <row r="198" spans="1:12" x14ac:dyDescent="0.3">
      <c r="A198" t="s">
        <v>253</v>
      </c>
      <c r="B198" t="s">
        <v>159</v>
      </c>
      <c r="C198" s="1">
        <v>0.311</v>
      </c>
      <c r="D198" s="1">
        <v>0.66700000000000004</v>
      </c>
      <c r="E198" s="1">
        <v>0.47099999999999997</v>
      </c>
      <c r="F198" s="1">
        <v>0.58699999999999997</v>
      </c>
      <c r="G198" s="1">
        <v>0.89300000000000002</v>
      </c>
      <c r="H198" s="1">
        <v>0.78200000000000003</v>
      </c>
      <c r="I198" s="1">
        <v>0.45</v>
      </c>
      <c r="J198" s="1">
        <v>0.64400000000000002</v>
      </c>
      <c r="K198" s="1">
        <v>0.10299999999999999</v>
      </c>
      <c r="L198">
        <v>13475</v>
      </c>
    </row>
    <row r="199" spans="1:12" x14ac:dyDescent="0.3">
      <c r="A199" t="s">
        <v>321</v>
      </c>
      <c r="B199" t="s">
        <v>30</v>
      </c>
      <c r="C199" s="1">
        <v>0.311</v>
      </c>
      <c r="D199" s="1">
        <v>0.66200000000000003</v>
      </c>
      <c r="E199" s="1">
        <v>0.45200000000000001</v>
      </c>
      <c r="F199" s="1">
        <v>0.66500000000000004</v>
      </c>
      <c r="G199" s="1">
        <v>0.86399999999999999</v>
      </c>
      <c r="H199" s="1">
        <v>0.78200000000000003</v>
      </c>
      <c r="I199" s="1">
        <v>0.40100000000000002</v>
      </c>
      <c r="J199" s="1">
        <v>0.56399999999999995</v>
      </c>
      <c r="K199" s="1">
        <v>9.8000000000000004E-2</v>
      </c>
      <c r="L199">
        <v>15291</v>
      </c>
    </row>
    <row r="200" spans="1:12" x14ac:dyDescent="0.3">
      <c r="A200" t="s">
        <v>270</v>
      </c>
      <c r="B200" t="s">
        <v>159</v>
      </c>
      <c r="C200" s="1">
        <v>0.311</v>
      </c>
      <c r="D200" s="1">
        <v>0.70499999999999996</v>
      </c>
      <c r="E200" s="1">
        <v>0.46800000000000003</v>
      </c>
      <c r="F200" s="1">
        <v>0.622</v>
      </c>
      <c r="G200" s="1">
        <v>0.872</v>
      </c>
      <c r="H200" s="1">
        <v>0.77200000000000002</v>
      </c>
      <c r="I200" s="1">
        <v>0.39900000000000002</v>
      </c>
      <c r="J200" s="1">
        <v>0.59799999999999998</v>
      </c>
      <c r="K200" s="1">
        <v>0.107</v>
      </c>
      <c r="L200">
        <v>16207</v>
      </c>
    </row>
    <row r="201" spans="1:12" x14ac:dyDescent="0.3">
      <c r="A201" t="s">
        <v>170</v>
      </c>
      <c r="B201" t="s">
        <v>66</v>
      </c>
      <c r="C201" s="1">
        <v>0.311</v>
      </c>
      <c r="D201" s="1">
        <v>0.66700000000000004</v>
      </c>
      <c r="E201" s="1">
        <v>0.48399999999999999</v>
      </c>
      <c r="F201" s="1">
        <v>0.59</v>
      </c>
      <c r="G201" s="1">
        <v>0.84299999999999997</v>
      </c>
      <c r="H201" s="1">
        <v>0.76</v>
      </c>
      <c r="I201" s="1">
        <v>0.48499999999999999</v>
      </c>
      <c r="J201" s="1">
        <v>0.64</v>
      </c>
      <c r="K201" s="1">
        <v>0.11600000000000001</v>
      </c>
      <c r="L201">
        <v>12680</v>
      </c>
    </row>
    <row r="202" spans="1:12" x14ac:dyDescent="0.3">
      <c r="A202" t="s">
        <v>277</v>
      </c>
      <c r="B202" t="s">
        <v>58</v>
      </c>
      <c r="C202" s="1">
        <v>0.31</v>
      </c>
      <c r="D202" s="1">
        <v>0.69399999999999995</v>
      </c>
      <c r="E202" s="1">
        <v>0.47</v>
      </c>
      <c r="F202" s="1">
        <v>0.624</v>
      </c>
      <c r="G202" s="1">
        <v>0.85499999999999998</v>
      </c>
      <c r="H202" s="1">
        <v>0.76600000000000001</v>
      </c>
      <c r="I202" s="1">
        <v>0.41699999999999998</v>
      </c>
      <c r="J202" s="1">
        <v>0.58499999999999996</v>
      </c>
      <c r="K202" s="1">
        <v>0.11</v>
      </c>
      <c r="L202">
        <v>13696</v>
      </c>
    </row>
    <row r="203" spans="1:12" x14ac:dyDescent="0.3">
      <c r="A203" t="s">
        <v>178</v>
      </c>
      <c r="B203" t="s">
        <v>32</v>
      </c>
      <c r="C203" s="1">
        <v>0.31</v>
      </c>
      <c r="D203" s="1">
        <v>0.72199999999999998</v>
      </c>
      <c r="E203" s="1">
        <v>0.49299999999999999</v>
      </c>
      <c r="F203" s="1">
        <v>0.626</v>
      </c>
      <c r="G203" s="1">
        <v>0.871</v>
      </c>
      <c r="H203" s="1">
        <v>0.78500000000000003</v>
      </c>
      <c r="I203" s="1">
        <v>0.44400000000000001</v>
      </c>
      <c r="J203" s="1">
        <v>0.626</v>
      </c>
      <c r="K203" s="1">
        <v>0.106</v>
      </c>
      <c r="L203">
        <v>16401</v>
      </c>
    </row>
    <row r="204" spans="1:12" x14ac:dyDescent="0.3">
      <c r="A204" t="s">
        <v>281</v>
      </c>
      <c r="B204" t="s">
        <v>28</v>
      </c>
      <c r="C204" s="1">
        <v>0.31</v>
      </c>
      <c r="D204" s="1">
        <v>0.59599999999999997</v>
      </c>
      <c r="E204" s="1">
        <v>0.434</v>
      </c>
      <c r="F204" s="1">
        <v>0.55800000000000005</v>
      </c>
      <c r="G204" s="1">
        <v>0.86299999999999999</v>
      </c>
      <c r="H204" s="1">
        <v>0.74</v>
      </c>
      <c r="I204" s="1">
        <v>0.436</v>
      </c>
      <c r="J204" s="1">
        <v>0.59</v>
      </c>
      <c r="K204" s="1">
        <v>0.113</v>
      </c>
      <c r="L204">
        <v>7531</v>
      </c>
    </row>
    <row r="205" spans="1:12" x14ac:dyDescent="0.3">
      <c r="A205" t="s">
        <v>306</v>
      </c>
      <c r="B205" t="s">
        <v>30</v>
      </c>
      <c r="C205" s="1">
        <v>0.31</v>
      </c>
      <c r="D205" s="1">
        <v>0.63400000000000001</v>
      </c>
      <c r="E205" s="1">
        <v>0.45600000000000002</v>
      </c>
      <c r="F205" s="1">
        <v>0.80500000000000005</v>
      </c>
      <c r="G205" s="1">
        <v>0.89300000000000002</v>
      </c>
      <c r="H205" s="1">
        <v>0.86</v>
      </c>
      <c r="I205" s="1">
        <v>0.45100000000000001</v>
      </c>
      <c r="J205" s="1">
        <v>0.57299999999999995</v>
      </c>
      <c r="K205" s="1">
        <v>6.4000000000000001E-2</v>
      </c>
      <c r="L205">
        <v>15821</v>
      </c>
    </row>
    <row r="206" spans="1:12" x14ac:dyDescent="0.3">
      <c r="A206" t="s">
        <v>137</v>
      </c>
      <c r="B206" t="s">
        <v>83</v>
      </c>
      <c r="C206" s="1">
        <v>0.309</v>
      </c>
      <c r="D206" s="1">
        <v>0.71199999999999997</v>
      </c>
      <c r="E206" s="1">
        <v>0.48099999999999998</v>
      </c>
      <c r="F206" s="1">
        <v>0.73899999999999999</v>
      </c>
      <c r="G206" s="1">
        <v>0.86199999999999999</v>
      </c>
      <c r="H206" s="1">
        <v>0.81699999999999995</v>
      </c>
      <c r="I206" s="1">
        <v>0.42599999999999999</v>
      </c>
      <c r="J206" s="1">
        <v>0.60899999999999999</v>
      </c>
      <c r="K206" s="1">
        <v>8.7999999999999995E-2</v>
      </c>
      <c r="L206">
        <v>3254</v>
      </c>
    </row>
    <row r="207" spans="1:12" x14ac:dyDescent="0.3">
      <c r="A207" t="s">
        <v>221</v>
      </c>
      <c r="B207" t="s">
        <v>127</v>
      </c>
      <c r="C207" s="1">
        <v>0.309</v>
      </c>
      <c r="D207" s="1">
        <v>0.66900000000000004</v>
      </c>
      <c r="E207" s="1">
        <v>0.45600000000000002</v>
      </c>
      <c r="F207" s="1">
        <v>0.69</v>
      </c>
      <c r="G207" s="1">
        <v>0.90400000000000003</v>
      </c>
      <c r="H207" s="1">
        <v>0.81799999999999995</v>
      </c>
      <c r="I207" s="1">
        <v>0.40799999999999997</v>
      </c>
      <c r="J207" s="1">
        <v>0.57299999999999995</v>
      </c>
      <c r="K207" s="1">
        <v>8.3000000000000004E-2</v>
      </c>
      <c r="L207">
        <v>15734</v>
      </c>
    </row>
    <row r="208" spans="1:12" x14ac:dyDescent="0.3">
      <c r="A208" t="s">
        <v>241</v>
      </c>
      <c r="B208" t="s">
        <v>98</v>
      </c>
      <c r="C208" s="1">
        <v>0.308</v>
      </c>
      <c r="D208" s="1">
        <v>0.69499999999999995</v>
      </c>
      <c r="E208" s="1">
        <v>0.46800000000000003</v>
      </c>
      <c r="F208" s="1">
        <v>0.67900000000000005</v>
      </c>
      <c r="G208" s="1">
        <v>0.86099999999999999</v>
      </c>
      <c r="H208" s="1">
        <v>0.79100000000000004</v>
      </c>
      <c r="I208" s="1">
        <v>0.41399999999999998</v>
      </c>
      <c r="J208" s="1">
        <v>0.58299999999999996</v>
      </c>
      <c r="K208" s="1">
        <v>9.8000000000000004E-2</v>
      </c>
      <c r="L208">
        <v>11156</v>
      </c>
    </row>
    <row r="209" spans="1:12" x14ac:dyDescent="0.3">
      <c r="A209" t="s">
        <v>100</v>
      </c>
      <c r="B209" t="s">
        <v>77</v>
      </c>
      <c r="C209" s="1">
        <v>0.308</v>
      </c>
      <c r="D209" s="1">
        <v>0.63100000000000001</v>
      </c>
      <c r="E209" s="1">
        <v>0.435</v>
      </c>
      <c r="F209" s="1">
        <v>0.71499999999999997</v>
      </c>
      <c r="G209" s="1">
        <v>0.83599999999999997</v>
      </c>
      <c r="H209" s="1">
        <v>0.78400000000000003</v>
      </c>
      <c r="I209" s="1">
        <v>0.39300000000000002</v>
      </c>
      <c r="J209" s="1">
        <v>0.60299999999999998</v>
      </c>
      <c r="K209" s="1">
        <v>9.4E-2</v>
      </c>
      <c r="L209">
        <v>6483</v>
      </c>
    </row>
    <row r="210" spans="1:12" x14ac:dyDescent="0.3">
      <c r="A210" t="s">
        <v>255</v>
      </c>
      <c r="B210" t="s">
        <v>48</v>
      </c>
      <c r="C210" s="1">
        <v>0.308</v>
      </c>
      <c r="D210" s="1">
        <v>0.64900000000000002</v>
      </c>
      <c r="E210" s="1">
        <v>0.43099999999999999</v>
      </c>
      <c r="F210" s="1">
        <v>0.69899999999999995</v>
      </c>
      <c r="G210" s="1">
        <v>0.83599999999999997</v>
      </c>
      <c r="H210" s="1">
        <v>0.77400000000000002</v>
      </c>
      <c r="I210" s="1">
        <v>0.36099999999999999</v>
      </c>
      <c r="J210" s="1">
        <v>0.58099999999999996</v>
      </c>
      <c r="K210" s="1">
        <v>9.7000000000000003E-2</v>
      </c>
      <c r="L210">
        <v>8044</v>
      </c>
    </row>
    <row r="211" spans="1:12" x14ac:dyDescent="0.3">
      <c r="A211" t="s">
        <v>60</v>
      </c>
      <c r="B211" t="s">
        <v>48</v>
      </c>
      <c r="C211" s="1">
        <v>0.307</v>
      </c>
      <c r="D211" s="1">
        <v>0.71399999999999997</v>
      </c>
      <c r="E211" s="1">
        <v>0.49399999999999999</v>
      </c>
      <c r="F211" s="1">
        <v>0.67300000000000004</v>
      </c>
      <c r="G211" s="1">
        <v>0.86199999999999999</v>
      </c>
      <c r="H211" s="1">
        <v>0.79900000000000004</v>
      </c>
      <c r="I211" s="1">
        <v>0.46</v>
      </c>
      <c r="J211" s="1">
        <v>0.63800000000000001</v>
      </c>
      <c r="K211" s="1">
        <v>9.9000000000000005E-2</v>
      </c>
      <c r="L211">
        <v>7146</v>
      </c>
    </row>
    <row r="212" spans="1:12" x14ac:dyDescent="0.3">
      <c r="A212" t="s">
        <v>76</v>
      </c>
      <c r="B212" t="s">
        <v>77</v>
      </c>
      <c r="C212" s="1">
        <v>0.307</v>
      </c>
      <c r="D212" s="1">
        <v>0.629</v>
      </c>
      <c r="E212" s="1">
        <v>0.44600000000000001</v>
      </c>
      <c r="F212" s="1">
        <v>0.71099999999999997</v>
      </c>
      <c r="G212" s="1">
        <v>0.89200000000000002</v>
      </c>
      <c r="H212" s="1">
        <v>0.82199999999999995</v>
      </c>
      <c r="I212" s="1">
        <v>0.432</v>
      </c>
      <c r="J212" s="1">
        <v>0.60799999999999998</v>
      </c>
      <c r="K212" s="1">
        <v>0.08</v>
      </c>
      <c r="L212">
        <v>9939</v>
      </c>
    </row>
    <row r="213" spans="1:12" x14ac:dyDescent="0.3">
      <c r="A213" t="s">
        <v>339</v>
      </c>
      <c r="B213" t="s">
        <v>83</v>
      </c>
      <c r="C213" s="1">
        <v>0.307</v>
      </c>
      <c r="D213" s="1">
        <v>0.72899999999999998</v>
      </c>
      <c r="E213" s="1">
        <v>0.48199999999999998</v>
      </c>
      <c r="F213" s="1">
        <v>0.69099999999999995</v>
      </c>
      <c r="G213" s="1">
        <v>0.88300000000000001</v>
      </c>
      <c r="H213" s="1">
        <v>0.81200000000000006</v>
      </c>
      <c r="I213" s="1">
        <v>0.41499999999999998</v>
      </c>
      <c r="J213" s="1">
        <v>0.60899999999999999</v>
      </c>
      <c r="K213" s="1">
        <v>9.0999999999999998E-2</v>
      </c>
      <c r="L213">
        <v>19453</v>
      </c>
    </row>
    <row r="214" spans="1:12" x14ac:dyDescent="0.3">
      <c r="A214" t="s">
        <v>125</v>
      </c>
      <c r="B214" t="s">
        <v>32</v>
      </c>
      <c r="C214" s="1">
        <v>0.307</v>
      </c>
      <c r="D214" s="1">
        <v>0.63200000000000001</v>
      </c>
      <c r="E214" s="1">
        <v>0.45300000000000001</v>
      </c>
      <c r="F214" s="1">
        <v>0.46</v>
      </c>
      <c r="G214" s="1">
        <v>0.84</v>
      </c>
      <c r="H214" s="1">
        <v>0.69799999999999995</v>
      </c>
      <c r="I214" s="1">
        <v>0.45</v>
      </c>
      <c r="J214" s="1">
        <v>0.57599999999999996</v>
      </c>
      <c r="K214" s="1">
        <v>0.13700000000000001</v>
      </c>
      <c r="L214">
        <v>17496</v>
      </c>
    </row>
    <row r="215" spans="1:12" x14ac:dyDescent="0.3">
      <c r="A215" t="s">
        <v>284</v>
      </c>
      <c r="B215" t="s">
        <v>98</v>
      </c>
      <c r="C215" s="1">
        <v>0.307</v>
      </c>
      <c r="D215" s="1">
        <v>0.67900000000000005</v>
      </c>
      <c r="E215" s="1">
        <v>0.47</v>
      </c>
      <c r="F215" s="1">
        <v>0.68600000000000005</v>
      </c>
      <c r="G215" s="1">
        <v>0.84599999999999997</v>
      </c>
      <c r="H215" s="1">
        <v>0.78800000000000003</v>
      </c>
      <c r="I215" s="1">
        <v>0.438</v>
      </c>
      <c r="J215" s="1">
        <v>0.61299999999999999</v>
      </c>
      <c r="K215" s="1">
        <v>0.1</v>
      </c>
      <c r="L215">
        <v>12022</v>
      </c>
    </row>
    <row r="216" spans="1:12" x14ac:dyDescent="0.3">
      <c r="A216" t="s">
        <v>128</v>
      </c>
      <c r="B216" t="s">
        <v>98</v>
      </c>
      <c r="C216" s="1">
        <v>0.30599999999999999</v>
      </c>
      <c r="D216" s="1">
        <v>0.70699999999999996</v>
      </c>
      <c r="E216" s="1">
        <v>0.48</v>
      </c>
      <c r="F216" s="1">
        <v>0.68700000000000006</v>
      </c>
      <c r="G216" s="1">
        <v>0.86</v>
      </c>
      <c r="H216" s="1">
        <v>0.79800000000000004</v>
      </c>
      <c r="I216" s="1">
        <v>0.434</v>
      </c>
      <c r="J216" s="1">
        <v>0.57699999999999996</v>
      </c>
      <c r="K216" s="1">
        <v>9.7000000000000003E-2</v>
      </c>
      <c r="L216">
        <v>17181</v>
      </c>
    </row>
    <row r="217" spans="1:12" x14ac:dyDescent="0.3">
      <c r="A217" t="s">
        <v>232</v>
      </c>
      <c r="B217" t="s">
        <v>32</v>
      </c>
      <c r="C217" s="1">
        <v>0.30599999999999999</v>
      </c>
      <c r="D217" s="1">
        <v>0.66600000000000004</v>
      </c>
      <c r="E217" s="1">
        <v>0.45600000000000002</v>
      </c>
      <c r="F217" s="1">
        <v>0.66800000000000004</v>
      </c>
      <c r="G217" s="1">
        <v>0.86699999999999999</v>
      </c>
      <c r="H217" s="1">
        <v>0.78900000000000003</v>
      </c>
      <c r="I217" s="1">
        <v>0.41599999999999998</v>
      </c>
      <c r="J217" s="1">
        <v>0.58799999999999997</v>
      </c>
      <c r="K217" s="1">
        <v>9.6000000000000002E-2</v>
      </c>
      <c r="L217">
        <v>17192</v>
      </c>
    </row>
    <row r="218" spans="1:12" x14ac:dyDescent="0.3">
      <c r="A218" t="s">
        <v>148</v>
      </c>
      <c r="B218" t="s">
        <v>53</v>
      </c>
      <c r="C218" s="1">
        <v>0.30599999999999999</v>
      </c>
      <c r="D218" s="1">
        <v>0.69899999999999995</v>
      </c>
      <c r="E218" s="1">
        <v>0.47599999999999998</v>
      </c>
      <c r="F218" s="1">
        <v>0.65900000000000003</v>
      </c>
      <c r="G218" s="1">
        <v>0.81499999999999995</v>
      </c>
      <c r="H218" s="1">
        <v>0.75800000000000001</v>
      </c>
      <c r="I218" s="1">
        <v>0.433</v>
      </c>
      <c r="J218" s="1">
        <v>0.628</v>
      </c>
      <c r="K218" s="1">
        <v>0.115</v>
      </c>
      <c r="L218">
        <v>12095</v>
      </c>
    </row>
    <row r="219" spans="1:12" x14ac:dyDescent="0.3">
      <c r="A219" t="s">
        <v>55</v>
      </c>
      <c r="B219" t="s">
        <v>56</v>
      </c>
      <c r="C219" s="1">
        <v>0.30499999999999999</v>
      </c>
      <c r="D219" s="1">
        <v>0.70899999999999996</v>
      </c>
      <c r="E219" s="1">
        <v>0.45200000000000001</v>
      </c>
      <c r="F219" s="1">
        <v>0.73199999999999998</v>
      </c>
      <c r="G219" s="1">
        <v>0.86</v>
      </c>
      <c r="H219" s="1">
        <v>0.80500000000000005</v>
      </c>
      <c r="I219" s="1">
        <v>0.36299999999999999</v>
      </c>
      <c r="J219" s="1">
        <v>0.61699999999999999</v>
      </c>
      <c r="K219" s="1">
        <v>8.7999999999999995E-2</v>
      </c>
      <c r="L219">
        <v>19479</v>
      </c>
    </row>
    <row r="220" spans="1:12" x14ac:dyDescent="0.3">
      <c r="A220" t="s">
        <v>357</v>
      </c>
      <c r="B220" t="s">
        <v>193</v>
      </c>
      <c r="C220" s="1">
        <v>0.30499999999999999</v>
      </c>
      <c r="D220" s="1">
        <v>0.69899999999999995</v>
      </c>
      <c r="E220" s="1">
        <v>0.48799999999999999</v>
      </c>
      <c r="F220" s="1">
        <v>0.748</v>
      </c>
      <c r="G220" s="1">
        <v>0.83799999999999997</v>
      </c>
      <c r="H220" s="1">
        <v>0.80800000000000005</v>
      </c>
      <c r="I220" s="1">
        <v>0.46300000000000002</v>
      </c>
      <c r="J220" s="1">
        <v>0.60799999999999998</v>
      </c>
      <c r="K220" s="1">
        <v>9.4E-2</v>
      </c>
      <c r="L220">
        <v>16587</v>
      </c>
    </row>
    <row r="221" spans="1:12" x14ac:dyDescent="0.3">
      <c r="A221" t="s">
        <v>171</v>
      </c>
      <c r="B221" t="s">
        <v>77</v>
      </c>
      <c r="C221" s="1">
        <v>0.30499999999999999</v>
      </c>
      <c r="D221" s="1">
        <v>0.69699999999999995</v>
      </c>
      <c r="E221" s="1">
        <v>0.46800000000000003</v>
      </c>
      <c r="F221" s="1">
        <v>0.62</v>
      </c>
      <c r="G221" s="1">
        <v>0.82599999999999996</v>
      </c>
      <c r="H221" s="1">
        <v>0.747</v>
      </c>
      <c r="I221" s="1">
        <v>0.41599999999999998</v>
      </c>
      <c r="J221" s="1">
        <v>0.57499999999999996</v>
      </c>
      <c r="K221" s="1">
        <v>0.11799999999999999</v>
      </c>
      <c r="L221">
        <v>4972</v>
      </c>
    </row>
    <row r="222" spans="1:12" x14ac:dyDescent="0.3">
      <c r="A222" t="s">
        <v>244</v>
      </c>
      <c r="B222" t="s">
        <v>50</v>
      </c>
      <c r="C222" s="1">
        <v>0.30399999999999999</v>
      </c>
      <c r="D222" s="1">
        <v>0.61399999999999999</v>
      </c>
      <c r="E222" s="1">
        <v>0.438</v>
      </c>
      <c r="F222" s="1">
        <v>0.53600000000000003</v>
      </c>
      <c r="G222" s="1">
        <v>0.80600000000000005</v>
      </c>
      <c r="H222" s="1">
        <v>0.7</v>
      </c>
      <c r="I222" s="1">
        <v>0.432</v>
      </c>
      <c r="J222" s="1">
        <v>0.58099999999999996</v>
      </c>
      <c r="K222" s="1">
        <v>0.13200000000000001</v>
      </c>
      <c r="L222">
        <v>6785</v>
      </c>
    </row>
    <row r="223" spans="1:12" x14ac:dyDescent="0.3">
      <c r="A223" t="s">
        <v>324</v>
      </c>
      <c r="B223" t="s">
        <v>127</v>
      </c>
      <c r="C223" s="1">
        <v>0.30399999999999999</v>
      </c>
      <c r="D223" s="1">
        <v>0.66</v>
      </c>
      <c r="E223" s="1">
        <v>0.45200000000000001</v>
      </c>
      <c r="F223" s="1">
        <v>0.61699999999999999</v>
      </c>
      <c r="G223" s="1">
        <v>0.88900000000000001</v>
      </c>
      <c r="H223" s="1">
        <v>0.78200000000000003</v>
      </c>
      <c r="I223" s="1">
        <v>0.41699999999999998</v>
      </c>
      <c r="J223" s="1">
        <v>0.61599999999999999</v>
      </c>
      <c r="K223" s="1">
        <v>9.8000000000000004E-2</v>
      </c>
      <c r="L223">
        <v>13619</v>
      </c>
    </row>
    <row r="224" spans="1:12" x14ac:dyDescent="0.3">
      <c r="A224" t="s">
        <v>177</v>
      </c>
      <c r="B224" t="s">
        <v>46</v>
      </c>
      <c r="C224" s="1">
        <v>0.30399999999999999</v>
      </c>
      <c r="D224" s="1">
        <v>0.67800000000000005</v>
      </c>
      <c r="E224" s="1">
        <v>0.47199999999999998</v>
      </c>
      <c r="F224" s="1">
        <v>0.53800000000000003</v>
      </c>
      <c r="G224" s="1">
        <v>0.86699999999999999</v>
      </c>
      <c r="H224" s="1">
        <v>0.75</v>
      </c>
      <c r="I224" s="1">
        <v>0.44800000000000001</v>
      </c>
      <c r="J224" s="1">
        <v>0.64400000000000002</v>
      </c>
      <c r="K224" s="1">
        <v>0.11799999999999999</v>
      </c>
      <c r="L224">
        <v>14916</v>
      </c>
    </row>
    <row r="225" spans="1:12" x14ac:dyDescent="0.3">
      <c r="A225" t="s">
        <v>290</v>
      </c>
      <c r="B225" t="s">
        <v>50</v>
      </c>
      <c r="C225" s="1">
        <v>0.30299999999999999</v>
      </c>
      <c r="D225" s="1">
        <v>0.71799999999999997</v>
      </c>
      <c r="E225" s="1">
        <v>0.47399999999999998</v>
      </c>
      <c r="F225" s="1">
        <v>0.73499999999999999</v>
      </c>
      <c r="G225" s="1">
        <v>0.84199999999999997</v>
      </c>
      <c r="H225" s="1">
        <v>0.80200000000000005</v>
      </c>
      <c r="I225" s="1">
        <v>0.41199999999999998</v>
      </c>
      <c r="J225" s="1">
        <v>0.57699999999999996</v>
      </c>
      <c r="K225" s="1">
        <v>9.4E-2</v>
      </c>
      <c r="L225">
        <v>14078</v>
      </c>
    </row>
    <row r="226" spans="1:12" x14ac:dyDescent="0.3">
      <c r="A226" t="s">
        <v>259</v>
      </c>
      <c r="B226" t="s">
        <v>93</v>
      </c>
      <c r="C226" s="1">
        <v>0.30299999999999999</v>
      </c>
      <c r="D226" s="1">
        <v>0.72899999999999998</v>
      </c>
      <c r="E226" s="1">
        <v>0.497</v>
      </c>
      <c r="F226" s="1">
        <v>0.61499999999999999</v>
      </c>
      <c r="G226" s="1">
        <v>0.78300000000000003</v>
      </c>
      <c r="H226" s="1">
        <v>0.72699999999999998</v>
      </c>
      <c r="I226" s="1">
        <v>0.45500000000000002</v>
      </c>
      <c r="J226" s="1">
        <v>0.58399999999999996</v>
      </c>
      <c r="K226" s="1">
        <v>0.13600000000000001</v>
      </c>
      <c r="L226">
        <v>15855</v>
      </c>
    </row>
    <row r="227" spans="1:12" x14ac:dyDescent="0.3">
      <c r="A227" t="s">
        <v>88</v>
      </c>
      <c r="B227" t="s">
        <v>89</v>
      </c>
      <c r="C227" s="1">
        <v>0.30299999999999999</v>
      </c>
      <c r="D227" s="1">
        <v>0.60399999999999998</v>
      </c>
      <c r="E227" s="1">
        <v>0.41799999999999998</v>
      </c>
      <c r="F227" s="1">
        <v>0.54</v>
      </c>
      <c r="G227" s="1">
        <v>0.88200000000000001</v>
      </c>
      <c r="H227" s="1">
        <v>0.72799999999999998</v>
      </c>
      <c r="I227" s="1">
        <v>0.38100000000000001</v>
      </c>
      <c r="J227" s="1">
        <v>0.55600000000000005</v>
      </c>
      <c r="K227" s="1">
        <v>0.113</v>
      </c>
      <c r="L227">
        <v>12768</v>
      </c>
    </row>
    <row r="228" spans="1:12" x14ac:dyDescent="0.3">
      <c r="A228" t="s">
        <v>118</v>
      </c>
      <c r="B228" t="s">
        <v>48</v>
      </c>
      <c r="C228" s="1">
        <v>0.30299999999999999</v>
      </c>
      <c r="D228" s="1">
        <v>0.72899999999999998</v>
      </c>
      <c r="E228" s="1">
        <v>0.49199999999999999</v>
      </c>
      <c r="F228" s="1">
        <v>0.73399999999999999</v>
      </c>
      <c r="G228" s="1">
        <v>0.872</v>
      </c>
      <c r="H228" s="1">
        <v>0.82499999999999996</v>
      </c>
      <c r="I228" s="1">
        <v>0.443</v>
      </c>
      <c r="J228" s="1">
        <v>0.63500000000000001</v>
      </c>
      <c r="K228" s="1">
        <v>8.5999999999999993E-2</v>
      </c>
      <c r="L228">
        <v>11710</v>
      </c>
    </row>
    <row r="229" spans="1:12" x14ac:dyDescent="0.3">
      <c r="A229" t="s">
        <v>59</v>
      </c>
      <c r="B229" t="s">
        <v>53</v>
      </c>
      <c r="C229" s="1">
        <v>0.30299999999999999</v>
      </c>
      <c r="D229" s="1">
        <v>0.65</v>
      </c>
      <c r="E229" s="1">
        <v>0.47399999999999998</v>
      </c>
      <c r="F229" s="1">
        <v>0.67600000000000005</v>
      </c>
      <c r="G229" s="1">
        <v>0.81899999999999995</v>
      </c>
      <c r="H229" s="1">
        <v>0.77300000000000002</v>
      </c>
      <c r="I229" s="1">
        <v>0.49399999999999999</v>
      </c>
      <c r="J229" s="1">
        <v>0.64900000000000002</v>
      </c>
      <c r="K229" s="1">
        <v>0.108</v>
      </c>
      <c r="L229">
        <v>4806</v>
      </c>
    </row>
    <row r="230" spans="1:12" x14ac:dyDescent="0.3">
      <c r="A230" t="s">
        <v>186</v>
      </c>
      <c r="B230" t="s">
        <v>48</v>
      </c>
      <c r="C230" s="1">
        <v>0.30299999999999999</v>
      </c>
      <c r="D230" s="1">
        <v>0.69799999999999995</v>
      </c>
      <c r="E230" s="1">
        <v>0.48499999999999999</v>
      </c>
      <c r="F230" s="1">
        <v>0.68799999999999994</v>
      </c>
      <c r="G230" s="1">
        <v>0.79900000000000004</v>
      </c>
      <c r="H230" s="1">
        <v>0.76200000000000001</v>
      </c>
      <c r="I230" s="1">
        <v>0.46200000000000002</v>
      </c>
      <c r="J230" s="1">
        <v>0.61599999999999999</v>
      </c>
      <c r="K230" s="1">
        <v>0.11600000000000001</v>
      </c>
      <c r="L230">
        <v>12673</v>
      </c>
    </row>
    <row r="231" spans="1:12" x14ac:dyDescent="0.3">
      <c r="A231" t="s">
        <v>97</v>
      </c>
      <c r="B231" t="s">
        <v>98</v>
      </c>
      <c r="C231" s="1">
        <v>0.30199999999999999</v>
      </c>
      <c r="D231" s="1">
        <v>0.68700000000000006</v>
      </c>
      <c r="E231" s="1">
        <v>0.46400000000000002</v>
      </c>
      <c r="F231" s="1">
        <v>0.66300000000000003</v>
      </c>
      <c r="G231" s="1">
        <v>0.84299999999999997</v>
      </c>
      <c r="H231" s="1">
        <v>0.77500000000000002</v>
      </c>
      <c r="I231" s="1">
        <v>0.42199999999999999</v>
      </c>
      <c r="J231" s="1">
        <v>0.61899999999999999</v>
      </c>
      <c r="K231" s="1">
        <v>0.104</v>
      </c>
      <c r="L231">
        <v>16918</v>
      </c>
    </row>
    <row r="232" spans="1:12" x14ac:dyDescent="0.3">
      <c r="A232" t="s">
        <v>344</v>
      </c>
      <c r="B232" t="s">
        <v>48</v>
      </c>
      <c r="C232" s="1">
        <v>0.30199999999999999</v>
      </c>
      <c r="D232" s="1">
        <v>0.71099999999999997</v>
      </c>
      <c r="E232" s="1">
        <v>0.47699999999999998</v>
      </c>
      <c r="F232" s="1">
        <v>0.60399999999999998</v>
      </c>
      <c r="G232" s="1">
        <v>0.877</v>
      </c>
      <c r="H232" s="1">
        <v>0.77800000000000002</v>
      </c>
      <c r="I232" s="1">
        <v>0.42899999999999999</v>
      </c>
      <c r="J232" s="1">
        <v>0.59599999999999997</v>
      </c>
      <c r="K232" s="1">
        <v>0.106</v>
      </c>
      <c r="L232">
        <v>13761</v>
      </c>
    </row>
    <row r="233" spans="1:12" x14ac:dyDescent="0.3">
      <c r="A233" t="s">
        <v>373</v>
      </c>
      <c r="B233" t="s">
        <v>48</v>
      </c>
      <c r="C233" s="1">
        <v>0.30199999999999999</v>
      </c>
      <c r="D233" s="1">
        <v>0.67600000000000005</v>
      </c>
      <c r="E233" s="1">
        <v>0.45400000000000001</v>
      </c>
      <c r="F233" s="1">
        <v>0.63500000000000001</v>
      </c>
      <c r="G233" s="1">
        <v>0.83399999999999996</v>
      </c>
      <c r="H233" s="1">
        <v>0.75600000000000001</v>
      </c>
      <c r="I233" s="1">
        <v>0.40699999999999997</v>
      </c>
      <c r="J233" s="1">
        <v>0.63800000000000001</v>
      </c>
      <c r="K233" s="1">
        <v>0.111</v>
      </c>
      <c r="L233">
        <v>4141</v>
      </c>
    </row>
    <row r="234" spans="1:12" x14ac:dyDescent="0.3">
      <c r="A234" t="s">
        <v>182</v>
      </c>
      <c r="B234" t="s">
        <v>34</v>
      </c>
      <c r="C234" s="1">
        <v>0.30199999999999999</v>
      </c>
      <c r="D234" s="1">
        <v>0.67500000000000004</v>
      </c>
      <c r="E234" s="1">
        <v>0.47</v>
      </c>
      <c r="F234" s="1">
        <v>0.70199999999999996</v>
      </c>
      <c r="G234" s="1">
        <v>0.91</v>
      </c>
      <c r="H234" s="1">
        <v>0.83699999999999997</v>
      </c>
      <c r="I234" s="1">
        <v>0.45100000000000001</v>
      </c>
      <c r="J234" s="1">
        <v>0.59199999999999997</v>
      </c>
      <c r="K234" s="1">
        <v>7.6999999999999999E-2</v>
      </c>
      <c r="L234">
        <v>8223</v>
      </c>
    </row>
    <row r="235" spans="1:12" x14ac:dyDescent="0.3">
      <c r="A235" t="s">
        <v>184</v>
      </c>
      <c r="B235" t="s">
        <v>34</v>
      </c>
      <c r="C235" s="1">
        <v>0.30099999999999999</v>
      </c>
      <c r="D235" s="1">
        <v>0.67</v>
      </c>
      <c r="E235" s="1">
        <v>0.47099999999999997</v>
      </c>
      <c r="F235" s="1">
        <v>0.73499999999999999</v>
      </c>
      <c r="G235" s="1">
        <v>0.88500000000000001</v>
      </c>
      <c r="H235" s="1">
        <v>0.83299999999999996</v>
      </c>
      <c r="I235" s="1">
        <v>0.46</v>
      </c>
      <c r="J235" s="1">
        <v>0.65</v>
      </c>
      <c r="K235" s="1">
        <v>7.9000000000000001E-2</v>
      </c>
      <c r="L235">
        <v>7754</v>
      </c>
    </row>
    <row r="236" spans="1:12" x14ac:dyDescent="0.3">
      <c r="A236" t="s">
        <v>231</v>
      </c>
      <c r="B236" t="s">
        <v>34</v>
      </c>
      <c r="C236" s="1">
        <v>0.30099999999999999</v>
      </c>
      <c r="D236" s="1">
        <v>0.69099999999999995</v>
      </c>
      <c r="E236" s="1">
        <v>0.48199999999999998</v>
      </c>
      <c r="F236" s="1">
        <v>0.63900000000000001</v>
      </c>
      <c r="G236" s="1">
        <v>0.77100000000000002</v>
      </c>
      <c r="H236" s="1">
        <v>0.72699999999999998</v>
      </c>
      <c r="I236" s="1">
        <v>0.46400000000000002</v>
      </c>
      <c r="J236" s="1">
        <v>0.63700000000000001</v>
      </c>
      <c r="K236" s="1">
        <v>0.13200000000000001</v>
      </c>
      <c r="L236">
        <v>6941</v>
      </c>
    </row>
    <row r="237" spans="1:12" x14ac:dyDescent="0.3">
      <c r="A237" t="s">
        <v>353</v>
      </c>
      <c r="B237" t="s">
        <v>58</v>
      </c>
      <c r="C237" s="1">
        <v>0.30099999999999999</v>
      </c>
      <c r="D237" s="1">
        <v>0.58399999999999996</v>
      </c>
      <c r="E237" s="1">
        <v>0.41599999999999998</v>
      </c>
      <c r="F237" s="1">
        <v>0.57499999999999996</v>
      </c>
      <c r="G237" s="1">
        <v>0.87</v>
      </c>
      <c r="H237" s="1">
        <v>0.74399999999999999</v>
      </c>
      <c r="I237" s="1">
        <v>0.40600000000000003</v>
      </c>
      <c r="J237" s="1">
        <v>0.55100000000000005</v>
      </c>
      <c r="K237" s="1">
        <v>0.107</v>
      </c>
      <c r="L237">
        <v>5114</v>
      </c>
    </row>
    <row r="238" spans="1:12" x14ac:dyDescent="0.3">
      <c r="A238" t="s">
        <v>85</v>
      </c>
      <c r="B238" t="s">
        <v>56</v>
      </c>
      <c r="C238" s="1">
        <v>0.30099999999999999</v>
      </c>
      <c r="D238" s="1">
        <v>0.66800000000000004</v>
      </c>
      <c r="E238" s="1">
        <v>0.46700000000000003</v>
      </c>
      <c r="F238" s="1">
        <v>0.72699999999999998</v>
      </c>
      <c r="G238" s="1">
        <v>0.85</v>
      </c>
      <c r="H238" s="1">
        <v>0.80700000000000005</v>
      </c>
      <c r="I238" s="1">
        <v>0.45100000000000001</v>
      </c>
      <c r="J238" s="1">
        <v>0.61499999999999999</v>
      </c>
      <c r="K238" s="1">
        <v>0.09</v>
      </c>
      <c r="L238">
        <v>15594</v>
      </c>
    </row>
    <row r="239" spans="1:12" x14ac:dyDescent="0.3">
      <c r="A239" t="s">
        <v>338</v>
      </c>
      <c r="B239" t="s">
        <v>38</v>
      </c>
      <c r="C239" s="1">
        <v>0.30099999999999999</v>
      </c>
      <c r="D239" s="1">
        <v>0.69099999999999995</v>
      </c>
      <c r="E239" s="1">
        <v>0.45400000000000001</v>
      </c>
      <c r="F239" s="1">
        <v>0.68700000000000006</v>
      </c>
      <c r="G239" s="1">
        <v>0.85</v>
      </c>
      <c r="H239" s="1">
        <v>0.78400000000000003</v>
      </c>
      <c r="I239" s="1">
        <v>0.39300000000000002</v>
      </c>
      <c r="J239" s="1">
        <v>0.60599999999999998</v>
      </c>
      <c r="K239" s="1">
        <v>9.8000000000000004E-2</v>
      </c>
      <c r="L239">
        <v>19341</v>
      </c>
    </row>
    <row r="240" spans="1:12" x14ac:dyDescent="0.3">
      <c r="A240" t="s">
        <v>226</v>
      </c>
      <c r="B240" t="s">
        <v>38</v>
      </c>
      <c r="C240" s="1">
        <v>0.3</v>
      </c>
      <c r="D240" s="1">
        <v>0.71599999999999997</v>
      </c>
      <c r="E240" s="1">
        <v>0.47499999999999998</v>
      </c>
      <c r="F240" s="1">
        <v>0.66400000000000003</v>
      </c>
      <c r="G240" s="1">
        <v>0.82199999999999995</v>
      </c>
      <c r="H240" s="1">
        <v>0.76400000000000001</v>
      </c>
      <c r="I240" s="1">
        <v>0.42099999999999999</v>
      </c>
      <c r="J240" s="1">
        <v>0.67900000000000005</v>
      </c>
      <c r="K240" s="1">
        <v>0.112</v>
      </c>
      <c r="L240">
        <v>3184</v>
      </c>
    </row>
    <row r="241" spans="1:12" x14ac:dyDescent="0.3">
      <c r="A241" t="s">
        <v>191</v>
      </c>
      <c r="B241" t="s">
        <v>62</v>
      </c>
      <c r="C241" s="1">
        <v>0.3</v>
      </c>
      <c r="D241" s="1">
        <v>0.65700000000000003</v>
      </c>
      <c r="E241" s="1">
        <v>0.46400000000000002</v>
      </c>
      <c r="F241" s="1">
        <v>0.54800000000000004</v>
      </c>
      <c r="G241" s="1">
        <v>0.84799999999999998</v>
      </c>
      <c r="H241" s="1">
        <v>0.74299999999999999</v>
      </c>
      <c r="I241" s="1">
        <v>0.45900000000000002</v>
      </c>
      <c r="J241" s="1">
        <v>0.58899999999999997</v>
      </c>
      <c r="K241" s="1">
        <v>0.11899999999999999</v>
      </c>
      <c r="L241">
        <v>14719</v>
      </c>
    </row>
    <row r="242" spans="1:12" x14ac:dyDescent="0.3">
      <c r="A242" t="s">
        <v>248</v>
      </c>
      <c r="B242" t="s">
        <v>77</v>
      </c>
      <c r="C242" s="1">
        <v>0.3</v>
      </c>
      <c r="D242" s="1">
        <v>0.70299999999999996</v>
      </c>
      <c r="E242" s="1">
        <v>0.45400000000000001</v>
      </c>
      <c r="F242" s="1">
        <v>0.70399999999999996</v>
      </c>
      <c r="G242" s="1">
        <v>0.86799999999999999</v>
      </c>
      <c r="H242" s="1">
        <v>0.80100000000000005</v>
      </c>
      <c r="I242" s="1">
        <v>0.38100000000000001</v>
      </c>
      <c r="J242" s="1">
        <v>0.58899999999999997</v>
      </c>
      <c r="K242" s="1">
        <v>0.09</v>
      </c>
      <c r="L242">
        <v>4930</v>
      </c>
    </row>
    <row r="243" spans="1:12" x14ac:dyDescent="0.3">
      <c r="A243" t="s">
        <v>69</v>
      </c>
      <c r="B243" t="s">
        <v>66</v>
      </c>
      <c r="C243" s="1">
        <v>0.3</v>
      </c>
      <c r="D243" s="1">
        <v>0.61599999999999999</v>
      </c>
      <c r="E243" s="1">
        <v>0.45300000000000001</v>
      </c>
      <c r="F243" s="1">
        <v>0.60599999999999998</v>
      </c>
      <c r="G243" s="1">
        <v>0.83599999999999997</v>
      </c>
      <c r="H243" s="1">
        <v>0.75700000000000001</v>
      </c>
      <c r="I243" s="1">
        <v>0.48399999999999999</v>
      </c>
      <c r="J243" s="1">
        <v>0.68</v>
      </c>
      <c r="K243" s="1">
        <v>0.11</v>
      </c>
      <c r="L243">
        <v>13449</v>
      </c>
    </row>
    <row r="244" spans="1:12" x14ac:dyDescent="0.3">
      <c r="A244" t="s">
        <v>350</v>
      </c>
      <c r="B244" t="s">
        <v>48</v>
      </c>
      <c r="C244" s="1">
        <v>0.3</v>
      </c>
      <c r="D244" s="1">
        <v>0.68899999999999995</v>
      </c>
      <c r="E244" s="1">
        <v>0.45800000000000002</v>
      </c>
      <c r="F244" s="1">
        <v>0.69799999999999995</v>
      </c>
      <c r="G244" s="1">
        <v>0.9</v>
      </c>
      <c r="H244" s="1">
        <v>0.82199999999999995</v>
      </c>
      <c r="I244" s="1">
        <v>0.40699999999999997</v>
      </c>
      <c r="J244" s="1">
        <v>0.58899999999999997</v>
      </c>
      <c r="K244" s="1">
        <v>8.2000000000000003E-2</v>
      </c>
      <c r="L244">
        <v>12272</v>
      </c>
    </row>
    <row r="245" spans="1:12" x14ac:dyDescent="0.3">
      <c r="A245" t="s">
        <v>360</v>
      </c>
      <c r="B245" t="s">
        <v>43</v>
      </c>
      <c r="C245" s="1">
        <v>0.3</v>
      </c>
      <c r="D245" s="1">
        <v>0.66500000000000004</v>
      </c>
      <c r="E245" s="1">
        <v>0.44400000000000001</v>
      </c>
      <c r="F245" s="1">
        <v>0.629</v>
      </c>
      <c r="G245" s="1">
        <v>0.83499999999999996</v>
      </c>
      <c r="H245" s="1">
        <v>0.75</v>
      </c>
      <c r="I245" s="1">
        <v>0.39400000000000002</v>
      </c>
      <c r="J245" s="1">
        <v>0.59199999999999997</v>
      </c>
      <c r="K245" s="1">
        <v>0.111</v>
      </c>
      <c r="L245">
        <v>18525</v>
      </c>
    </row>
    <row r="246" spans="1:12" x14ac:dyDescent="0.3">
      <c r="A246" t="s">
        <v>37</v>
      </c>
      <c r="B246" t="s">
        <v>38</v>
      </c>
      <c r="C246" s="1">
        <v>0.29899999999999999</v>
      </c>
      <c r="D246" s="1">
        <v>0.54100000000000004</v>
      </c>
      <c r="E246" s="1">
        <v>0.39</v>
      </c>
      <c r="F246" s="1">
        <v>0.498</v>
      </c>
      <c r="G246" s="1">
        <v>0.83299999999999996</v>
      </c>
      <c r="H246" s="1">
        <v>0.67200000000000004</v>
      </c>
      <c r="I246" s="1">
        <v>0.375</v>
      </c>
      <c r="J246" s="1">
        <v>0.58399999999999996</v>
      </c>
      <c r="K246" s="1">
        <v>0.128</v>
      </c>
      <c r="L246">
        <v>11428</v>
      </c>
    </row>
    <row r="247" spans="1:12" x14ac:dyDescent="0.3">
      <c r="A247" t="s">
        <v>47</v>
      </c>
      <c r="B247" t="s">
        <v>48</v>
      </c>
      <c r="C247" s="1">
        <v>0.29899999999999999</v>
      </c>
      <c r="D247" s="1">
        <v>0.65300000000000002</v>
      </c>
      <c r="E247" s="1">
        <v>0.45700000000000002</v>
      </c>
      <c r="F247" s="1">
        <v>0.60499999999999998</v>
      </c>
      <c r="G247" s="1">
        <v>0.83</v>
      </c>
      <c r="H247" s="1">
        <v>0.749</v>
      </c>
      <c r="I247" s="1">
        <v>0.44700000000000001</v>
      </c>
      <c r="J247" s="1">
        <v>0.66300000000000003</v>
      </c>
      <c r="K247" s="1">
        <v>0.115</v>
      </c>
      <c r="L247">
        <v>10756</v>
      </c>
    </row>
    <row r="248" spans="1:12" x14ac:dyDescent="0.3">
      <c r="A248" t="s">
        <v>152</v>
      </c>
      <c r="B248" t="s">
        <v>143</v>
      </c>
      <c r="C248" s="1">
        <v>0.29899999999999999</v>
      </c>
      <c r="D248" s="1">
        <v>0.72399999999999998</v>
      </c>
      <c r="E248" s="1">
        <v>0.48699999999999999</v>
      </c>
      <c r="F248" s="1">
        <v>0.61699999999999999</v>
      </c>
      <c r="G248" s="1">
        <v>0.81</v>
      </c>
      <c r="H248" s="1">
        <v>0.74399999999999999</v>
      </c>
      <c r="I248" s="1">
        <v>0.442</v>
      </c>
      <c r="J248" s="1">
        <v>0.627</v>
      </c>
      <c r="K248" s="1">
        <v>0.125</v>
      </c>
      <c r="L248">
        <v>2520</v>
      </c>
    </row>
    <row r="249" spans="1:12" x14ac:dyDescent="0.3">
      <c r="A249" t="s">
        <v>390</v>
      </c>
      <c r="B249" t="s">
        <v>146</v>
      </c>
      <c r="C249" s="1">
        <v>0.29899999999999999</v>
      </c>
      <c r="D249" s="1">
        <v>0.748</v>
      </c>
      <c r="E249" s="1">
        <v>0.48899999999999999</v>
      </c>
      <c r="F249" s="1">
        <v>0.70399999999999996</v>
      </c>
      <c r="G249" s="1">
        <v>0.89200000000000002</v>
      </c>
      <c r="H249" s="1">
        <v>0.82499999999999996</v>
      </c>
      <c r="I249" s="1">
        <v>0.42199999999999999</v>
      </c>
      <c r="J249" s="1">
        <v>0.625</v>
      </c>
      <c r="K249" s="1">
        <v>8.5000000000000006E-2</v>
      </c>
      <c r="L249">
        <v>16130</v>
      </c>
    </row>
    <row r="250" spans="1:12" x14ac:dyDescent="0.3">
      <c r="A250" t="s">
        <v>319</v>
      </c>
      <c r="B250" t="s">
        <v>89</v>
      </c>
      <c r="C250" s="1">
        <v>0.29799999999999999</v>
      </c>
      <c r="D250" s="1">
        <v>0.65700000000000003</v>
      </c>
      <c r="E250" s="1">
        <v>0.45800000000000002</v>
      </c>
      <c r="F250" s="1">
        <v>0.68200000000000005</v>
      </c>
      <c r="G250" s="1">
        <v>0.86</v>
      </c>
      <c r="H250" s="1">
        <v>0.79600000000000004</v>
      </c>
      <c r="I250" s="1">
        <v>0.44600000000000001</v>
      </c>
      <c r="J250" s="1">
        <v>0.68500000000000005</v>
      </c>
      <c r="K250" s="1">
        <v>9.4E-2</v>
      </c>
      <c r="L250">
        <v>16358</v>
      </c>
    </row>
    <row r="251" spans="1:12" x14ac:dyDescent="0.3">
      <c r="A251" t="s">
        <v>337</v>
      </c>
      <c r="B251" t="s">
        <v>95</v>
      </c>
      <c r="C251" s="1">
        <v>0.29799999999999999</v>
      </c>
      <c r="D251" s="1">
        <v>0.66400000000000003</v>
      </c>
      <c r="E251" s="1">
        <v>0.45600000000000002</v>
      </c>
      <c r="F251" s="1">
        <v>0.66400000000000003</v>
      </c>
      <c r="G251" s="1">
        <v>0.84699999999999998</v>
      </c>
      <c r="H251" s="1">
        <v>0.77900000000000003</v>
      </c>
      <c r="I251" s="1">
        <v>0.432</v>
      </c>
      <c r="J251" s="1">
        <v>0.60799999999999998</v>
      </c>
      <c r="K251" s="1">
        <v>0.10100000000000001</v>
      </c>
      <c r="L251">
        <v>15454</v>
      </c>
    </row>
    <row r="252" spans="1:12" x14ac:dyDescent="0.3">
      <c r="A252" t="s">
        <v>140</v>
      </c>
      <c r="B252" t="s">
        <v>71</v>
      </c>
      <c r="C252" s="1">
        <v>0.29799999999999999</v>
      </c>
      <c r="D252" s="1">
        <v>0.68500000000000005</v>
      </c>
      <c r="E252" s="1">
        <v>0.433</v>
      </c>
      <c r="F252" s="1">
        <v>0.76</v>
      </c>
      <c r="G252" s="1">
        <v>0.89400000000000002</v>
      </c>
      <c r="H252" s="1">
        <v>0.83399999999999996</v>
      </c>
      <c r="I252" s="1">
        <v>0.34899999999999998</v>
      </c>
      <c r="J252" s="1">
        <v>0.53600000000000003</v>
      </c>
      <c r="K252" s="1">
        <v>7.1999999999999995E-2</v>
      </c>
      <c r="L252">
        <v>13183</v>
      </c>
    </row>
    <row r="253" spans="1:12" x14ac:dyDescent="0.3">
      <c r="A253" t="s">
        <v>29</v>
      </c>
      <c r="B253" t="s">
        <v>30</v>
      </c>
      <c r="C253" s="1">
        <v>0.29699999999999999</v>
      </c>
      <c r="D253" s="1">
        <v>0.70699999999999996</v>
      </c>
      <c r="E253" s="1">
        <v>0.503</v>
      </c>
      <c r="F253" s="1">
        <v>0.53500000000000003</v>
      </c>
      <c r="G253" s="1">
        <v>0.79100000000000004</v>
      </c>
      <c r="H253" s="1">
        <v>0.71599999999999997</v>
      </c>
      <c r="I253" s="1">
        <v>0.502</v>
      </c>
      <c r="J253" s="1">
        <v>0.64800000000000002</v>
      </c>
      <c r="K253" s="1">
        <v>0.14299999999999999</v>
      </c>
      <c r="L253">
        <v>12076</v>
      </c>
    </row>
    <row r="254" spans="1:12" x14ac:dyDescent="0.3">
      <c r="A254" t="s">
        <v>101</v>
      </c>
      <c r="B254" t="s">
        <v>102</v>
      </c>
      <c r="C254" s="1">
        <v>0.29699999999999999</v>
      </c>
      <c r="D254" s="1">
        <v>0.68300000000000005</v>
      </c>
      <c r="E254" s="1">
        <v>0.46899999999999997</v>
      </c>
      <c r="F254" s="1">
        <v>0.74399999999999999</v>
      </c>
      <c r="G254" s="1">
        <v>0.84799999999999998</v>
      </c>
      <c r="H254" s="1">
        <v>0.81200000000000006</v>
      </c>
      <c r="I254" s="1">
        <v>0.44500000000000001</v>
      </c>
      <c r="J254" s="1">
        <v>0.505</v>
      </c>
      <c r="K254" s="1">
        <v>8.7999999999999995E-2</v>
      </c>
      <c r="L254">
        <v>18282</v>
      </c>
    </row>
    <row r="255" spans="1:12" x14ac:dyDescent="0.3">
      <c r="A255" t="s">
        <v>276</v>
      </c>
      <c r="B255" t="s">
        <v>146</v>
      </c>
      <c r="C255" s="1">
        <v>0.29699999999999999</v>
      </c>
      <c r="D255" s="1">
        <v>0.66500000000000004</v>
      </c>
      <c r="E255" s="1">
        <v>0.442</v>
      </c>
      <c r="F255" s="1">
        <v>0.58099999999999996</v>
      </c>
      <c r="G255" s="1">
        <v>0.84199999999999997</v>
      </c>
      <c r="H255" s="1">
        <v>0.73499999999999999</v>
      </c>
      <c r="I255" s="1">
        <v>0.39300000000000002</v>
      </c>
      <c r="J255" s="1">
        <v>0.52</v>
      </c>
      <c r="K255" s="1">
        <v>0.11700000000000001</v>
      </c>
      <c r="L255">
        <v>15684</v>
      </c>
    </row>
    <row r="256" spans="1:12" x14ac:dyDescent="0.3">
      <c r="A256" t="s">
        <v>318</v>
      </c>
      <c r="B256" t="s">
        <v>71</v>
      </c>
      <c r="C256" s="1">
        <v>0.29699999999999999</v>
      </c>
      <c r="D256" s="1">
        <v>0.625</v>
      </c>
      <c r="E256" s="1">
        <v>0.41399999999999998</v>
      </c>
      <c r="F256" s="1">
        <v>0.63900000000000001</v>
      </c>
      <c r="G256" s="1">
        <v>0.88900000000000001</v>
      </c>
      <c r="H256" s="1">
        <v>0.77400000000000002</v>
      </c>
      <c r="I256" s="1">
        <v>0.35899999999999999</v>
      </c>
      <c r="J256" s="1">
        <v>0.60499999999999998</v>
      </c>
      <c r="K256" s="1">
        <v>9.4E-2</v>
      </c>
      <c r="L256">
        <v>4300</v>
      </c>
    </row>
    <row r="257" spans="1:12" x14ac:dyDescent="0.3">
      <c r="A257" t="s">
        <v>31</v>
      </c>
      <c r="B257" t="s">
        <v>32</v>
      </c>
      <c r="C257" s="1">
        <v>0.29599999999999999</v>
      </c>
      <c r="D257" s="1">
        <v>0.6</v>
      </c>
      <c r="E257" s="1">
        <v>0.436</v>
      </c>
      <c r="F257" s="1">
        <v>0.54200000000000004</v>
      </c>
      <c r="G257" s="1">
        <v>0.83199999999999996</v>
      </c>
      <c r="H257" s="1">
        <v>0.72599999999999998</v>
      </c>
      <c r="I257" s="1">
        <v>0.46200000000000002</v>
      </c>
      <c r="J257" s="1">
        <v>0.57799999999999996</v>
      </c>
      <c r="K257" s="1">
        <v>0.12</v>
      </c>
      <c r="L257">
        <v>14374</v>
      </c>
    </row>
    <row r="258" spans="1:12" x14ac:dyDescent="0.3">
      <c r="A258" t="s">
        <v>249</v>
      </c>
      <c r="B258" t="s">
        <v>102</v>
      </c>
      <c r="C258" s="1">
        <v>0.29599999999999999</v>
      </c>
      <c r="D258" s="1">
        <v>0.65300000000000002</v>
      </c>
      <c r="E258" s="1">
        <v>0.44700000000000001</v>
      </c>
      <c r="F258" s="1">
        <v>0.65300000000000002</v>
      </c>
      <c r="G258" s="1">
        <v>0.88400000000000001</v>
      </c>
      <c r="H258" s="1">
        <v>0.79500000000000004</v>
      </c>
      <c r="I258" s="1">
        <v>0.42099999999999999</v>
      </c>
      <c r="J258" s="1">
        <v>0.505</v>
      </c>
      <c r="K258" s="1">
        <v>9.1999999999999998E-2</v>
      </c>
      <c r="L258">
        <v>17585</v>
      </c>
    </row>
    <row r="259" spans="1:12" x14ac:dyDescent="0.3">
      <c r="A259" t="s">
        <v>352</v>
      </c>
      <c r="B259" t="s">
        <v>40</v>
      </c>
      <c r="C259" s="1">
        <v>0.29599999999999999</v>
      </c>
      <c r="D259" s="1">
        <v>0.68400000000000005</v>
      </c>
      <c r="E259" s="1">
        <v>0.45400000000000001</v>
      </c>
      <c r="F259" s="1">
        <v>0.70199999999999996</v>
      </c>
      <c r="G259" s="1">
        <v>0.81</v>
      </c>
      <c r="H259" s="1">
        <v>0.76800000000000002</v>
      </c>
      <c r="I259" s="1">
        <v>0.40799999999999997</v>
      </c>
      <c r="J259" s="1">
        <v>0.63100000000000001</v>
      </c>
      <c r="K259" s="1">
        <v>0.105</v>
      </c>
      <c r="L259">
        <v>17874</v>
      </c>
    </row>
    <row r="260" spans="1:12" x14ac:dyDescent="0.3">
      <c r="A260" t="s">
        <v>126</v>
      </c>
      <c r="B260" t="s">
        <v>127</v>
      </c>
      <c r="C260" s="1">
        <v>0.29599999999999999</v>
      </c>
      <c r="D260" s="1">
        <v>0.70899999999999996</v>
      </c>
      <c r="E260" s="1">
        <v>0.48099999999999998</v>
      </c>
      <c r="F260" s="1">
        <v>0.63700000000000001</v>
      </c>
      <c r="G260" s="1">
        <v>0.874</v>
      </c>
      <c r="H260" s="1">
        <v>0.79300000000000004</v>
      </c>
      <c r="I260" s="1">
        <v>0.44800000000000001</v>
      </c>
      <c r="J260" s="1">
        <v>0.60899999999999999</v>
      </c>
      <c r="K260" s="1">
        <v>9.9000000000000005E-2</v>
      </c>
      <c r="L260">
        <v>6986</v>
      </c>
    </row>
    <row r="261" spans="1:12" x14ac:dyDescent="0.3">
      <c r="A261" t="s">
        <v>377</v>
      </c>
      <c r="B261" t="s">
        <v>127</v>
      </c>
      <c r="C261" s="1">
        <v>0.29599999999999999</v>
      </c>
      <c r="D261" s="1">
        <v>0.65700000000000003</v>
      </c>
      <c r="E261" s="1">
        <v>0.44500000000000001</v>
      </c>
      <c r="F261" s="1">
        <v>0.65500000000000003</v>
      </c>
      <c r="G261" s="1">
        <v>0.89500000000000002</v>
      </c>
      <c r="H261" s="1">
        <v>0.80200000000000005</v>
      </c>
      <c r="I261" s="1">
        <v>0.41399999999999998</v>
      </c>
      <c r="J261" s="1">
        <v>0.59099999999999997</v>
      </c>
      <c r="K261" s="1">
        <v>8.7999999999999995E-2</v>
      </c>
      <c r="L261">
        <v>14527</v>
      </c>
    </row>
    <row r="262" spans="1:12" x14ac:dyDescent="0.3">
      <c r="A262" t="s">
        <v>381</v>
      </c>
      <c r="B262" t="s">
        <v>46</v>
      </c>
      <c r="C262" s="1">
        <v>0.29499999999999998</v>
      </c>
      <c r="D262" s="1">
        <v>0.68300000000000005</v>
      </c>
      <c r="E262" s="1">
        <v>0.46200000000000002</v>
      </c>
      <c r="F262" s="1">
        <v>0.66400000000000003</v>
      </c>
      <c r="G262" s="1">
        <v>0.875</v>
      </c>
      <c r="H262" s="1">
        <v>0.79800000000000004</v>
      </c>
      <c r="I262" s="1">
        <v>0.43</v>
      </c>
      <c r="J262" s="1">
        <v>0.55900000000000005</v>
      </c>
      <c r="K262" s="1">
        <v>9.2999999999999999E-2</v>
      </c>
      <c r="L262">
        <v>17432</v>
      </c>
    </row>
    <row r="263" spans="1:12" x14ac:dyDescent="0.3">
      <c r="A263" t="s">
        <v>243</v>
      </c>
      <c r="B263" t="s">
        <v>83</v>
      </c>
      <c r="C263" s="1">
        <v>0.29399999999999998</v>
      </c>
      <c r="D263" s="1">
        <v>0.73399999999999999</v>
      </c>
      <c r="E263" s="1">
        <v>0.48199999999999998</v>
      </c>
      <c r="F263" s="1">
        <v>0.65600000000000003</v>
      </c>
      <c r="G263" s="1">
        <v>0.84</v>
      </c>
      <c r="H263" s="1">
        <v>0.77600000000000002</v>
      </c>
      <c r="I263" s="1">
        <v>0.42799999999999999</v>
      </c>
      <c r="J263" s="1">
        <v>0.60299999999999998</v>
      </c>
      <c r="K263" s="1">
        <v>0.108</v>
      </c>
      <c r="L263">
        <v>15046</v>
      </c>
    </row>
    <row r="264" spans="1:12" x14ac:dyDescent="0.3">
      <c r="A264" t="s">
        <v>150</v>
      </c>
      <c r="B264" t="s">
        <v>50</v>
      </c>
      <c r="C264" s="1">
        <v>0.29399999999999998</v>
      </c>
      <c r="D264" s="1">
        <v>0.69099999999999995</v>
      </c>
      <c r="E264" s="1">
        <v>0.47099999999999997</v>
      </c>
      <c r="F264" s="1">
        <v>0.59699999999999998</v>
      </c>
      <c r="G264" s="1">
        <v>0.81200000000000006</v>
      </c>
      <c r="H264" s="1">
        <v>0.73699999999999999</v>
      </c>
      <c r="I264" s="1">
        <v>0.44400000000000001</v>
      </c>
      <c r="J264" s="1">
        <v>0.57599999999999996</v>
      </c>
      <c r="K264" s="1">
        <v>0.124</v>
      </c>
      <c r="L264">
        <v>13684</v>
      </c>
    </row>
    <row r="265" spans="1:12" x14ac:dyDescent="0.3">
      <c r="A265" t="s">
        <v>279</v>
      </c>
      <c r="B265" t="s">
        <v>77</v>
      </c>
      <c r="C265" s="1">
        <v>0.29399999999999998</v>
      </c>
      <c r="D265" s="1">
        <v>0.65700000000000003</v>
      </c>
      <c r="E265" s="1">
        <v>0.441</v>
      </c>
      <c r="F265" s="1">
        <v>0.67300000000000004</v>
      </c>
      <c r="G265" s="1">
        <v>0.90300000000000002</v>
      </c>
      <c r="H265" s="1">
        <v>0.81100000000000005</v>
      </c>
      <c r="I265" s="1">
        <v>0.40400000000000003</v>
      </c>
      <c r="J265" s="1">
        <v>0.624</v>
      </c>
      <c r="K265" s="1">
        <v>8.3000000000000004E-2</v>
      </c>
      <c r="L265">
        <v>11423</v>
      </c>
    </row>
    <row r="266" spans="1:12" x14ac:dyDescent="0.3">
      <c r="A266" t="s">
        <v>220</v>
      </c>
      <c r="B266" t="s">
        <v>26</v>
      </c>
      <c r="C266" s="1">
        <v>0.29399999999999998</v>
      </c>
      <c r="D266" s="1">
        <v>0.68600000000000005</v>
      </c>
      <c r="E266" s="1">
        <v>0.44800000000000001</v>
      </c>
      <c r="F266" s="1">
        <v>0.60399999999999998</v>
      </c>
      <c r="G266" s="1">
        <v>0.879</v>
      </c>
      <c r="H266" s="1">
        <v>0.76900000000000002</v>
      </c>
      <c r="I266" s="1">
        <v>0.39200000000000002</v>
      </c>
      <c r="J266" s="1">
        <v>0.625</v>
      </c>
      <c r="K266" s="1">
        <v>0.10299999999999999</v>
      </c>
      <c r="L266">
        <v>19320</v>
      </c>
    </row>
    <row r="267" spans="1:12" x14ac:dyDescent="0.3">
      <c r="A267" t="s">
        <v>42</v>
      </c>
      <c r="B267" t="s">
        <v>43</v>
      </c>
      <c r="C267" s="1">
        <v>0.29399999999999998</v>
      </c>
      <c r="D267" s="1">
        <v>0.67900000000000005</v>
      </c>
      <c r="E267" s="1">
        <v>0.47099999999999997</v>
      </c>
      <c r="F267" s="1">
        <v>0.60599999999999998</v>
      </c>
      <c r="G267" s="1">
        <v>0.85799999999999998</v>
      </c>
      <c r="H267" s="1">
        <v>0.77300000000000002</v>
      </c>
      <c r="I267" s="1">
        <v>0.45900000000000002</v>
      </c>
      <c r="J267" s="1">
        <v>0.59199999999999997</v>
      </c>
      <c r="K267" s="1">
        <v>0.107</v>
      </c>
      <c r="L267">
        <v>16258</v>
      </c>
    </row>
    <row r="268" spans="1:12" x14ac:dyDescent="0.3">
      <c r="A268" t="s">
        <v>27</v>
      </c>
      <c r="B268" t="s">
        <v>28</v>
      </c>
      <c r="C268" s="1">
        <v>0.29299999999999998</v>
      </c>
      <c r="D268" s="1">
        <v>0.61199999999999999</v>
      </c>
      <c r="E268" s="1">
        <v>0.42099999999999999</v>
      </c>
      <c r="F268" s="1">
        <v>0.52400000000000002</v>
      </c>
      <c r="G268" s="1">
        <v>0.84299999999999997</v>
      </c>
      <c r="H268" s="1">
        <v>0.71099999999999997</v>
      </c>
      <c r="I268" s="1">
        <v>0.40200000000000002</v>
      </c>
      <c r="J268" s="1">
        <v>0.61599999999999999</v>
      </c>
      <c r="K268" s="1">
        <v>0.122</v>
      </c>
      <c r="L268">
        <v>3192</v>
      </c>
    </row>
    <row r="269" spans="1:12" x14ac:dyDescent="0.3">
      <c r="A269" t="s">
        <v>106</v>
      </c>
      <c r="B269" t="s">
        <v>75</v>
      </c>
      <c r="C269" s="1">
        <v>0.29299999999999998</v>
      </c>
      <c r="D269" s="1">
        <v>0.66900000000000004</v>
      </c>
      <c r="E269" s="1">
        <v>0.45500000000000002</v>
      </c>
      <c r="F269" s="1">
        <v>0.71599999999999997</v>
      </c>
      <c r="G269" s="1">
        <v>0.84399999999999997</v>
      </c>
      <c r="H269" s="1">
        <v>0.79700000000000004</v>
      </c>
      <c r="I269" s="1">
        <v>0.43099999999999999</v>
      </c>
      <c r="J269" s="1">
        <v>0.56699999999999995</v>
      </c>
      <c r="K269" s="1">
        <v>9.1999999999999998E-2</v>
      </c>
      <c r="L269">
        <v>16943</v>
      </c>
    </row>
    <row r="270" spans="1:12" x14ac:dyDescent="0.3">
      <c r="A270" t="s">
        <v>261</v>
      </c>
      <c r="B270" t="s">
        <v>48</v>
      </c>
      <c r="C270" s="1">
        <v>0.29299999999999998</v>
      </c>
      <c r="D270" s="1">
        <v>0.67900000000000005</v>
      </c>
      <c r="E270" s="1">
        <v>0.441</v>
      </c>
      <c r="F270" s="1">
        <v>0.55300000000000005</v>
      </c>
      <c r="G270" s="1">
        <v>0.85299999999999998</v>
      </c>
      <c r="H270" s="1">
        <v>0.73</v>
      </c>
      <c r="I270" s="1">
        <v>0.38400000000000001</v>
      </c>
      <c r="J270" s="1">
        <v>0.58499999999999996</v>
      </c>
      <c r="K270" s="1">
        <v>0.11899999999999999</v>
      </c>
      <c r="L270">
        <v>7466</v>
      </c>
    </row>
    <row r="271" spans="1:12" x14ac:dyDescent="0.3">
      <c r="A271" t="s">
        <v>190</v>
      </c>
      <c r="B271" t="s">
        <v>28</v>
      </c>
      <c r="C271" s="1">
        <v>0.29299999999999998</v>
      </c>
      <c r="D271" s="1">
        <v>0.69899999999999995</v>
      </c>
      <c r="E271" s="1">
        <v>0.443</v>
      </c>
      <c r="F271" s="1">
        <v>0.67600000000000005</v>
      </c>
      <c r="G271" s="1">
        <v>0.871</v>
      </c>
      <c r="H271" s="1">
        <v>0.79</v>
      </c>
      <c r="I271" s="1">
        <v>0.37</v>
      </c>
      <c r="J271" s="1">
        <v>0.55800000000000005</v>
      </c>
      <c r="K271" s="1">
        <v>9.2999999999999999E-2</v>
      </c>
      <c r="L271">
        <v>8779</v>
      </c>
    </row>
    <row r="272" spans="1:12" x14ac:dyDescent="0.3">
      <c r="A272" t="s">
        <v>384</v>
      </c>
      <c r="B272" t="s">
        <v>43</v>
      </c>
      <c r="C272" s="1">
        <v>0.29299999999999998</v>
      </c>
      <c r="D272" s="1">
        <v>0.68500000000000005</v>
      </c>
      <c r="E272" s="1">
        <v>0.46800000000000003</v>
      </c>
      <c r="F272" s="1">
        <v>0.77</v>
      </c>
      <c r="G272" s="1">
        <v>0.91</v>
      </c>
      <c r="H272" s="1">
        <v>0.86199999999999999</v>
      </c>
      <c r="I272" s="1">
        <v>0.44800000000000001</v>
      </c>
      <c r="J272" s="1">
        <v>0.58399999999999996</v>
      </c>
      <c r="K272" s="1">
        <v>6.5000000000000002E-2</v>
      </c>
      <c r="L272">
        <v>2859</v>
      </c>
    </row>
    <row r="273" spans="1:12" x14ac:dyDescent="0.3">
      <c r="A273" t="s">
        <v>172</v>
      </c>
      <c r="B273" t="s">
        <v>34</v>
      </c>
      <c r="C273" s="1">
        <v>0.29299999999999998</v>
      </c>
      <c r="D273" s="1">
        <v>0.65900000000000003</v>
      </c>
      <c r="E273" s="1">
        <v>0.46500000000000002</v>
      </c>
      <c r="F273" s="1">
        <v>0.71799999999999997</v>
      </c>
      <c r="G273" s="1">
        <v>0.85299999999999998</v>
      </c>
      <c r="H273" s="1">
        <v>0.80800000000000005</v>
      </c>
      <c r="I273" s="1">
        <v>0.47099999999999997</v>
      </c>
      <c r="J273" s="1">
        <v>0.626</v>
      </c>
      <c r="K273" s="1">
        <v>8.8999999999999996E-2</v>
      </c>
      <c r="L273">
        <v>12304</v>
      </c>
    </row>
    <row r="274" spans="1:12" x14ac:dyDescent="0.3">
      <c r="A274" t="s">
        <v>351</v>
      </c>
      <c r="B274" t="s">
        <v>26</v>
      </c>
      <c r="C274" s="1">
        <v>0.29199999999999998</v>
      </c>
      <c r="D274" s="1">
        <v>0.69099999999999995</v>
      </c>
      <c r="E274" s="1">
        <v>0.45900000000000002</v>
      </c>
      <c r="F274" s="1">
        <v>0.36399999999999999</v>
      </c>
      <c r="G274" s="1">
        <v>0.84</v>
      </c>
      <c r="H274" s="1">
        <v>0.66300000000000003</v>
      </c>
      <c r="I274" s="1">
        <v>0.41799999999999998</v>
      </c>
      <c r="J274" s="1">
        <v>0.59199999999999997</v>
      </c>
      <c r="K274" s="1">
        <v>0.155</v>
      </c>
      <c r="L274">
        <v>17793</v>
      </c>
    </row>
    <row r="275" spans="1:12" x14ac:dyDescent="0.3">
      <c r="A275" t="s">
        <v>229</v>
      </c>
      <c r="B275" t="s">
        <v>62</v>
      </c>
      <c r="C275" s="1">
        <v>0.29199999999999998</v>
      </c>
      <c r="D275" s="1">
        <v>0.67500000000000004</v>
      </c>
      <c r="E275" s="1">
        <v>0.46200000000000002</v>
      </c>
      <c r="F275" s="1">
        <v>0.68400000000000005</v>
      </c>
      <c r="G275" s="1">
        <v>0.86299999999999999</v>
      </c>
      <c r="H275" s="1">
        <v>0.8</v>
      </c>
      <c r="I275" s="1">
        <v>0.44400000000000001</v>
      </c>
      <c r="J275" s="1">
        <v>0.61199999999999999</v>
      </c>
      <c r="K275" s="1">
        <v>9.1999999999999998E-2</v>
      </c>
      <c r="L275">
        <v>10190</v>
      </c>
    </row>
    <row r="276" spans="1:12" x14ac:dyDescent="0.3">
      <c r="A276" t="s">
        <v>378</v>
      </c>
      <c r="B276" t="s">
        <v>193</v>
      </c>
      <c r="C276" s="1">
        <v>0.29199999999999998</v>
      </c>
      <c r="D276" s="1">
        <v>0.622</v>
      </c>
      <c r="E276" s="1">
        <v>0.43099999999999999</v>
      </c>
      <c r="F276" s="1">
        <v>0.64900000000000002</v>
      </c>
      <c r="G276" s="1">
        <v>0.89700000000000002</v>
      </c>
      <c r="H276" s="1">
        <v>0.8</v>
      </c>
      <c r="I276" s="1">
        <v>0.42199999999999999</v>
      </c>
      <c r="J276" s="1">
        <v>0.66800000000000004</v>
      </c>
      <c r="K276" s="1">
        <v>8.5999999999999993E-2</v>
      </c>
      <c r="L276">
        <v>4772</v>
      </c>
    </row>
    <row r="277" spans="1:12" x14ac:dyDescent="0.3">
      <c r="A277" t="s">
        <v>315</v>
      </c>
      <c r="B277" t="s">
        <v>83</v>
      </c>
      <c r="C277" s="1">
        <v>0.29099999999999998</v>
      </c>
      <c r="D277" s="1">
        <v>0.70299999999999996</v>
      </c>
      <c r="E277" s="1">
        <v>0.46</v>
      </c>
      <c r="F277" s="1">
        <v>0.54300000000000004</v>
      </c>
      <c r="G277" s="1">
        <v>0.88400000000000001</v>
      </c>
      <c r="H277" s="1">
        <v>0.75600000000000001</v>
      </c>
      <c r="I277" s="1">
        <v>0.41</v>
      </c>
      <c r="J277" s="1">
        <v>0.65600000000000003</v>
      </c>
      <c r="K277" s="1">
        <v>0.112</v>
      </c>
      <c r="L277">
        <v>16981</v>
      </c>
    </row>
    <row r="278" spans="1:12" x14ac:dyDescent="0.3">
      <c r="A278" t="s">
        <v>174</v>
      </c>
      <c r="B278" t="s">
        <v>75</v>
      </c>
      <c r="C278" s="1">
        <v>0.29099999999999998</v>
      </c>
      <c r="D278" s="1">
        <v>0.71699999999999997</v>
      </c>
      <c r="E278" s="1">
        <v>0.45100000000000001</v>
      </c>
      <c r="F278" s="1">
        <v>0.70499999999999996</v>
      </c>
      <c r="G278" s="1">
        <v>0.85499999999999998</v>
      </c>
      <c r="H278" s="1">
        <v>0.79500000000000004</v>
      </c>
      <c r="I278" s="1">
        <v>0.377</v>
      </c>
      <c r="J278" s="1">
        <v>0.59899999999999998</v>
      </c>
      <c r="K278" s="1">
        <v>9.2999999999999999E-2</v>
      </c>
      <c r="L278">
        <v>6797</v>
      </c>
    </row>
    <row r="279" spans="1:12" x14ac:dyDescent="0.3">
      <c r="A279" t="s">
        <v>372</v>
      </c>
      <c r="B279" t="s">
        <v>46</v>
      </c>
      <c r="C279" s="1">
        <v>0.28999999999999998</v>
      </c>
      <c r="D279" s="1">
        <v>0.68100000000000005</v>
      </c>
      <c r="E279" s="1">
        <v>0.46300000000000002</v>
      </c>
      <c r="F279" s="1">
        <v>0.629</v>
      </c>
      <c r="G279" s="1">
        <v>0.88700000000000001</v>
      </c>
      <c r="H279" s="1">
        <v>0.79700000000000004</v>
      </c>
      <c r="I279" s="1">
        <v>0.442</v>
      </c>
      <c r="J279" s="1">
        <v>0.70399999999999996</v>
      </c>
      <c r="K279" s="1">
        <v>9.4E-2</v>
      </c>
      <c r="L279">
        <v>10587</v>
      </c>
    </row>
    <row r="280" spans="1:12" x14ac:dyDescent="0.3">
      <c r="A280" t="s">
        <v>61</v>
      </c>
      <c r="B280" t="s">
        <v>62</v>
      </c>
      <c r="C280" s="1">
        <v>0.28999999999999998</v>
      </c>
      <c r="D280" s="1">
        <v>0.745</v>
      </c>
      <c r="E280" s="1">
        <v>0.503</v>
      </c>
      <c r="F280" s="1">
        <v>0.63700000000000001</v>
      </c>
      <c r="G280" s="1">
        <v>0.80900000000000005</v>
      </c>
      <c r="H280" s="1">
        <v>0.75600000000000001</v>
      </c>
      <c r="I280" s="1">
        <v>0.46800000000000003</v>
      </c>
      <c r="J280" s="1">
        <v>0.61099999999999999</v>
      </c>
      <c r="K280" s="1">
        <v>0.123</v>
      </c>
      <c r="L280">
        <v>11801</v>
      </c>
    </row>
    <row r="281" spans="1:12" x14ac:dyDescent="0.3">
      <c r="A281" t="s">
        <v>206</v>
      </c>
      <c r="B281" t="s">
        <v>48</v>
      </c>
      <c r="C281" s="1">
        <v>0.28999999999999998</v>
      </c>
      <c r="D281" s="1">
        <v>0.64700000000000002</v>
      </c>
      <c r="E281" s="1">
        <v>0.439</v>
      </c>
      <c r="F281" s="1">
        <v>0.71199999999999997</v>
      </c>
      <c r="G281" s="1">
        <v>0.88</v>
      </c>
      <c r="H281" s="1">
        <v>0.81499999999999995</v>
      </c>
      <c r="I281" s="1">
        <v>0.41699999999999998</v>
      </c>
      <c r="J281" s="1">
        <v>0.67600000000000005</v>
      </c>
      <c r="K281" s="1">
        <v>8.1000000000000003E-2</v>
      </c>
      <c r="L281">
        <v>7947</v>
      </c>
    </row>
    <row r="282" spans="1:12" x14ac:dyDescent="0.3">
      <c r="A282" t="s">
        <v>87</v>
      </c>
      <c r="B282" t="s">
        <v>83</v>
      </c>
      <c r="C282" s="1">
        <v>0.28999999999999998</v>
      </c>
      <c r="D282" s="1">
        <v>0.61899999999999999</v>
      </c>
      <c r="E282" s="1">
        <v>0.42199999999999999</v>
      </c>
      <c r="F282" s="1">
        <v>0.55600000000000005</v>
      </c>
      <c r="G282" s="1">
        <v>0.82899999999999996</v>
      </c>
      <c r="H282" s="1">
        <v>0.71699999999999997</v>
      </c>
      <c r="I282" s="1">
        <v>0.40200000000000002</v>
      </c>
      <c r="J282" s="1">
        <v>0.58899999999999997</v>
      </c>
      <c r="K282" s="1">
        <v>0.11899999999999999</v>
      </c>
      <c r="L282">
        <v>14966</v>
      </c>
    </row>
    <row r="283" spans="1:12" x14ac:dyDescent="0.3">
      <c r="A283" t="s">
        <v>336</v>
      </c>
      <c r="B283" t="s">
        <v>43</v>
      </c>
      <c r="C283" s="1">
        <v>0.28899999999999998</v>
      </c>
      <c r="D283" s="1">
        <v>0.71099999999999997</v>
      </c>
      <c r="E283" s="1">
        <v>0.48599999999999999</v>
      </c>
      <c r="F283" s="1">
        <v>0.64900000000000002</v>
      </c>
      <c r="G283" s="1">
        <v>0.83099999999999996</v>
      </c>
      <c r="H283" s="1">
        <v>0.77300000000000002</v>
      </c>
      <c r="I283" s="1">
        <v>0.46800000000000003</v>
      </c>
      <c r="J283" s="1">
        <v>0.60099999999999998</v>
      </c>
      <c r="K283" s="1">
        <v>0.11</v>
      </c>
      <c r="L283">
        <v>16400</v>
      </c>
    </row>
    <row r="284" spans="1:12" x14ac:dyDescent="0.3">
      <c r="A284" t="s">
        <v>278</v>
      </c>
      <c r="B284" t="s">
        <v>48</v>
      </c>
      <c r="C284" s="1">
        <v>0.28899999999999998</v>
      </c>
      <c r="D284" s="1">
        <v>0.69199999999999995</v>
      </c>
      <c r="E284" s="1">
        <v>0.45200000000000001</v>
      </c>
      <c r="F284" s="1">
        <v>0.67600000000000005</v>
      </c>
      <c r="G284" s="1">
        <v>0.86099999999999999</v>
      </c>
      <c r="H284" s="1">
        <v>0.79</v>
      </c>
      <c r="I284" s="1">
        <v>0.40500000000000003</v>
      </c>
      <c r="J284" s="1">
        <v>0.54700000000000004</v>
      </c>
      <c r="K284" s="1">
        <v>9.5000000000000001E-2</v>
      </c>
      <c r="L284">
        <v>8782</v>
      </c>
    </row>
    <row r="285" spans="1:12" x14ac:dyDescent="0.3">
      <c r="A285" t="s">
        <v>299</v>
      </c>
      <c r="B285" t="s">
        <v>48</v>
      </c>
      <c r="C285" s="1">
        <v>0.28899999999999998</v>
      </c>
      <c r="D285" s="1">
        <v>0.66700000000000004</v>
      </c>
      <c r="E285" s="1">
        <v>0.45300000000000001</v>
      </c>
      <c r="F285" s="1">
        <v>0.64900000000000002</v>
      </c>
      <c r="G285" s="1">
        <v>0.81499999999999995</v>
      </c>
      <c r="H285" s="1">
        <v>0.755</v>
      </c>
      <c r="I285" s="1">
        <v>0.435</v>
      </c>
      <c r="J285" s="1">
        <v>0.57599999999999996</v>
      </c>
      <c r="K285" s="1">
        <v>0.111</v>
      </c>
      <c r="L285">
        <v>11426</v>
      </c>
    </row>
    <row r="286" spans="1:12" x14ac:dyDescent="0.3">
      <c r="A286" t="s">
        <v>233</v>
      </c>
      <c r="B286" t="s">
        <v>143</v>
      </c>
      <c r="C286" s="1">
        <v>0.28799999999999998</v>
      </c>
      <c r="D286" s="1">
        <v>0.66700000000000004</v>
      </c>
      <c r="E286" s="1">
        <v>0.438</v>
      </c>
      <c r="F286" s="1">
        <v>0.56899999999999995</v>
      </c>
      <c r="G286" s="1">
        <v>0.77200000000000002</v>
      </c>
      <c r="H286" s="1">
        <v>0.69099999999999995</v>
      </c>
      <c r="I286" s="1">
        <v>0.39600000000000002</v>
      </c>
      <c r="J286" s="1">
        <v>0.58899999999999997</v>
      </c>
      <c r="K286" s="1">
        <v>0.13500000000000001</v>
      </c>
      <c r="L286">
        <v>14524</v>
      </c>
    </row>
    <row r="287" spans="1:12" x14ac:dyDescent="0.3">
      <c r="A287" t="s">
        <v>258</v>
      </c>
      <c r="B287" t="s">
        <v>75</v>
      </c>
      <c r="C287" s="1">
        <v>0.28699999999999998</v>
      </c>
      <c r="D287" s="1">
        <v>0.73699999999999999</v>
      </c>
      <c r="E287" s="1">
        <v>0.48599999999999999</v>
      </c>
      <c r="F287" s="1">
        <v>0.63</v>
      </c>
      <c r="G287" s="1">
        <v>0.85899999999999999</v>
      </c>
      <c r="H287" s="1">
        <v>0.78300000000000003</v>
      </c>
      <c r="I287" s="1">
        <v>0.442</v>
      </c>
      <c r="J287" s="1">
        <v>0.60299999999999998</v>
      </c>
      <c r="K287" s="1">
        <v>0.105</v>
      </c>
      <c r="L287">
        <v>10811</v>
      </c>
    </row>
    <row r="288" spans="1:12" x14ac:dyDescent="0.3">
      <c r="A288" t="s">
        <v>211</v>
      </c>
      <c r="B288" t="s">
        <v>38</v>
      </c>
      <c r="C288" s="1">
        <v>0.28699999999999998</v>
      </c>
      <c r="D288" s="1">
        <v>0.64100000000000001</v>
      </c>
      <c r="E288" s="1">
        <v>0.42499999999999999</v>
      </c>
      <c r="F288" s="1">
        <v>0.55100000000000005</v>
      </c>
      <c r="G288" s="1">
        <v>0.86199999999999999</v>
      </c>
      <c r="H288" s="1">
        <v>0.73399999999999999</v>
      </c>
      <c r="I288" s="1">
        <v>0.39</v>
      </c>
      <c r="J288" s="1">
        <v>0.53</v>
      </c>
      <c r="K288" s="1">
        <v>0.113</v>
      </c>
      <c r="L288">
        <v>12997</v>
      </c>
    </row>
    <row r="289" spans="1:12" x14ac:dyDescent="0.3">
      <c r="A289" t="s">
        <v>235</v>
      </c>
      <c r="B289" t="s">
        <v>127</v>
      </c>
      <c r="C289" s="1">
        <v>0.28699999999999998</v>
      </c>
      <c r="D289" s="1">
        <v>0.7</v>
      </c>
      <c r="E289" s="1">
        <v>0.47399999999999998</v>
      </c>
      <c r="F289" s="1">
        <v>0.625</v>
      </c>
      <c r="G289" s="1">
        <v>0.86199999999999999</v>
      </c>
      <c r="H289" s="1">
        <v>0.78300000000000003</v>
      </c>
      <c r="I289" s="1">
        <v>0.45300000000000001</v>
      </c>
      <c r="J289" s="1">
        <v>0.59799999999999998</v>
      </c>
      <c r="K289" s="1">
        <v>0.10299999999999999</v>
      </c>
      <c r="L289">
        <v>3542</v>
      </c>
    </row>
    <row r="290" spans="1:12" x14ac:dyDescent="0.3">
      <c r="A290" t="s">
        <v>110</v>
      </c>
      <c r="B290" t="s">
        <v>62</v>
      </c>
      <c r="C290" s="1">
        <v>0.28599999999999998</v>
      </c>
      <c r="D290" s="1">
        <v>0.63700000000000001</v>
      </c>
      <c r="E290" s="1">
        <v>0.439</v>
      </c>
      <c r="F290" s="1">
        <v>0.50900000000000001</v>
      </c>
      <c r="G290" s="1">
        <v>0.85499999999999998</v>
      </c>
      <c r="H290" s="1">
        <v>0.72799999999999998</v>
      </c>
      <c r="I290" s="1">
        <v>0.435</v>
      </c>
      <c r="J290" s="1">
        <v>0.57799999999999996</v>
      </c>
      <c r="K290" s="1">
        <v>0.11899999999999999</v>
      </c>
      <c r="L290">
        <v>13360</v>
      </c>
    </row>
    <row r="291" spans="1:12" x14ac:dyDescent="0.3">
      <c r="A291" t="s">
        <v>99</v>
      </c>
      <c r="B291" t="s">
        <v>66</v>
      </c>
      <c r="C291" s="1">
        <v>0.28499999999999998</v>
      </c>
      <c r="D291" s="1">
        <v>0.70399999999999996</v>
      </c>
      <c r="E291" s="1">
        <v>0.46200000000000002</v>
      </c>
      <c r="F291" s="1">
        <v>0.54200000000000004</v>
      </c>
      <c r="G291" s="1">
        <v>0.81</v>
      </c>
      <c r="H291" s="1">
        <v>0.71399999999999997</v>
      </c>
      <c r="I291" s="1">
        <v>0.42299999999999999</v>
      </c>
      <c r="J291" s="1">
        <v>0.58599999999999997</v>
      </c>
      <c r="K291" s="1">
        <v>0.13200000000000001</v>
      </c>
      <c r="L291">
        <v>6398</v>
      </c>
    </row>
    <row r="292" spans="1:12" x14ac:dyDescent="0.3">
      <c r="A292" t="s">
        <v>369</v>
      </c>
      <c r="B292" t="s">
        <v>38</v>
      </c>
      <c r="C292" s="1">
        <v>0.28499999999999998</v>
      </c>
      <c r="D292" s="1">
        <v>0.64800000000000002</v>
      </c>
      <c r="E292" s="1">
        <v>0.439</v>
      </c>
      <c r="F292" s="1">
        <v>0.58499999999999996</v>
      </c>
      <c r="G292" s="1">
        <v>0.86199999999999999</v>
      </c>
      <c r="H292" s="1">
        <v>0.75900000000000001</v>
      </c>
      <c r="I292" s="1">
        <v>0.42499999999999999</v>
      </c>
      <c r="J292" s="1">
        <v>0.65200000000000002</v>
      </c>
      <c r="K292" s="1">
        <v>0.106</v>
      </c>
      <c r="L292">
        <v>9132</v>
      </c>
    </row>
    <row r="293" spans="1:12" x14ac:dyDescent="0.3">
      <c r="A293" t="s">
        <v>286</v>
      </c>
      <c r="B293" t="s">
        <v>43</v>
      </c>
      <c r="C293" s="1">
        <v>0.28399999999999997</v>
      </c>
      <c r="D293" s="1">
        <v>0.61399999999999999</v>
      </c>
      <c r="E293" s="1">
        <v>0.40200000000000002</v>
      </c>
      <c r="F293" s="1">
        <v>0.40100000000000002</v>
      </c>
      <c r="G293" s="1">
        <v>0.85799999999999998</v>
      </c>
      <c r="H293" s="1">
        <v>0.65100000000000002</v>
      </c>
      <c r="I293" s="1">
        <v>0.35899999999999999</v>
      </c>
      <c r="J293" s="1">
        <v>0.45800000000000002</v>
      </c>
      <c r="K293" s="1">
        <v>0.14000000000000001</v>
      </c>
      <c r="L293">
        <v>16159</v>
      </c>
    </row>
    <row r="294" spans="1:12" x14ac:dyDescent="0.3">
      <c r="A294" t="s">
        <v>246</v>
      </c>
      <c r="B294" t="s">
        <v>26</v>
      </c>
      <c r="C294" s="1">
        <v>0.28399999999999997</v>
      </c>
      <c r="D294" s="1">
        <v>0.69</v>
      </c>
      <c r="E294" s="1">
        <v>0.47199999999999998</v>
      </c>
      <c r="F294" s="1">
        <v>0.66200000000000003</v>
      </c>
      <c r="G294" s="1">
        <v>0.9</v>
      </c>
      <c r="H294" s="1">
        <v>0.82399999999999995</v>
      </c>
      <c r="I294" s="1">
        <v>0.46300000000000002</v>
      </c>
      <c r="J294" s="1">
        <v>0.63700000000000001</v>
      </c>
      <c r="K294" s="1">
        <v>8.3000000000000004E-2</v>
      </c>
      <c r="L294">
        <v>19316</v>
      </c>
    </row>
    <row r="295" spans="1:12" x14ac:dyDescent="0.3">
      <c r="A295" t="s">
        <v>358</v>
      </c>
      <c r="B295" t="s">
        <v>48</v>
      </c>
      <c r="C295" s="1">
        <v>0.28299999999999997</v>
      </c>
      <c r="D295" s="1">
        <v>0.74299999999999999</v>
      </c>
      <c r="E295" s="1">
        <v>0.48899999999999999</v>
      </c>
      <c r="F295" s="1">
        <v>0.66100000000000003</v>
      </c>
      <c r="G295" s="1">
        <v>0.80100000000000005</v>
      </c>
      <c r="H295" s="1">
        <v>0.75600000000000001</v>
      </c>
      <c r="I295" s="1">
        <v>0.44700000000000001</v>
      </c>
      <c r="J295" s="1">
        <v>0.56499999999999995</v>
      </c>
      <c r="K295" s="1">
        <v>0.11899999999999999</v>
      </c>
      <c r="L295">
        <v>12857</v>
      </c>
    </row>
    <row r="296" spans="1:12" x14ac:dyDescent="0.3">
      <c r="A296" t="s">
        <v>361</v>
      </c>
      <c r="B296" t="s">
        <v>143</v>
      </c>
      <c r="C296" s="1">
        <v>0.28299999999999997</v>
      </c>
      <c r="D296" s="1">
        <v>0.68700000000000006</v>
      </c>
      <c r="E296" s="1">
        <v>0.45900000000000002</v>
      </c>
      <c r="F296" s="1">
        <v>0.73599999999999999</v>
      </c>
      <c r="G296" s="1">
        <v>0.89700000000000002</v>
      </c>
      <c r="H296" s="1">
        <v>0.84099999999999997</v>
      </c>
      <c r="I296" s="1">
        <v>0.437</v>
      </c>
      <c r="J296" s="1">
        <v>0.625</v>
      </c>
      <c r="K296" s="1">
        <v>7.2999999999999995E-2</v>
      </c>
      <c r="L296">
        <v>17030</v>
      </c>
    </row>
    <row r="297" spans="1:12" x14ac:dyDescent="0.3">
      <c r="A297" t="s">
        <v>272</v>
      </c>
      <c r="B297" t="s">
        <v>95</v>
      </c>
      <c r="C297" s="1">
        <v>0.28299999999999997</v>
      </c>
      <c r="D297" s="1">
        <v>0.64</v>
      </c>
      <c r="E297" s="1">
        <v>0.434</v>
      </c>
      <c r="F297" s="1">
        <v>0.73399999999999999</v>
      </c>
      <c r="G297" s="1">
        <v>0.89600000000000002</v>
      </c>
      <c r="H297" s="1">
        <v>0.83499999999999996</v>
      </c>
      <c r="I297" s="1">
        <v>0.42399999999999999</v>
      </c>
      <c r="J297" s="1">
        <v>0.58899999999999997</v>
      </c>
      <c r="K297" s="1">
        <v>7.1999999999999995E-2</v>
      </c>
      <c r="L297">
        <v>4153</v>
      </c>
    </row>
    <row r="298" spans="1:12" x14ac:dyDescent="0.3">
      <c r="A298" t="s">
        <v>78</v>
      </c>
      <c r="B298" t="s">
        <v>58</v>
      </c>
      <c r="C298" s="1">
        <v>0.28199999999999997</v>
      </c>
      <c r="D298" s="1">
        <v>0.66200000000000003</v>
      </c>
      <c r="E298" s="1">
        <v>0.46</v>
      </c>
      <c r="F298" s="1">
        <v>0.63500000000000001</v>
      </c>
      <c r="G298" s="1">
        <v>0.81200000000000006</v>
      </c>
      <c r="H298" s="1">
        <v>0.754</v>
      </c>
      <c r="I298" s="1">
        <v>0.46700000000000003</v>
      </c>
      <c r="J298" s="1">
        <v>0.58299999999999996</v>
      </c>
      <c r="K298" s="1">
        <v>0.113</v>
      </c>
      <c r="L298">
        <v>12447</v>
      </c>
    </row>
    <row r="299" spans="1:12" x14ac:dyDescent="0.3">
      <c r="A299" t="s">
        <v>260</v>
      </c>
      <c r="B299" t="s">
        <v>48</v>
      </c>
      <c r="C299" s="1">
        <v>0.28199999999999997</v>
      </c>
      <c r="D299" s="1">
        <v>0.66400000000000003</v>
      </c>
      <c r="E299" s="1">
        <v>0.437</v>
      </c>
      <c r="F299" s="1">
        <v>0.61399999999999999</v>
      </c>
      <c r="G299" s="1">
        <v>0.81799999999999995</v>
      </c>
      <c r="H299" s="1">
        <v>0.74</v>
      </c>
      <c r="I299" s="1">
        <v>0.40600000000000003</v>
      </c>
      <c r="J299" s="1">
        <v>0.59199999999999997</v>
      </c>
      <c r="K299" s="1">
        <v>0.114</v>
      </c>
      <c r="L299">
        <v>5224</v>
      </c>
    </row>
    <row r="300" spans="1:12" x14ac:dyDescent="0.3">
      <c r="A300" t="s">
        <v>224</v>
      </c>
      <c r="B300" t="s">
        <v>58</v>
      </c>
      <c r="C300" s="1">
        <v>0.28199999999999997</v>
      </c>
      <c r="D300" s="1">
        <v>0.68</v>
      </c>
      <c r="E300" s="1">
        <v>0.46100000000000002</v>
      </c>
      <c r="F300" s="1">
        <v>0.67500000000000004</v>
      </c>
      <c r="G300" s="1">
        <v>0.84799999999999998</v>
      </c>
      <c r="H300" s="1">
        <v>0.79</v>
      </c>
      <c r="I300" s="1">
        <v>0.45</v>
      </c>
      <c r="J300" s="1">
        <v>0.56399999999999995</v>
      </c>
      <c r="K300" s="1">
        <v>9.7000000000000003E-2</v>
      </c>
      <c r="L300">
        <v>13361</v>
      </c>
    </row>
    <row r="301" spans="1:12" x14ac:dyDescent="0.3">
      <c r="A301" t="s">
        <v>376</v>
      </c>
      <c r="B301" t="s">
        <v>48</v>
      </c>
      <c r="C301" s="1">
        <v>0.28199999999999997</v>
      </c>
      <c r="D301" s="1">
        <v>0.65700000000000003</v>
      </c>
      <c r="E301" s="1">
        <v>0.442</v>
      </c>
      <c r="F301" s="1">
        <v>0.622</v>
      </c>
      <c r="G301" s="1">
        <v>0.83799999999999997</v>
      </c>
      <c r="H301" s="1">
        <v>0.75900000000000001</v>
      </c>
      <c r="I301" s="1">
        <v>0.42699999999999999</v>
      </c>
      <c r="J301" s="1">
        <v>0.59499999999999997</v>
      </c>
      <c r="K301" s="1">
        <v>0.107</v>
      </c>
      <c r="L301">
        <v>11760</v>
      </c>
    </row>
    <row r="302" spans="1:12" x14ac:dyDescent="0.3">
      <c r="A302" t="s">
        <v>340</v>
      </c>
      <c r="B302" t="s">
        <v>193</v>
      </c>
      <c r="C302" s="1">
        <v>0.28199999999999997</v>
      </c>
      <c r="D302" s="1">
        <v>0.70099999999999996</v>
      </c>
      <c r="E302" s="1">
        <v>0.47599999999999998</v>
      </c>
      <c r="F302" s="1">
        <v>0.64600000000000002</v>
      </c>
      <c r="G302" s="1">
        <v>0.89300000000000002</v>
      </c>
      <c r="H302" s="1">
        <v>0.81499999999999995</v>
      </c>
      <c r="I302" s="1">
        <v>0.46300000000000002</v>
      </c>
      <c r="J302" s="1">
        <v>0.59199999999999997</v>
      </c>
      <c r="K302" s="1">
        <v>8.7999999999999995E-2</v>
      </c>
      <c r="L302">
        <v>20633</v>
      </c>
    </row>
    <row r="303" spans="1:12" x14ac:dyDescent="0.3">
      <c r="A303" t="s">
        <v>236</v>
      </c>
      <c r="B303" t="s">
        <v>48</v>
      </c>
      <c r="C303" s="1">
        <v>0.28100000000000003</v>
      </c>
      <c r="D303" s="1">
        <v>0.70799999999999996</v>
      </c>
      <c r="E303" s="1">
        <v>0.45500000000000002</v>
      </c>
      <c r="F303" s="1">
        <v>0.70399999999999996</v>
      </c>
      <c r="G303" s="1">
        <v>0.877</v>
      </c>
      <c r="H303" s="1">
        <v>0.81299999999999994</v>
      </c>
      <c r="I303" s="1">
        <v>0.40600000000000003</v>
      </c>
      <c r="J303" s="1">
        <v>0.57199999999999995</v>
      </c>
      <c r="K303" s="1">
        <v>8.5000000000000006E-2</v>
      </c>
      <c r="L303">
        <v>8753</v>
      </c>
    </row>
    <row r="304" spans="1:12" x14ac:dyDescent="0.3">
      <c r="A304" t="s">
        <v>365</v>
      </c>
      <c r="B304" t="s">
        <v>159</v>
      </c>
      <c r="C304" s="1">
        <v>0.28000000000000003</v>
      </c>
      <c r="D304" s="1">
        <v>0.63400000000000001</v>
      </c>
      <c r="E304" s="1">
        <v>0.44500000000000001</v>
      </c>
      <c r="F304" s="1">
        <v>0.56000000000000005</v>
      </c>
      <c r="G304" s="1">
        <v>0.90300000000000002</v>
      </c>
      <c r="H304" s="1">
        <v>0.78800000000000003</v>
      </c>
      <c r="I304" s="1">
        <v>0.46700000000000003</v>
      </c>
      <c r="J304" s="1">
        <v>0.624</v>
      </c>
      <c r="K304" s="1">
        <v>9.4E-2</v>
      </c>
      <c r="L304">
        <v>13424</v>
      </c>
    </row>
    <row r="305" spans="1:12" x14ac:dyDescent="0.3">
      <c r="A305" t="s">
        <v>392</v>
      </c>
      <c r="B305" t="s">
        <v>62</v>
      </c>
      <c r="C305" s="1">
        <v>0.27900000000000003</v>
      </c>
      <c r="D305" s="1">
        <v>0.7</v>
      </c>
      <c r="E305" s="1">
        <v>0.45500000000000002</v>
      </c>
      <c r="F305" s="1">
        <v>0.57899999999999996</v>
      </c>
      <c r="G305" s="1">
        <v>0.86599999999999999</v>
      </c>
      <c r="H305" s="1">
        <v>0.76300000000000001</v>
      </c>
      <c r="I305" s="1">
        <v>0.41699999999999998</v>
      </c>
      <c r="J305" s="1">
        <v>0.54100000000000004</v>
      </c>
      <c r="K305" s="1">
        <v>0.108</v>
      </c>
      <c r="L305">
        <v>19911</v>
      </c>
    </row>
    <row r="306" spans="1:12" x14ac:dyDescent="0.3">
      <c r="A306" t="s">
        <v>262</v>
      </c>
      <c r="B306" t="s">
        <v>53</v>
      </c>
      <c r="C306" s="1">
        <v>0.27900000000000003</v>
      </c>
      <c r="D306" s="1">
        <v>0.57899999999999996</v>
      </c>
      <c r="E306" s="1">
        <v>0.41899999999999998</v>
      </c>
      <c r="F306" s="1">
        <v>0.624</v>
      </c>
      <c r="G306" s="1">
        <v>0.83499999999999996</v>
      </c>
      <c r="H306" s="1">
        <v>0.76</v>
      </c>
      <c r="I306" s="1">
        <v>0.46800000000000003</v>
      </c>
      <c r="J306" s="1">
        <v>0.56200000000000006</v>
      </c>
      <c r="K306" s="1">
        <v>0.10100000000000001</v>
      </c>
      <c r="L306">
        <v>9761</v>
      </c>
    </row>
    <row r="307" spans="1:12" x14ac:dyDescent="0.3">
      <c r="A307" t="s">
        <v>163</v>
      </c>
      <c r="B307" t="s">
        <v>77</v>
      </c>
      <c r="C307" s="1">
        <v>0.27900000000000003</v>
      </c>
      <c r="D307" s="1">
        <v>0.64200000000000002</v>
      </c>
      <c r="E307" s="1">
        <v>0.42299999999999999</v>
      </c>
      <c r="F307" s="1">
        <v>0.627</v>
      </c>
      <c r="G307" s="1">
        <v>0.88</v>
      </c>
      <c r="H307" s="1">
        <v>0.77900000000000003</v>
      </c>
      <c r="I307" s="1">
        <v>0.39500000000000002</v>
      </c>
      <c r="J307" s="1">
        <v>0.54</v>
      </c>
      <c r="K307" s="1">
        <v>9.2999999999999999E-2</v>
      </c>
      <c r="L307">
        <v>4338</v>
      </c>
    </row>
    <row r="308" spans="1:12" x14ac:dyDescent="0.3">
      <c r="A308" t="s">
        <v>371</v>
      </c>
      <c r="B308" t="s">
        <v>127</v>
      </c>
      <c r="C308" s="1">
        <v>0.27800000000000002</v>
      </c>
      <c r="D308" s="1">
        <v>0.72499999999999998</v>
      </c>
      <c r="E308" s="1">
        <v>0.47699999999999998</v>
      </c>
      <c r="F308" s="1">
        <v>0.70599999999999996</v>
      </c>
      <c r="G308" s="1">
        <v>0.90900000000000003</v>
      </c>
      <c r="H308" s="1">
        <v>0.84299999999999997</v>
      </c>
      <c r="I308" s="1">
        <v>0.44600000000000001</v>
      </c>
      <c r="J308" s="1">
        <v>0.61699999999999999</v>
      </c>
      <c r="K308" s="1">
        <v>7.4999999999999997E-2</v>
      </c>
      <c r="L308">
        <v>15200</v>
      </c>
    </row>
    <row r="309" spans="1:12" x14ac:dyDescent="0.3">
      <c r="A309" t="s">
        <v>161</v>
      </c>
      <c r="B309" t="s">
        <v>46</v>
      </c>
      <c r="C309" s="1">
        <v>0.27700000000000002</v>
      </c>
      <c r="D309" s="1">
        <v>0.72199999999999998</v>
      </c>
      <c r="E309" s="1">
        <v>0.497</v>
      </c>
      <c r="F309" s="1">
        <v>0.57499999999999996</v>
      </c>
      <c r="G309" s="1">
        <v>0.77600000000000002</v>
      </c>
      <c r="H309" s="1">
        <v>0.71899999999999997</v>
      </c>
      <c r="I309" s="1">
        <v>0.49399999999999999</v>
      </c>
      <c r="J309" s="1">
        <v>0.64600000000000002</v>
      </c>
      <c r="K309" s="1">
        <v>0.14000000000000001</v>
      </c>
      <c r="L309">
        <v>14542</v>
      </c>
    </row>
    <row r="310" spans="1:12" x14ac:dyDescent="0.3">
      <c r="A310" t="s">
        <v>364</v>
      </c>
      <c r="B310" t="s">
        <v>48</v>
      </c>
      <c r="C310" s="1">
        <v>0.27600000000000002</v>
      </c>
      <c r="D310" s="1">
        <v>0.68400000000000005</v>
      </c>
      <c r="E310" s="1">
        <v>0.44400000000000001</v>
      </c>
      <c r="F310" s="1">
        <v>0.67600000000000005</v>
      </c>
      <c r="G310" s="1">
        <v>0.872</v>
      </c>
      <c r="H310" s="1">
        <v>0.79900000000000004</v>
      </c>
      <c r="I310" s="1">
        <v>0.41</v>
      </c>
      <c r="J310" s="1">
        <v>0.59799999999999998</v>
      </c>
      <c r="K310" s="1">
        <v>8.8999999999999996E-2</v>
      </c>
      <c r="L310">
        <v>11490</v>
      </c>
    </row>
    <row r="311" spans="1:12" x14ac:dyDescent="0.3">
      <c r="A311" t="s">
        <v>303</v>
      </c>
      <c r="B311" t="s">
        <v>36</v>
      </c>
      <c r="C311" s="1">
        <v>0.27600000000000002</v>
      </c>
      <c r="D311" s="1">
        <v>0.63800000000000001</v>
      </c>
      <c r="E311" s="1">
        <v>0.41899999999999998</v>
      </c>
      <c r="F311" s="1">
        <v>0.55500000000000005</v>
      </c>
      <c r="G311" s="1">
        <v>0.84299999999999997</v>
      </c>
      <c r="H311" s="1">
        <v>0.72799999999999998</v>
      </c>
      <c r="I311" s="1">
        <v>0.39400000000000002</v>
      </c>
      <c r="J311" s="1">
        <v>0.59299999999999997</v>
      </c>
      <c r="K311" s="1">
        <v>0.114</v>
      </c>
      <c r="L311">
        <v>13133</v>
      </c>
    </row>
    <row r="312" spans="1:12" x14ac:dyDescent="0.3">
      <c r="A312" t="s">
        <v>204</v>
      </c>
      <c r="B312" t="s">
        <v>32</v>
      </c>
      <c r="C312" s="1">
        <v>0.27600000000000002</v>
      </c>
      <c r="D312" s="1">
        <v>0.51400000000000001</v>
      </c>
      <c r="E312" s="1">
        <v>0.376</v>
      </c>
      <c r="F312" s="1">
        <v>0.57399999999999995</v>
      </c>
      <c r="G312" s="1">
        <v>0.86499999999999999</v>
      </c>
      <c r="H312" s="1">
        <v>0.74099999999999999</v>
      </c>
      <c r="I312" s="1">
        <v>0.42099999999999999</v>
      </c>
      <c r="J312" s="1">
        <v>0.54600000000000004</v>
      </c>
      <c r="K312" s="1">
        <v>9.7000000000000003E-2</v>
      </c>
      <c r="L312">
        <v>9866</v>
      </c>
    </row>
    <row r="313" spans="1:12" x14ac:dyDescent="0.3">
      <c r="A313" t="s">
        <v>354</v>
      </c>
      <c r="B313" t="s">
        <v>95</v>
      </c>
      <c r="C313" s="1">
        <v>0.27500000000000002</v>
      </c>
      <c r="D313" s="1">
        <v>0.66900000000000004</v>
      </c>
      <c r="E313" s="1">
        <v>0.44600000000000001</v>
      </c>
      <c r="F313" s="1">
        <v>0.63800000000000001</v>
      </c>
      <c r="G313" s="1">
        <v>0.82</v>
      </c>
      <c r="H313" s="1">
        <v>0.75600000000000001</v>
      </c>
      <c r="I313" s="1">
        <v>0.434</v>
      </c>
      <c r="J313" s="1">
        <v>0.63700000000000001</v>
      </c>
      <c r="K313" s="1">
        <v>0.109</v>
      </c>
      <c r="L313">
        <v>12664</v>
      </c>
    </row>
    <row r="314" spans="1:12" x14ac:dyDescent="0.3">
      <c r="A314" t="s">
        <v>121</v>
      </c>
      <c r="B314" t="s">
        <v>50</v>
      </c>
      <c r="C314" s="1">
        <v>0.27500000000000002</v>
      </c>
      <c r="D314" s="1">
        <v>0.66400000000000003</v>
      </c>
      <c r="E314" s="1">
        <v>0.438</v>
      </c>
      <c r="F314" s="1">
        <v>0.58199999999999996</v>
      </c>
      <c r="G314" s="1">
        <v>0.88500000000000001</v>
      </c>
      <c r="H314" s="1">
        <v>0.77500000000000002</v>
      </c>
      <c r="I314" s="1">
        <v>0.41899999999999998</v>
      </c>
      <c r="J314" s="1">
        <v>0.56100000000000005</v>
      </c>
      <c r="K314" s="1">
        <v>9.9000000000000005E-2</v>
      </c>
      <c r="L314">
        <v>19206</v>
      </c>
    </row>
    <row r="315" spans="1:12" x14ac:dyDescent="0.3">
      <c r="A315" t="s">
        <v>139</v>
      </c>
      <c r="B315" t="s">
        <v>71</v>
      </c>
      <c r="C315" s="1">
        <v>0.27500000000000002</v>
      </c>
      <c r="D315" s="1">
        <v>0.73499999999999999</v>
      </c>
      <c r="E315" s="1">
        <v>0.46600000000000003</v>
      </c>
      <c r="F315" s="1">
        <v>0.629</v>
      </c>
      <c r="G315" s="1">
        <v>0.83699999999999997</v>
      </c>
      <c r="H315" s="1">
        <v>0.76500000000000001</v>
      </c>
      <c r="I315" s="1">
        <v>0.41499999999999998</v>
      </c>
      <c r="J315" s="1">
        <v>0.57799999999999996</v>
      </c>
      <c r="K315" s="1">
        <v>0.109</v>
      </c>
      <c r="L315">
        <v>5702</v>
      </c>
    </row>
    <row r="316" spans="1:12" x14ac:dyDescent="0.3">
      <c r="A316" t="s">
        <v>156</v>
      </c>
      <c r="B316" t="s">
        <v>71</v>
      </c>
      <c r="C316" s="1">
        <v>0.27400000000000002</v>
      </c>
      <c r="D316" s="1">
        <v>0.66800000000000004</v>
      </c>
      <c r="E316" s="1">
        <v>0.441</v>
      </c>
      <c r="F316" s="1">
        <v>0.66400000000000003</v>
      </c>
      <c r="G316" s="1">
        <v>0.84599999999999997</v>
      </c>
      <c r="H316" s="1">
        <v>0.78100000000000003</v>
      </c>
      <c r="I316" s="1">
        <v>0.42399999999999999</v>
      </c>
      <c r="J316" s="1">
        <v>0.61</v>
      </c>
      <c r="K316" s="1">
        <v>9.7000000000000003E-2</v>
      </c>
      <c r="L316">
        <v>12718</v>
      </c>
    </row>
    <row r="317" spans="1:12" x14ac:dyDescent="0.3">
      <c r="A317" t="s">
        <v>396</v>
      </c>
      <c r="B317" t="s">
        <v>48</v>
      </c>
      <c r="C317" s="1">
        <v>0.27300000000000002</v>
      </c>
      <c r="D317" s="1">
        <v>0.71799999999999997</v>
      </c>
      <c r="E317" s="1">
        <v>0.45900000000000002</v>
      </c>
      <c r="F317" s="1">
        <v>0.60299999999999998</v>
      </c>
      <c r="G317" s="1">
        <v>0.88100000000000001</v>
      </c>
      <c r="H317" s="1">
        <v>0.78400000000000003</v>
      </c>
      <c r="I317" s="1">
        <v>0.41699999999999998</v>
      </c>
      <c r="J317" s="1">
        <v>0.55400000000000005</v>
      </c>
      <c r="K317" s="1">
        <v>9.9000000000000005E-2</v>
      </c>
      <c r="L317">
        <v>1841</v>
      </c>
    </row>
    <row r="318" spans="1:12" x14ac:dyDescent="0.3">
      <c r="A318" t="s">
        <v>362</v>
      </c>
      <c r="B318" t="s">
        <v>28</v>
      </c>
      <c r="C318" s="1">
        <v>0.27200000000000002</v>
      </c>
      <c r="D318" s="1">
        <v>0.65500000000000003</v>
      </c>
      <c r="E318" s="1">
        <v>0.434</v>
      </c>
      <c r="F318" s="1">
        <v>0.56000000000000005</v>
      </c>
      <c r="G318" s="1">
        <v>0.86799999999999999</v>
      </c>
      <c r="H318" s="1">
        <v>0.75700000000000001</v>
      </c>
      <c r="I318" s="1">
        <v>0.42399999999999999</v>
      </c>
      <c r="J318" s="1">
        <v>0.58699999999999997</v>
      </c>
      <c r="K318" s="1">
        <v>0.106</v>
      </c>
      <c r="L318">
        <v>17295</v>
      </c>
    </row>
    <row r="319" spans="1:12" x14ac:dyDescent="0.3">
      <c r="A319" t="s">
        <v>368</v>
      </c>
      <c r="B319" t="s">
        <v>62</v>
      </c>
      <c r="C319" s="1">
        <v>0.27100000000000002</v>
      </c>
      <c r="D319" s="1">
        <v>0.67600000000000005</v>
      </c>
      <c r="E319" s="1">
        <v>0.45</v>
      </c>
      <c r="F319" s="1">
        <v>0.58899999999999997</v>
      </c>
      <c r="G319" s="1">
        <v>0.873</v>
      </c>
      <c r="H319" s="1">
        <v>0.77800000000000002</v>
      </c>
      <c r="I319" s="1">
        <v>0.443</v>
      </c>
      <c r="J319" s="1">
        <v>0.57799999999999996</v>
      </c>
      <c r="K319" s="1">
        <v>0.1</v>
      </c>
      <c r="L319">
        <v>6249</v>
      </c>
    </row>
    <row r="320" spans="1:12" x14ac:dyDescent="0.3">
      <c r="A320" t="s">
        <v>326</v>
      </c>
      <c r="B320" t="s">
        <v>46</v>
      </c>
      <c r="C320" s="1">
        <v>0.27100000000000002</v>
      </c>
      <c r="D320" s="1">
        <v>0.65900000000000003</v>
      </c>
      <c r="E320" s="1">
        <v>0.434</v>
      </c>
      <c r="F320" s="1">
        <v>0.67800000000000005</v>
      </c>
      <c r="G320" s="1">
        <v>0.88</v>
      </c>
      <c r="H320" s="1">
        <v>0.80700000000000005</v>
      </c>
      <c r="I320" s="1">
        <v>0.42</v>
      </c>
      <c r="J320" s="1">
        <v>0.57899999999999996</v>
      </c>
      <c r="K320" s="1">
        <v>8.4000000000000005E-2</v>
      </c>
      <c r="L320">
        <v>14663</v>
      </c>
    </row>
    <row r="321" spans="1:12" x14ac:dyDescent="0.3">
      <c r="A321" t="s">
        <v>393</v>
      </c>
      <c r="B321" t="s">
        <v>46</v>
      </c>
      <c r="C321" s="1">
        <v>0.27100000000000002</v>
      </c>
      <c r="D321" s="1">
        <v>0.70199999999999996</v>
      </c>
      <c r="E321" s="1">
        <v>0.44700000000000001</v>
      </c>
      <c r="F321" s="1">
        <v>0.73599999999999999</v>
      </c>
      <c r="G321" s="1">
        <v>0.90100000000000002</v>
      </c>
      <c r="H321" s="1">
        <v>0.84199999999999997</v>
      </c>
      <c r="I321" s="1">
        <v>0.40799999999999997</v>
      </c>
      <c r="J321" s="1">
        <v>0.6</v>
      </c>
      <c r="K321" s="1">
        <v>7.0999999999999994E-2</v>
      </c>
      <c r="L321">
        <v>17969</v>
      </c>
    </row>
    <row r="322" spans="1:12" x14ac:dyDescent="0.3">
      <c r="A322" t="s">
        <v>387</v>
      </c>
      <c r="B322" t="s">
        <v>26</v>
      </c>
      <c r="C322" s="1">
        <v>0.27100000000000002</v>
      </c>
      <c r="D322" s="1">
        <v>0.70099999999999996</v>
      </c>
      <c r="E322" s="1">
        <v>0.45600000000000002</v>
      </c>
      <c r="F322" s="1">
        <v>0.66900000000000004</v>
      </c>
      <c r="G322" s="1">
        <v>0.85099999999999998</v>
      </c>
      <c r="H322" s="1">
        <v>0.78900000000000003</v>
      </c>
      <c r="I322" s="1">
        <v>0.43</v>
      </c>
      <c r="J322" s="1">
        <v>0.54</v>
      </c>
      <c r="K322" s="1">
        <v>9.6000000000000002E-2</v>
      </c>
      <c r="L322">
        <v>20395</v>
      </c>
    </row>
    <row r="323" spans="1:12" x14ac:dyDescent="0.3">
      <c r="A323" t="s">
        <v>254</v>
      </c>
      <c r="B323" t="s">
        <v>93</v>
      </c>
      <c r="C323" s="1">
        <v>0.27100000000000002</v>
      </c>
      <c r="D323" s="1">
        <v>0.68100000000000005</v>
      </c>
      <c r="E323" s="1">
        <v>0.43</v>
      </c>
      <c r="F323" s="1">
        <v>0.70899999999999996</v>
      </c>
      <c r="G323" s="1">
        <v>0.91500000000000004</v>
      </c>
      <c r="H323" s="1">
        <v>0.83599999999999997</v>
      </c>
      <c r="I323" s="1">
        <v>0.38900000000000001</v>
      </c>
      <c r="J323" s="1">
        <v>0.59</v>
      </c>
      <c r="K323" s="1">
        <v>7.0999999999999994E-2</v>
      </c>
      <c r="L323">
        <v>17425</v>
      </c>
    </row>
    <row r="324" spans="1:12" x14ac:dyDescent="0.3">
      <c r="A324" t="s">
        <v>395</v>
      </c>
      <c r="B324" t="s">
        <v>43</v>
      </c>
      <c r="C324" s="1">
        <v>0.27100000000000002</v>
      </c>
      <c r="D324" s="1">
        <v>0.66700000000000004</v>
      </c>
      <c r="E324" s="1">
        <v>0.45300000000000001</v>
      </c>
      <c r="F324" s="1">
        <v>0.70499999999999996</v>
      </c>
      <c r="G324" s="1">
        <v>0.89800000000000002</v>
      </c>
      <c r="H324" s="1">
        <v>0.83499999999999996</v>
      </c>
      <c r="I324" s="1">
        <v>0.46</v>
      </c>
      <c r="J324" s="1">
        <v>0.60699999999999998</v>
      </c>
      <c r="K324" s="1">
        <v>7.4999999999999997E-2</v>
      </c>
      <c r="L324">
        <v>14825</v>
      </c>
    </row>
    <row r="325" spans="1:12" x14ac:dyDescent="0.3">
      <c r="A325" t="s">
        <v>173</v>
      </c>
      <c r="B325" t="s">
        <v>56</v>
      </c>
      <c r="C325" s="1">
        <v>0.27</v>
      </c>
      <c r="D325" s="1">
        <v>0.72799999999999998</v>
      </c>
      <c r="E325" s="1">
        <v>0.47299999999999998</v>
      </c>
      <c r="F325" s="1">
        <v>0.66200000000000003</v>
      </c>
      <c r="G325" s="1">
        <v>0.86299999999999999</v>
      </c>
      <c r="H325" s="1">
        <v>0.79900000000000004</v>
      </c>
      <c r="I325" s="1">
        <v>0.443</v>
      </c>
      <c r="J325" s="1">
        <v>0.61099999999999999</v>
      </c>
      <c r="K325" s="1">
        <v>9.5000000000000001E-2</v>
      </c>
      <c r="L325">
        <v>19979</v>
      </c>
    </row>
    <row r="326" spans="1:12" x14ac:dyDescent="0.3">
      <c r="A326" t="s">
        <v>280</v>
      </c>
      <c r="B326" t="s">
        <v>28</v>
      </c>
      <c r="C326" s="1">
        <v>0.26900000000000002</v>
      </c>
      <c r="D326" s="1">
        <v>0.69099999999999995</v>
      </c>
      <c r="E326" s="1">
        <v>0.45200000000000001</v>
      </c>
      <c r="F326" s="1">
        <v>0.443</v>
      </c>
      <c r="G326" s="1">
        <v>0.74299999999999999</v>
      </c>
      <c r="H326" s="1">
        <v>0.64100000000000001</v>
      </c>
      <c r="I326" s="1">
        <v>0.433</v>
      </c>
      <c r="J326" s="1">
        <v>0.57899999999999996</v>
      </c>
      <c r="K326" s="1">
        <v>0.16200000000000001</v>
      </c>
      <c r="L326">
        <v>16794</v>
      </c>
    </row>
    <row r="327" spans="1:12" x14ac:dyDescent="0.3">
      <c r="A327" t="s">
        <v>349</v>
      </c>
      <c r="B327" t="s">
        <v>83</v>
      </c>
      <c r="C327" s="1">
        <v>0.26900000000000002</v>
      </c>
      <c r="D327" s="1">
        <v>0.69199999999999995</v>
      </c>
      <c r="E327" s="1">
        <v>0.45</v>
      </c>
      <c r="F327" s="1">
        <v>0.67200000000000004</v>
      </c>
      <c r="G327" s="1">
        <v>0.88900000000000001</v>
      </c>
      <c r="H327" s="1">
        <v>0.81499999999999995</v>
      </c>
      <c r="I327" s="1">
        <v>0.42899999999999999</v>
      </c>
      <c r="J327" s="1">
        <v>0.57199999999999995</v>
      </c>
      <c r="K327" s="1">
        <v>8.3000000000000004E-2</v>
      </c>
      <c r="L327">
        <v>14509</v>
      </c>
    </row>
    <row r="328" spans="1:12" x14ac:dyDescent="0.3">
      <c r="A328" t="s">
        <v>389</v>
      </c>
      <c r="B328" t="s">
        <v>43</v>
      </c>
      <c r="C328" s="1">
        <v>0.26800000000000002</v>
      </c>
      <c r="D328" s="1">
        <v>0.67800000000000005</v>
      </c>
      <c r="E328" s="1">
        <v>0.42799999999999999</v>
      </c>
      <c r="F328" s="1">
        <v>0.61899999999999999</v>
      </c>
      <c r="G328" s="1">
        <v>0.88800000000000001</v>
      </c>
      <c r="H328" s="1">
        <v>0.78500000000000003</v>
      </c>
      <c r="I328" s="1">
        <v>0.39</v>
      </c>
      <c r="J328" s="1">
        <v>0.56200000000000006</v>
      </c>
      <c r="K328" s="1">
        <v>9.1999999999999998E-2</v>
      </c>
      <c r="L328">
        <v>5365</v>
      </c>
    </row>
    <row r="329" spans="1:12" x14ac:dyDescent="0.3">
      <c r="A329" t="s">
        <v>298</v>
      </c>
      <c r="B329" t="s">
        <v>143</v>
      </c>
      <c r="C329" s="1">
        <v>0.26700000000000002</v>
      </c>
      <c r="D329" s="1">
        <v>0.67</v>
      </c>
      <c r="E329" s="1">
        <v>0.42899999999999999</v>
      </c>
      <c r="F329" s="1">
        <v>0.75600000000000001</v>
      </c>
      <c r="G329" s="1">
        <v>0.90900000000000003</v>
      </c>
      <c r="H329" s="1">
        <v>0.85199999999999998</v>
      </c>
      <c r="I329" s="1">
        <v>0.40200000000000002</v>
      </c>
      <c r="J329" s="1">
        <v>0.629</v>
      </c>
      <c r="K329" s="1">
        <v>6.4000000000000001E-2</v>
      </c>
      <c r="L329">
        <v>5448</v>
      </c>
    </row>
    <row r="330" spans="1:12" x14ac:dyDescent="0.3">
      <c r="A330" t="s">
        <v>379</v>
      </c>
      <c r="B330" t="s">
        <v>62</v>
      </c>
      <c r="C330" s="1">
        <v>0.26400000000000001</v>
      </c>
      <c r="D330" s="1">
        <v>0.69399999999999995</v>
      </c>
      <c r="E330" s="1">
        <v>0.441</v>
      </c>
      <c r="F330" s="1">
        <v>0.66800000000000004</v>
      </c>
      <c r="G330" s="1">
        <v>0.85499999999999998</v>
      </c>
      <c r="H330" s="1">
        <v>0.79</v>
      </c>
      <c r="I330" s="1">
        <v>0.41299999999999998</v>
      </c>
      <c r="J330" s="1">
        <v>0.57799999999999996</v>
      </c>
      <c r="K330" s="1">
        <v>9.2999999999999999E-2</v>
      </c>
      <c r="L330">
        <v>18356</v>
      </c>
    </row>
    <row r="331" spans="1:12" x14ac:dyDescent="0.3">
      <c r="A331" t="s">
        <v>330</v>
      </c>
      <c r="B331" t="s">
        <v>146</v>
      </c>
      <c r="C331" s="1">
        <v>0.26300000000000001</v>
      </c>
      <c r="D331" s="1">
        <v>0.64800000000000002</v>
      </c>
      <c r="E331" s="1">
        <v>0.42</v>
      </c>
      <c r="F331" s="1">
        <v>0.55700000000000005</v>
      </c>
      <c r="G331" s="1">
        <v>0.877</v>
      </c>
      <c r="H331" s="1">
        <v>0.75900000000000001</v>
      </c>
      <c r="I331" s="1">
        <v>0.40899999999999997</v>
      </c>
      <c r="J331" s="1">
        <v>0.51800000000000002</v>
      </c>
      <c r="K331" s="1">
        <v>0.10100000000000001</v>
      </c>
      <c r="L331">
        <v>15832</v>
      </c>
    </row>
    <row r="332" spans="1:12" x14ac:dyDescent="0.3">
      <c r="A332" t="s">
        <v>222</v>
      </c>
      <c r="B332" t="s">
        <v>50</v>
      </c>
      <c r="C332" s="1">
        <v>0.26200000000000001</v>
      </c>
      <c r="D332" s="1">
        <v>0.622</v>
      </c>
      <c r="E332" s="1">
        <v>0.41799999999999998</v>
      </c>
      <c r="F332" s="1">
        <v>0.67700000000000005</v>
      </c>
      <c r="G332" s="1">
        <v>0.89900000000000002</v>
      </c>
      <c r="H332" s="1">
        <v>0.82</v>
      </c>
      <c r="I332" s="1">
        <v>0.434</v>
      </c>
      <c r="J332" s="1">
        <v>0.58699999999999997</v>
      </c>
      <c r="K332" s="1">
        <v>7.4999999999999997E-2</v>
      </c>
      <c r="L332">
        <v>2233</v>
      </c>
    </row>
    <row r="333" spans="1:12" x14ac:dyDescent="0.3">
      <c r="A333" t="s">
        <v>212</v>
      </c>
      <c r="B333" t="s">
        <v>28</v>
      </c>
      <c r="C333" s="1">
        <v>0.26100000000000001</v>
      </c>
      <c r="D333" s="1">
        <v>0.66</v>
      </c>
      <c r="E333" s="1">
        <v>0.43</v>
      </c>
      <c r="F333" s="1">
        <v>0.627</v>
      </c>
      <c r="G333" s="1">
        <v>0.88100000000000001</v>
      </c>
      <c r="H333" s="1">
        <v>0.79200000000000004</v>
      </c>
      <c r="I333" s="1">
        <v>0.42299999999999999</v>
      </c>
      <c r="J333" s="1">
        <v>0.63200000000000001</v>
      </c>
      <c r="K333" s="1">
        <v>8.8999999999999996E-2</v>
      </c>
      <c r="L333">
        <v>5401</v>
      </c>
    </row>
    <row r="334" spans="1:12" x14ac:dyDescent="0.3">
      <c r="A334" t="s">
        <v>334</v>
      </c>
      <c r="B334" t="s">
        <v>46</v>
      </c>
      <c r="C334" s="1">
        <v>0.26100000000000001</v>
      </c>
      <c r="D334" s="1">
        <v>0.73699999999999999</v>
      </c>
      <c r="E334" s="1">
        <v>0.45900000000000002</v>
      </c>
      <c r="F334" s="1">
        <v>0.57499999999999996</v>
      </c>
      <c r="G334" s="1">
        <v>0.86499999999999999</v>
      </c>
      <c r="H334" s="1">
        <v>0.76900000000000002</v>
      </c>
      <c r="I334" s="1">
        <v>0.41599999999999998</v>
      </c>
      <c r="J334" s="1">
        <v>0.55600000000000005</v>
      </c>
      <c r="K334" s="1">
        <v>0.106</v>
      </c>
      <c r="L334">
        <v>8110</v>
      </c>
    </row>
    <row r="335" spans="1:12" x14ac:dyDescent="0.3">
      <c r="A335" t="s">
        <v>385</v>
      </c>
      <c r="B335" t="s">
        <v>46</v>
      </c>
      <c r="C335" s="1">
        <v>0.26</v>
      </c>
      <c r="D335" s="1">
        <v>0.70399999999999996</v>
      </c>
      <c r="E335" s="1">
        <v>0.44800000000000001</v>
      </c>
      <c r="F335" s="1">
        <v>0.67600000000000005</v>
      </c>
      <c r="G335" s="1">
        <v>0.91400000000000003</v>
      </c>
      <c r="H335" s="1">
        <v>0.83399999999999996</v>
      </c>
      <c r="I335" s="1">
        <v>0.42299999999999999</v>
      </c>
      <c r="J335" s="1">
        <v>0.56200000000000006</v>
      </c>
      <c r="K335" s="1">
        <v>7.3999999999999996E-2</v>
      </c>
      <c r="L335">
        <v>15488</v>
      </c>
    </row>
    <row r="336" spans="1:12" x14ac:dyDescent="0.3">
      <c r="A336" t="s">
        <v>359</v>
      </c>
      <c r="B336" t="s">
        <v>159</v>
      </c>
      <c r="C336" s="1">
        <v>0.26</v>
      </c>
      <c r="D336" s="1">
        <v>0.68300000000000005</v>
      </c>
      <c r="E336" s="1">
        <v>0.45800000000000002</v>
      </c>
      <c r="F336" s="1">
        <v>0.68799999999999994</v>
      </c>
      <c r="G336" s="1">
        <v>0.88100000000000001</v>
      </c>
      <c r="H336" s="1">
        <v>0.82299999999999995</v>
      </c>
      <c r="I336" s="1">
        <v>0.46700000000000003</v>
      </c>
      <c r="J336" s="1">
        <v>0.55400000000000005</v>
      </c>
      <c r="K336" s="1">
        <v>8.1000000000000003E-2</v>
      </c>
      <c r="L336">
        <v>19677</v>
      </c>
    </row>
    <row r="337" spans="1:12" x14ac:dyDescent="0.3">
      <c r="A337" t="s">
        <v>138</v>
      </c>
      <c r="B337" t="s">
        <v>77</v>
      </c>
      <c r="C337" s="1">
        <v>0.25800000000000001</v>
      </c>
      <c r="D337" s="1">
        <v>0.68100000000000005</v>
      </c>
      <c r="E337" s="1">
        <v>0.43</v>
      </c>
      <c r="F337" s="1">
        <v>0.66500000000000004</v>
      </c>
      <c r="G337" s="1">
        <v>0.84499999999999997</v>
      </c>
      <c r="H337" s="1">
        <v>0.78100000000000003</v>
      </c>
      <c r="I337" s="1">
        <v>0.40600000000000003</v>
      </c>
      <c r="J337" s="1">
        <v>0.61499999999999999</v>
      </c>
      <c r="K337" s="1">
        <v>9.4E-2</v>
      </c>
      <c r="L337">
        <v>11753</v>
      </c>
    </row>
    <row r="338" spans="1:12" x14ac:dyDescent="0.3">
      <c r="A338" t="s">
        <v>370</v>
      </c>
      <c r="B338" t="s">
        <v>48</v>
      </c>
      <c r="C338" s="1">
        <v>0.255</v>
      </c>
      <c r="D338" s="1">
        <v>0.65700000000000003</v>
      </c>
      <c r="E338" s="1">
        <v>0.42399999999999999</v>
      </c>
      <c r="F338" s="1">
        <v>0.69799999999999995</v>
      </c>
      <c r="G338" s="1">
        <v>0.86899999999999999</v>
      </c>
      <c r="H338" s="1">
        <v>0.80900000000000005</v>
      </c>
      <c r="I338" s="1">
        <v>0.42</v>
      </c>
      <c r="J338" s="1">
        <v>0.57399999999999995</v>
      </c>
      <c r="K338" s="1">
        <v>8.1000000000000003E-2</v>
      </c>
      <c r="L338">
        <v>2608</v>
      </c>
    </row>
    <row r="339" spans="1:12" x14ac:dyDescent="0.3">
      <c r="A339" t="s">
        <v>295</v>
      </c>
      <c r="B339" t="s">
        <v>34</v>
      </c>
      <c r="C339" s="1">
        <v>0.253</v>
      </c>
      <c r="D339" s="1">
        <v>0.65500000000000003</v>
      </c>
      <c r="E339" s="1">
        <v>0.42699999999999999</v>
      </c>
      <c r="F339" s="1">
        <v>0.753</v>
      </c>
      <c r="G339" s="1">
        <v>0.91300000000000003</v>
      </c>
      <c r="H339" s="1">
        <v>0.85899999999999999</v>
      </c>
      <c r="I339" s="1">
        <v>0.434</v>
      </c>
      <c r="J339" s="1">
        <v>0.61199999999999999</v>
      </c>
      <c r="K339" s="1">
        <v>0.06</v>
      </c>
      <c r="L339">
        <v>16980</v>
      </c>
    </row>
    <row r="340" spans="1:12" x14ac:dyDescent="0.3">
      <c r="A340" t="s">
        <v>391</v>
      </c>
      <c r="B340" t="s">
        <v>62</v>
      </c>
      <c r="C340" s="1">
        <v>0.249</v>
      </c>
      <c r="D340" s="1">
        <v>0.69799999999999995</v>
      </c>
      <c r="E340" s="1">
        <v>0.44600000000000001</v>
      </c>
      <c r="F340" s="1">
        <v>0.61199999999999999</v>
      </c>
      <c r="G340" s="1">
        <v>0.879</v>
      </c>
      <c r="H340" s="1">
        <v>0.79600000000000004</v>
      </c>
      <c r="I340" s="1">
        <v>0.44</v>
      </c>
      <c r="J340" s="1">
        <v>0.63200000000000001</v>
      </c>
      <c r="K340" s="1">
        <v>9.0999999999999998E-2</v>
      </c>
      <c r="L340">
        <v>11713</v>
      </c>
    </row>
    <row r="341" spans="1:12" x14ac:dyDescent="0.3">
      <c r="A341" t="s">
        <v>39</v>
      </c>
      <c r="B341" t="s">
        <v>40</v>
      </c>
      <c r="C341" s="1">
        <v>0.248</v>
      </c>
      <c r="D341" s="1">
        <v>0.57099999999999995</v>
      </c>
      <c r="E341" s="1">
        <v>0.38600000000000001</v>
      </c>
      <c r="F341" s="1">
        <v>0.53300000000000003</v>
      </c>
      <c r="G341" s="1">
        <v>0.80900000000000005</v>
      </c>
      <c r="H341" s="1">
        <v>0.70699999999999996</v>
      </c>
      <c r="I341" s="1">
        <v>0.42699999999999999</v>
      </c>
      <c r="J341" s="1">
        <v>0.53400000000000003</v>
      </c>
      <c r="K341" s="1">
        <v>0.113</v>
      </c>
      <c r="L341">
        <v>1247</v>
      </c>
    </row>
    <row r="342" spans="1:12" x14ac:dyDescent="0.3">
      <c r="A342" t="s">
        <v>345</v>
      </c>
      <c r="B342" t="s">
        <v>30</v>
      </c>
      <c r="C342" s="1">
        <v>0.23699999999999999</v>
      </c>
      <c r="D342" s="1">
        <v>0.57799999999999996</v>
      </c>
      <c r="E342" s="1">
        <v>0.374</v>
      </c>
      <c r="F342" s="1">
        <v>0.48099999999999998</v>
      </c>
      <c r="G342" s="1">
        <v>0.91</v>
      </c>
      <c r="H342" s="1">
        <v>0.748</v>
      </c>
      <c r="I342" s="1">
        <v>0.40200000000000002</v>
      </c>
      <c r="J342" s="1">
        <v>0.55400000000000005</v>
      </c>
      <c r="K342" s="1">
        <v>9.4E-2</v>
      </c>
      <c r="L342">
        <v>13649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V342"/>
  <sheetViews>
    <sheetView workbookViewId="0"/>
  </sheetViews>
  <sheetFormatPr defaultRowHeight="14.4" x14ac:dyDescent="0.3"/>
  <sheetData>
    <row r="1" spans="1:22" x14ac:dyDescent="0.3">
      <c r="A1" t="s">
        <v>0</v>
      </c>
      <c r="B1" t="s">
        <v>1</v>
      </c>
      <c r="C1" t="s">
        <v>414</v>
      </c>
      <c r="D1" t="s">
        <v>413</v>
      </c>
      <c r="E1" t="s">
        <v>412</v>
      </c>
      <c r="F1" t="s">
        <v>411</v>
      </c>
      <c r="G1" t="s">
        <v>410</v>
      </c>
      <c r="H1" t="s">
        <v>409</v>
      </c>
      <c r="I1" t="s">
        <v>408</v>
      </c>
      <c r="J1" t="s">
        <v>407</v>
      </c>
      <c r="K1" t="s">
        <v>406</v>
      </c>
      <c r="L1" t="s">
        <v>405</v>
      </c>
      <c r="M1" t="s">
        <v>404</v>
      </c>
      <c r="N1" t="s">
        <v>403</v>
      </c>
      <c r="O1" t="s">
        <v>402</v>
      </c>
      <c r="P1" t="s">
        <v>401</v>
      </c>
      <c r="Q1" t="s">
        <v>4</v>
      </c>
      <c r="R1" t="s">
        <v>400</v>
      </c>
      <c r="S1" t="s">
        <v>399</v>
      </c>
      <c r="T1" t="s">
        <v>398</v>
      </c>
      <c r="U1" t="s">
        <v>397</v>
      </c>
      <c r="V1" t="s">
        <v>24</v>
      </c>
    </row>
    <row r="2" spans="1:22" x14ac:dyDescent="0.3">
      <c r="A2" t="s">
        <v>25</v>
      </c>
      <c r="B2" t="s">
        <v>26</v>
      </c>
      <c r="C2">
        <v>14.98</v>
      </c>
      <c r="D2">
        <v>1.93</v>
      </c>
      <c r="E2">
        <v>7.77</v>
      </c>
      <c r="F2">
        <v>0.3</v>
      </c>
      <c r="G2" s="1">
        <v>0.41599999999999998</v>
      </c>
      <c r="H2" s="1">
        <v>5.2999999999999999E-2</v>
      </c>
      <c r="I2" s="1">
        <v>0.36199999999999999</v>
      </c>
      <c r="J2">
        <v>0.184</v>
      </c>
      <c r="K2">
        <v>0.89</v>
      </c>
      <c r="L2">
        <v>0.32500000000000001</v>
      </c>
      <c r="M2" s="1">
        <v>0.80800000000000005</v>
      </c>
      <c r="N2">
        <v>28</v>
      </c>
      <c r="O2">
        <v>29</v>
      </c>
      <c r="P2">
        <v>50</v>
      </c>
      <c r="Q2">
        <v>1.19</v>
      </c>
      <c r="R2">
        <v>1.3</v>
      </c>
      <c r="S2">
        <v>-0.12</v>
      </c>
      <c r="T2">
        <v>2.25</v>
      </c>
      <c r="U2">
        <v>2.0499999999999998</v>
      </c>
      <c r="V2">
        <v>9073</v>
      </c>
    </row>
    <row r="3" spans="1:22" x14ac:dyDescent="0.3">
      <c r="A3" t="s">
        <v>33</v>
      </c>
      <c r="B3" t="s">
        <v>34</v>
      </c>
      <c r="C3">
        <v>13.13</v>
      </c>
      <c r="D3">
        <v>2.2200000000000002</v>
      </c>
      <c r="E3">
        <v>5.9</v>
      </c>
      <c r="F3">
        <v>0.53</v>
      </c>
      <c r="G3" s="1">
        <v>0.373</v>
      </c>
      <c r="H3" s="1">
        <v>6.3E-2</v>
      </c>
      <c r="I3" s="1">
        <v>0.31</v>
      </c>
      <c r="J3">
        <v>0.19700000000000001</v>
      </c>
      <c r="K3">
        <v>0.96</v>
      </c>
      <c r="L3">
        <v>0.311</v>
      </c>
      <c r="M3" s="1">
        <v>0.85699999999999998</v>
      </c>
      <c r="N3">
        <v>40</v>
      </c>
      <c r="O3">
        <v>42</v>
      </c>
      <c r="P3">
        <v>71</v>
      </c>
      <c r="Q3">
        <v>1.8</v>
      </c>
      <c r="R3">
        <v>1.87</v>
      </c>
      <c r="S3">
        <v>-7.0000000000000007E-2</v>
      </c>
      <c r="T3">
        <v>3.21</v>
      </c>
      <c r="U3">
        <v>2.58</v>
      </c>
      <c r="V3">
        <v>3548</v>
      </c>
    </row>
    <row r="4" spans="1:22" x14ac:dyDescent="0.3">
      <c r="A4" t="s">
        <v>29</v>
      </c>
      <c r="B4" t="s">
        <v>30</v>
      </c>
      <c r="C4">
        <v>13.5</v>
      </c>
      <c r="D4">
        <v>1.95</v>
      </c>
      <c r="E4">
        <v>6.92</v>
      </c>
      <c r="F4">
        <v>0.75</v>
      </c>
      <c r="G4" s="1">
        <v>0.38100000000000001</v>
      </c>
      <c r="H4" s="1">
        <v>5.5E-2</v>
      </c>
      <c r="I4" s="1">
        <v>0.32600000000000001</v>
      </c>
      <c r="J4">
        <v>0.19600000000000001</v>
      </c>
      <c r="K4">
        <v>0.93</v>
      </c>
      <c r="L4">
        <v>0.30599999999999999</v>
      </c>
      <c r="M4" s="1">
        <v>0.90600000000000003</v>
      </c>
      <c r="N4">
        <v>38</v>
      </c>
      <c r="O4">
        <v>48</v>
      </c>
      <c r="P4">
        <v>59</v>
      </c>
      <c r="Q4">
        <v>1.65</v>
      </c>
      <c r="R4">
        <v>2.15</v>
      </c>
      <c r="S4">
        <v>-0.5</v>
      </c>
      <c r="T4">
        <v>2.62</v>
      </c>
      <c r="U4">
        <v>2.36</v>
      </c>
      <c r="V4">
        <v>12076</v>
      </c>
    </row>
    <row r="5" spans="1:22" x14ac:dyDescent="0.3">
      <c r="A5" t="s">
        <v>31</v>
      </c>
      <c r="B5" t="s">
        <v>32</v>
      </c>
      <c r="C5">
        <v>11.27</v>
      </c>
      <c r="D5">
        <v>2.08</v>
      </c>
      <c r="E5">
        <v>5.43</v>
      </c>
      <c r="F5">
        <v>0.59</v>
      </c>
      <c r="G5" s="1">
        <v>0.33</v>
      </c>
      <c r="H5" s="1">
        <v>6.0999999999999999E-2</v>
      </c>
      <c r="I5" s="1">
        <v>0.27</v>
      </c>
      <c r="J5">
        <v>0.185</v>
      </c>
      <c r="K5">
        <v>0.89</v>
      </c>
      <c r="L5">
        <v>0.26500000000000001</v>
      </c>
      <c r="M5" s="1">
        <v>0.84699999999999998</v>
      </c>
      <c r="N5">
        <v>40</v>
      </c>
      <c r="O5">
        <v>52</v>
      </c>
      <c r="P5">
        <v>65</v>
      </c>
      <c r="Q5">
        <v>1.78</v>
      </c>
      <c r="R5">
        <v>2.2599999999999998</v>
      </c>
      <c r="S5">
        <v>-0.48</v>
      </c>
      <c r="T5">
        <v>2.94</v>
      </c>
      <c r="U5">
        <v>3.18</v>
      </c>
      <c r="V5">
        <v>14374</v>
      </c>
    </row>
    <row r="6" spans="1:22" x14ac:dyDescent="0.3">
      <c r="A6" t="s">
        <v>35</v>
      </c>
      <c r="B6" t="s">
        <v>36</v>
      </c>
      <c r="C6">
        <v>14.09</v>
      </c>
      <c r="D6">
        <v>2.89</v>
      </c>
      <c r="E6">
        <v>4.88</v>
      </c>
      <c r="F6">
        <v>0.85</v>
      </c>
      <c r="G6" s="1">
        <v>0.39900000000000002</v>
      </c>
      <c r="H6" s="1">
        <v>8.2000000000000003E-2</v>
      </c>
      <c r="I6" s="1">
        <v>0.317</v>
      </c>
      <c r="J6">
        <v>0.188</v>
      </c>
      <c r="K6">
        <v>1</v>
      </c>
      <c r="L6">
        <v>0.30099999999999999</v>
      </c>
      <c r="M6" s="1">
        <v>0.91300000000000003</v>
      </c>
      <c r="N6">
        <v>41</v>
      </c>
      <c r="O6">
        <v>49</v>
      </c>
      <c r="P6">
        <v>60</v>
      </c>
      <c r="Q6">
        <v>1.87</v>
      </c>
      <c r="R6">
        <v>2.27</v>
      </c>
      <c r="S6">
        <v>-0.4</v>
      </c>
      <c r="T6">
        <v>2.73</v>
      </c>
      <c r="U6">
        <v>2.4900000000000002</v>
      </c>
      <c r="V6">
        <v>12910</v>
      </c>
    </row>
    <row r="7" spans="1:22" x14ac:dyDescent="0.3">
      <c r="A7" t="s">
        <v>44</v>
      </c>
      <c r="B7" t="s">
        <v>40</v>
      </c>
      <c r="C7">
        <v>13.42</v>
      </c>
      <c r="D7">
        <v>3.95</v>
      </c>
      <c r="E7">
        <v>3.4</v>
      </c>
      <c r="F7">
        <v>0.47</v>
      </c>
      <c r="G7" s="1">
        <v>0.36199999999999999</v>
      </c>
      <c r="H7" s="1">
        <v>0.106</v>
      </c>
      <c r="I7" s="1">
        <v>0.255</v>
      </c>
      <c r="J7">
        <v>0.182</v>
      </c>
      <c r="K7">
        <v>1.1100000000000001</v>
      </c>
      <c r="L7">
        <v>0.28899999999999998</v>
      </c>
      <c r="M7" s="1">
        <v>0.76900000000000002</v>
      </c>
      <c r="N7">
        <v>48</v>
      </c>
      <c r="O7">
        <v>49</v>
      </c>
      <c r="P7">
        <v>63</v>
      </c>
      <c r="Q7">
        <v>2.21</v>
      </c>
      <c r="R7">
        <v>2.2799999999999998</v>
      </c>
      <c r="S7">
        <v>-7.0000000000000007E-2</v>
      </c>
      <c r="T7">
        <v>2.86</v>
      </c>
      <c r="U7">
        <v>3.1</v>
      </c>
      <c r="V7">
        <v>10233</v>
      </c>
    </row>
    <row r="8" spans="1:22" x14ac:dyDescent="0.3">
      <c r="A8" t="s">
        <v>119</v>
      </c>
      <c r="B8" t="s">
        <v>48</v>
      </c>
      <c r="C8">
        <v>15.23</v>
      </c>
      <c r="D8">
        <v>2.4900000000000002</v>
      </c>
      <c r="E8">
        <v>6.11</v>
      </c>
      <c r="F8">
        <v>1.1100000000000001</v>
      </c>
      <c r="G8" s="1">
        <v>0.41699999999999998</v>
      </c>
      <c r="H8" s="1">
        <v>6.8000000000000005E-2</v>
      </c>
      <c r="I8" s="1">
        <v>0.34799999999999998</v>
      </c>
      <c r="J8">
        <v>0.21299999999999999</v>
      </c>
      <c r="K8">
        <v>1.08</v>
      </c>
      <c r="L8">
        <v>0.34899999999999998</v>
      </c>
      <c r="M8" s="1">
        <v>0.78900000000000003</v>
      </c>
      <c r="N8">
        <v>78</v>
      </c>
      <c r="O8">
        <v>54</v>
      </c>
      <c r="P8">
        <v>55</v>
      </c>
      <c r="Q8">
        <v>3.32</v>
      </c>
      <c r="R8">
        <v>2.35</v>
      </c>
      <c r="S8">
        <v>0.97</v>
      </c>
      <c r="T8">
        <v>2.44</v>
      </c>
      <c r="U8">
        <v>2.21</v>
      </c>
      <c r="V8">
        <v>18337</v>
      </c>
    </row>
    <row r="9" spans="1:22" x14ac:dyDescent="0.3">
      <c r="A9" t="s">
        <v>92</v>
      </c>
      <c r="B9" t="s">
        <v>93</v>
      </c>
      <c r="C9">
        <v>12.69</v>
      </c>
      <c r="D9">
        <v>1.72</v>
      </c>
      <c r="E9">
        <v>7.36</v>
      </c>
      <c r="F9">
        <v>0.94</v>
      </c>
      <c r="G9" s="1">
        <v>0.35099999999999998</v>
      </c>
      <c r="H9" s="1">
        <v>4.8000000000000001E-2</v>
      </c>
      <c r="I9" s="1">
        <v>0.30299999999999999</v>
      </c>
      <c r="J9">
        <v>0.221</v>
      </c>
      <c r="K9">
        <v>1.03</v>
      </c>
      <c r="L9">
        <v>0.32100000000000001</v>
      </c>
      <c r="M9" s="1">
        <v>0.78700000000000003</v>
      </c>
      <c r="N9">
        <v>65</v>
      </c>
      <c r="O9">
        <v>54</v>
      </c>
      <c r="P9">
        <v>65</v>
      </c>
      <c r="Q9">
        <v>2.92</v>
      </c>
      <c r="R9">
        <v>2.4500000000000002</v>
      </c>
      <c r="S9">
        <v>0.48</v>
      </c>
      <c r="T9">
        <v>2.88</v>
      </c>
      <c r="U9">
        <v>2.93</v>
      </c>
      <c r="V9">
        <v>3137</v>
      </c>
    </row>
    <row r="10" spans="1:22" x14ac:dyDescent="0.3">
      <c r="A10" t="s">
        <v>37</v>
      </c>
      <c r="B10" t="s">
        <v>38</v>
      </c>
      <c r="C10">
        <v>13.06</v>
      </c>
      <c r="D10">
        <v>5.65</v>
      </c>
      <c r="E10">
        <v>2.31</v>
      </c>
      <c r="F10">
        <v>0.13</v>
      </c>
      <c r="G10" s="1">
        <v>0.36399999999999999</v>
      </c>
      <c r="H10" s="1">
        <v>0.157</v>
      </c>
      <c r="I10" s="1">
        <v>0.20599999999999999</v>
      </c>
      <c r="J10">
        <v>0.121</v>
      </c>
      <c r="K10">
        <v>1.03</v>
      </c>
      <c r="L10">
        <v>0.20899999999999999</v>
      </c>
      <c r="M10" s="1">
        <v>0.77700000000000002</v>
      </c>
      <c r="N10">
        <v>39</v>
      </c>
      <c r="O10">
        <v>55</v>
      </c>
      <c r="P10">
        <v>73</v>
      </c>
      <c r="Q10">
        <v>1.88</v>
      </c>
      <c r="R10">
        <v>2.46</v>
      </c>
      <c r="S10">
        <v>-0.57999999999999996</v>
      </c>
      <c r="T10">
        <v>3.33</v>
      </c>
      <c r="U10">
        <v>3.78</v>
      </c>
      <c r="V10">
        <v>11428</v>
      </c>
    </row>
    <row r="11" spans="1:22" x14ac:dyDescent="0.3">
      <c r="A11" t="s">
        <v>80</v>
      </c>
      <c r="B11" t="s">
        <v>56</v>
      </c>
      <c r="C11">
        <v>12.07</v>
      </c>
      <c r="D11">
        <v>2.64</v>
      </c>
      <c r="E11">
        <v>4.57</v>
      </c>
      <c r="F11">
        <v>0.71</v>
      </c>
      <c r="G11" s="1">
        <v>0.33900000000000002</v>
      </c>
      <c r="H11" s="1">
        <v>7.3999999999999996E-2</v>
      </c>
      <c r="I11" s="1">
        <v>0.26500000000000001</v>
      </c>
      <c r="J11">
        <v>0.20899999999999999</v>
      </c>
      <c r="K11">
        <v>1.06</v>
      </c>
      <c r="L11">
        <v>0.30599999999999999</v>
      </c>
      <c r="M11" s="1">
        <v>0.80200000000000005</v>
      </c>
      <c r="N11">
        <v>56</v>
      </c>
      <c r="O11">
        <v>55</v>
      </c>
      <c r="P11">
        <v>68</v>
      </c>
      <c r="Q11">
        <v>2.71</v>
      </c>
      <c r="R11">
        <v>2.4900000000000002</v>
      </c>
      <c r="S11">
        <v>0.22</v>
      </c>
      <c r="T11">
        <v>3.09</v>
      </c>
      <c r="U11">
        <v>3.31</v>
      </c>
      <c r="V11">
        <v>12808</v>
      </c>
    </row>
    <row r="12" spans="1:22" x14ac:dyDescent="0.3">
      <c r="A12" t="s">
        <v>67</v>
      </c>
      <c r="B12" t="s">
        <v>28</v>
      </c>
      <c r="C12">
        <v>13.82</v>
      </c>
      <c r="D12">
        <v>2.0299999999999998</v>
      </c>
      <c r="E12">
        <v>6.79</v>
      </c>
      <c r="F12">
        <v>1.23</v>
      </c>
      <c r="G12" s="1">
        <v>0.39900000000000002</v>
      </c>
      <c r="H12" s="1">
        <v>5.8999999999999997E-2</v>
      </c>
      <c r="I12" s="1">
        <v>0.34</v>
      </c>
      <c r="J12">
        <v>0.185</v>
      </c>
      <c r="K12">
        <v>0.89</v>
      </c>
      <c r="L12">
        <v>0.27500000000000002</v>
      </c>
      <c r="M12" s="1">
        <v>0.83299999999999996</v>
      </c>
      <c r="N12">
        <v>56</v>
      </c>
      <c r="O12">
        <v>59</v>
      </c>
      <c r="P12">
        <v>55</v>
      </c>
      <c r="Q12">
        <v>2.5</v>
      </c>
      <c r="R12">
        <v>2.64</v>
      </c>
      <c r="S12">
        <v>-0.14000000000000001</v>
      </c>
      <c r="T12">
        <v>2.48</v>
      </c>
      <c r="U12">
        <v>2.62</v>
      </c>
      <c r="V12">
        <v>13125</v>
      </c>
    </row>
    <row r="13" spans="1:22" x14ac:dyDescent="0.3">
      <c r="A13" t="s">
        <v>54</v>
      </c>
      <c r="B13" t="s">
        <v>28</v>
      </c>
      <c r="C13">
        <v>11.93</v>
      </c>
      <c r="D13">
        <v>1.99</v>
      </c>
      <c r="E13">
        <v>6</v>
      </c>
      <c r="F13">
        <v>0.99</v>
      </c>
      <c r="G13" s="1">
        <v>0.34100000000000003</v>
      </c>
      <c r="H13" s="1">
        <v>5.7000000000000002E-2</v>
      </c>
      <c r="I13" s="1">
        <v>0.28399999999999997</v>
      </c>
      <c r="J13">
        <v>0.186</v>
      </c>
      <c r="K13">
        <v>0.9</v>
      </c>
      <c r="L13">
        <v>0.25600000000000001</v>
      </c>
      <c r="M13" s="1">
        <v>0.83699999999999997</v>
      </c>
      <c r="N13">
        <v>52</v>
      </c>
      <c r="O13">
        <v>59</v>
      </c>
      <c r="P13">
        <v>49</v>
      </c>
      <c r="Q13">
        <v>2.3199999999999998</v>
      </c>
      <c r="R13">
        <v>2.66</v>
      </c>
      <c r="S13">
        <v>-0.34</v>
      </c>
      <c r="T13">
        <v>2.21</v>
      </c>
      <c r="U13">
        <v>2.5499999999999998</v>
      </c>
      <c r="V13">
        <v>7005</v>
      </c>
    </row>
    <row r="14" spans="1:22" x14ac:dyDescent="0.3">
      <c r="A14" t="s">
        <v>57</v>
      </c>
      <c r="B14" t="s">
        <v>58</v>
      </c>
      <c r="C14">
        <v>11.25</v>
      </c>
      <c r="D14">
        <v>1.94</v>
      </c>
      <c r="E14">
        <v>5.8</v>
      </c>
      <c r="F14">
        <v>0.84</v>
      </c>
      <c r="G14" s="1">
        <v>0.317</v>
      </c>
      <c r="H14" s="1">
        <v>5.5E-2</v>
      </c>
      <c r="I14" s="1">
        <v>0.26200000000000001</v>
      </c>
      <c r="J14">
        <v>0.20499999999999999</v>
      </c>
      <c r="K14">
        <v>0.97</v>
      </c>
      <c r="L14">
        <v>0.28199999999999997</v>
      </c>
      <c r="M14" s="1">
        <v>0.81799999999999995</v>
      </c>
      <c r="N14">
        <v>59</v>
      </c>
      <c r="O14">
        <v>61</v>
      </c>
      <c r="P14">
        <v>70</v>
      </c>
      <c r="Q14">
        <v>2.4300000000000002</v>
      </c>
      <c r="R14">
        <v>2.67</v>
      </c>
      <c r="S14">
        <v>-0.25</v>
      </c>
      <c r="T14">
        <v>3.11</v>
      </c>
      <c r="U14">
        <v>3.29</v>
      </c>
      <c r="V14">
        <v>10954</v>
      </c>
    </row>
    <row r="15" spans="1:22" x14ac:dyDescent="0.3">
      <c r="A15" t="s">
        <v>78</v>
      </c>
      <c r="B15" t="s">
        <v>58</v>
      </c>
      <c r="C15">
        <v>11.7</v>
      </c>
      <c r="D15">
        <v>1.8</v>
      </c>
      <c r="E15">
        <v>6.5</v>
      </c>
      <c r="F15">
        <v>0.9</v>
      </c>
      <c r="G15" s="1">
        <v>0.33100000000000002</v>
      </c>
      <c r="H15" s="1">
        <v>5.0999999999999997E-2</v>
      </c>
      <c r="I15" s="1">
        <v>0.28000000000000003</v>
      </c>
      <c r="J15">
        <v>0.191</v>
      </c>
      <c r="K15">
        <v>0.9</v>
      </c>
      <c r="L15">
        <v>0.26500000000000001</v>
      </c>
      <c r="M15" s="1">
        <v>0.745</v>
      </c>
      <c r="N15">
        <v>65</v>
      </c>
      <c r="O15">
        <v>62</v>
      </c>
      <c r="P15">
        <v>73</v>
      </c>
      <c r="Q15">
        <v>2.7</v>
      </c>
      <c r="R15">
        <v>2.7</v>
      </c>
      <c r="S15">
        <v>0</v>
      </c>
      <c r="T15">
        <v>3.24</v>
      </c>
      <c r="U15">
        <v>2.78</v>
      </c>
      <c r="V15">
        <v>12447</v>
      </c>
    </row>
    <row r="16" spans="1:22" x14ac:dyDescent="0.3">
      <c r="A16" t="s">
        <v>116</v>
      </c>
      <c r="B16" t="s">
        <v>56</v>
      </c>
      <c r="C16">
        <v>13.19</v>
      </c>
      <c r="D16">
        <v>2.83</v>
      </c>
      <c r="E16">
        <v>4.67</v>
      </c>
      <c r="F16">
        <v>0.94</v>
      </c>
      <c r="G16" s="1">
        <v>0.34699999999999998</v>
      </c>
      <c r="H16" s="1">
        <v>7.3999999999999996E-2</v>
      </c>
      <c r="I16" s="1">
        <v>0.27300000000000002</v>
      </c>
      <c r="J16">
        <v>0.24099999999999999</v>
      </c>
      <c r="K16">
        <v>1.24</v>
      </c>
      <c r="L16">
        <v>0.36199999999999999</v>
      </c>
      <c r="M16" s="1">
        <v>0.81100000000000005</v>
      </c>
      <c r="N16">
        <v>69</v>
      </c>
      <c r="O16">
        <v>61</v>
      </c>
      <c r="P16">
        <v>75</v>
      </c>
      <c r="Q16">
        <v>3.3</v>
      </c>
      <c r="R16">
        <v>2.8</v>
      </c>
      <c r="S16">
        <v>0.5</v>
      </c>
      <c r="T16">
        <v>3.41</v>
      </c>
      <c r="U16">
        <v>2.93</v>
      </c>
      <c r="V16">
        <v>9111</v>
      </c>
    </row>
    <row r="17" spans="1:22" x14ac:dyDescent="0.3">
      <c r="A17" t="s">
        <v>104</v>
      </c>
      <c r="B17" t="s">
        <v>32</v>
      </c>
      <c r="C17">
        <v>11.1</v>
      </c>
      <c r="D17">
        <v>2.64</v>
      </c>
      <c r="E17">
        <v>4.21</v>
      </c>
      <c r="F17">
        <v>0.69</v>
      </c>
      <c r="G17" s="1">
        <v>0.30399999999999999</v>
      </c>
      <c r="H17" s="1">
        <v>7.1999999999999995E-2</v>
      </c>
      <c r="I17" s="1">
        <v>0.23200000000000001</v>
      </c>
      <c r="J17">
        <v>0.214</v>
      </c>
      <c r="K17">
        <v>1.08</v>
      </c>
      <c r="L17">
        <v>0.29799999999999999</v>
      </c>
      <c r="M17" s="1">
        <v>0.752</v>
      </c>
      <c r="N17">
        <v>69</v>
      </c>
      <c r="O17">
        <v>64</v>
      </c>
      <c r="P17">
        <v>72</v>
      </c>
      <c r="Q17">
        <v>3.05</v>
      </c>
      <c r="R17">
        <v>2.81</v>
      </c>
      <c r="S17">
        <v>0.24</v>
      </c>
      <c r="T17">
        <v>3.28</v>
      </c>
      <c r="U17">
        <v>3.54</v>
      </c>
      <c r="V17">
        <v>4676</v>
      </c>
    </row>
    <row r="18" spans="1:22" x14ac:dyDescent="0.3">
      <c r="A18" t="s">
        <v>69</v>
      </c>
      <c r="B18" t="s">
        <v>66</v>
      </c>
      <c r="C18">
        <v>11.74</v>
      </c>
      <c r="D18">
        <v>1.43</v>
      </c>
      <c r="E18">
        <v>8.18</v>
      </c>
      <c r="F18">
        <v>1.04</v>
      </c>
      <c r="G18" s="1">
        <v>0.32400000000000001</v>
      </c>
      <c r="H18" s="1">
        <v>0.04</v>
      </c>
      <c r="I18" s="1">
        <v>0.28399999999999997</v>
      </c>
      <c r="J18">
        <v>0.222</v>
      </c>
      <c r="K18">
        <v>1</v>
      </c>
      <c r="L18">
        <v>0.307</v>
      </c>
      <c r="M18" s="1">
        <v>0.86199999999999999</v>
      </c>
      <c r="N18">
        <v>56</v>
      </c>
      <c r="O18">
        <v>62</v>
      </c>
      <c r="P18">
        <v>62</v>
      </c>
      <c r="Q18">
        <v>2.61</v>
      </c>
      <c r="R18">
        <v>2.85</v>
      </c>
      <c r="S18">
        <v>-0.24</v>
      </c>
      <c r="T18">
        <v>2.84</v>
      </c>
      <c r="U18">
        <v>2.63</v>
      </c>
      <c r="V18">
        <v>13449</v>
      </c>
    </row>
    <row r="19" spans="1:22" x14ac:dyDescent="0.3">
      <c r="A19" t="s">
        <v>147</v>
      </c>
      <c r="B19" t="s">
        <v>48</v>
      </c>
      <c r="C19">
        <v>9.09</v>
      </c>
      <c r="D19">
        <v>2.41</v>
      </c>
      <c r="E19">
        <v>3.78</v>
      </c>
      <c r="F19">
        <v>0.53</v>
      </c>
      <c r="G19" s="1">
        <v>0.23899999999999999</v>
      </c>
      <c r="H19" s="1">
        <v>6.3E-2</v>
      </c>
      <c r="I19" s="1">
        <v>0.17599999999999999</v>
      </c>
      <c r="J19">
        <v>0.26900000000000002</v>
      </c>
      <c r="K19">
        <v>1.32</v>
      </c>
      <c r="L19">
        <v>0.34899999999999998</v>
      </c>
      <c r="M19" s="1">
        <v>0.73799999999999999</v>
      </c>
      <c r="N19">
        <v>84</v>
      </c>
      <c r="O19">
        <v>67</v>
      </c>
      <c r="P19">
        <v>69</v>
      </c>
      <c r="Q19">
        <v>3.61</v>
      </c>
      <c r="R19">
        <v>2.86</v>
      </c>
      <c r="S19">
        <v>0.75</v>
      </c>
      <c r="T19">
        <v>3.06</v>
      </c>
      <c r="U19">
        <v>3.17</v>
      </c>
      <c r="V19">
        <v>4264</v>
      </c>
    </row>
    <row r="20" spans="1:22" x14ac:dyDescent="0.3">
      <c r="A20" t="s">
        <v>61</v>
      </c>
      <c r="B20" t="s">
        <v>62</v>
      </c>
      <c r="C20">
        <v>9.2899999999999991</v>
      </c>
      <c r="D20">
        <v>1.98</v>
      </c>
      <c r="E20">
        <v>4.6900000000000004</v>
      </c>
      <c r="F20">
        <v>0.74</v>
      </c>
      <c r="G20" s="1">
        <v>0.26500000000000001</v>
      </c>
      <c r="H20" s="1">
        <v>5.7000000000000002E-2</v>
      </c>
      <c r="I20" s="1">
        <v>0.20799999999999999</v>
      </c>
      <c r="J20">
        <v>0.217</v>
      </c>
      <c r="K20">
        <v>1.02</v>
      </c>
      <c r="L20">
        <v>0.28000000000000003</v>
      </c>
      <c r="M20" s="1">
        <v>0.82299999999999995</v>
      </c>
      <c r="N20">
        <v>55</v>
      </c>
      <c r="O20">
        <v>63</v>
      </c>
      <c r="P20">
        <v>85</v>
      </c>
      <c r="Q20">
        <v>2.48</v>
      </c>
      <c r="R20">
        <v>2.88</v>
      </c>
      <c r="S20">
        <v>-0.41</v>
      </c>
      <c r="T20">
        <v>3.89</v>
      </c>
      <c r="U20">
        <v>3.54</v>
      </c>
      <c r="V20">
        <v>11801</v>
      </c>
    </row>
    <row r="21" spans="1:22" x14ac:dyDescent="0.3">
      <c r="A21" t="s">
        <v>126</v>
      </c>
      <c r="B21" t="s">
        <v>127</v>
      </c>
      <c r="C21">
        <v>10.37</v>
      </c>
      <c r="D21">
        <v>2.42</v>
      </c>
      <c r="E21">
        <v>4.29</v>
      </c>
      <c r="F21">
        <v>0.85</v>
      </c>
      <c r="G21" s="1">
        <v>0.27400000000000002</v>
      </c>
      <c r="H21" s="1">
        <v>6.4000000000000001E-2</v>
      </c>
      <c r="I21" s="1">
        <v>0.21099999999999999</v>
      </c>
      <c r="J21">
        <v>0.25800000000000001</v>
      </c>
      <c r="K21">
        <v>1.28</v>
      </c>
      <c r="L21">
        <v>0.34300000000000003</v>
      </c>
      <c r="M21" s="1">
        <v>0.78800000000000003</v>
      </c>
      <c r="N21">
        <v>72</v>
      </c>
      <c r="O21">
        <v>67</v>
      </c>
      <c r="P21">
        <v>83</v>
      </c>
      <c r="Q21">
        <v>3.41</v>
      </c>
      <c r="R21">
        <v>2.99</v>
      </c>
      <c r="S21">
        <v>0.42</v>
      </c>
      <c r="T21">
        <v>3.77</v>
      </c>
      <c r="U21">
        <v>3.46</v>
      </c>
      <c r="V21">
        <v>6986</v>
      </c>
    </row>
    <row r="22" spans="1:22" x14ac:dyDescent="0.3">
      <c r="A22" t="s">
        <v>72</v>
      </c>
      <c r="B22" t="s">
        <v>34</v>
      </c>
      <c r="C22">
        <v>9.66</v>
      </c>
      <c r="D22">
        <v>2.16</v>
      </c>
      <c r="E22">
        <v>4.4800000000000004</v>
      </c>
      <c r="F22">
        <v>0.75</v>
      </c>
      <c r="G22" s="1">
        <v>0.26100000000000001</v>
      </c>
      <c r="H22" s="1">
        <v>5.8000000000000003E-2</v>
      </c>
      <c r="I22" s="1">
        <v>0.20300000000000001</v>
      </c>
      <c r="J22">
        <v>0.22900000000000001</v>
      </c>
      <c r="K22">
        <v>1.1100000000000001</v>
      </c>
      <c r="L22">
        <v>0.29699999999999999</v>
      </c>
      <c r="M22" s="1">
        <v>0.76200000000000001</v>
      </c>
      <c r="N22">
        <v>59</v>
      </c>
      <c r="O22">
        <v>67</v>
      </c>
      <c r="P22">
        <v>76</v>
      </c>
      <c r="Q22">
        <v>2.63</v>
      </c>
      <c r="R22">
        <v>3</v>
      </c>
      <c r="S22">
        <v>-0.37</v>
      </c>
      <c r="T22">
        <v>3.47</v>
      </c>
      <c r="U22">
        <v>3.76</v>
      </c>
      <c r="V22">
        <v>14309</v>
      </c>
    </row>
    <row r="23" spans="1:22" x14ac:dyDescent="0.3">
      <c r="A23" t="s">
        <v>112</v>
      </c>
      <c r="B23" t="s">
        <v>53</v>
      </c>
      <c r="C23">
        <v>10.61</v>
      </c>
      <c r="D23">
        <v>1.83</v>
      </c>
      <c r="E23">
        <v>5.81</v>
      </c>
      <c r="F23">
        <v>0.99</v>
      </c>
      <c r="G23" s="1">
        <v>0.29199999999999998</v>
      </c>
      <c r="H23" s="1">
        <v>0.05</v>
      </c>
      <c r="I23" s="1">
        <v>0.24199999999999999</v>
      </c>
      <c r="J23">
        <v>0.221</v>
      </c>
      <c r="K23">
        <v>1.04</v>
      </c>
      <c r="L23">
        <v>0.28999999999999998</v>
      </c>
      <c r="M23" s="1">
        <v>0.71</v>
      </c>
      <c r="N23">
        <v>78</v>
      </c>
      <c r="O23">
        <v>69</v>
      </c>
      <c r="P23">
        <v>76</v>
      </c>
      <c r="Q23">
        <v>3.26</v>
      </c>
      <c r="R23">
        <v>3.01</v>
      </c>
      <c r="S23">
        <v>0.25</v>
      </c>
      <c r="T23">
        <v>3.37</v>
      </c>
      <c r="U23">
        <v>3.5</v>
      </c>
      <c r="V23">
        <v>19374</v>
      </c>
    </row>
    <row r="24" spans="1:22" x14ac:dyDescent="0.3">
      <c r="A24" t="s">
        <v>149</v>
      </c>
      <c r="B24" t="s">
        <v>71</v>
      </c>
      <c r="C24">
        <v>10.58</v>
      </c>
      <c r="D24">
        <v>2.2200000000000002</v>
      </c>
      <c r="E24">
        <v>4.7699999999999996</v>
      </c>
      <c r="F24">
        <v>0.89</v>
      </c>
      <c r="G24" s="1">
        <v>0.28999999999999998</v>
      </c>
      <c r="H24" s="1">
        <v>6.0999999999999999E-2</v>
      </c>
      <c r="I24" s="1">
        <v>0.22900000000000001</v>
      </c>
      <c r="J24">
        <v>0.23799999999999999</v>
      </c>
      <c r="K24">
        <v>1.1399999999999999</v>
      </c>
      <c r="L24">
        <v>0.32</v>
      </c>
      <c r="M24" s="1">
        <v>0.747</v>
      </c>
      <c r="N24">
        <v>82</v>
      </c>
      <c r="O24">
        <v>67</v>
      </c>
      <c r="P24">
        <v>76</v>
      </c>
      <c r="Q24">
        <v>3.62</v>
      </c>
      <c r="R24">
        <v>3.01</v>
      </c>
      <c r="S24">
        <v>0.62</v>
      </c>
      <c r="T24">
        <v>3.36</v>
      </c>
      <c r="U24">
        <v>3.6</v>
      </c>
      <c r="V24">
        <v>16162</v>
      </c>
    </row>
    <row r="25" spans="1:22" x14ac:dyDescent="0.3">
      <c r="A25" t="s">
        <v>49</v>
      </c>
      <c r="B25" t="s">
        <v>50</v>
      </c>
      <c r="C25">
        <v>11.31</v>
      </c>
      <c r="D25">
        <v>1.95</v>
      </c>
      <c r="E25">
        <v>5.81</v>
      </c>
      <c r="F25">
        <v>1.0900000000000001</v>
      </c>
      <c r="G25" s="1">
        <v>0.33300000000000002</v>
      </c>
      <c r="H25" s="1">
        <v>5.7000000000000002E-2</v>
      </c>
      <c r="I25" s="1">
        <v>0.27600000000000002</v>
      </c>
      <c r="J25">
        <v>0.16900000000000001</v>
      </c>
      <c r="K25">
        <v>0.81</v>
      </c>
      <c r="L25">
        <v>0.222</v>
      </c>
      <c r="M25" s="1">
        <v>0.873</v>
      </c>
      <c r="N25">
        <v>55</v>
      </c>
      <c r="O25">
        <v>70</v>
      </c>
      <c r="P25">
        <v>81</v>
      </c>
      <c r="Q25">
        <v>2.31</v>
      </c>
      <c r="R25">
        <v>3.05</v>
      </c>
      <c r="S25">
        <v>-0.74</v>
      </c>
      <c r="T25">
        <v>3.59</v>
      </c>
      <c r="U25">
        <v>2.89</v>
      </c>
      <c r="V25">
        <v>14986</v>
      </c>
    </row>
    <row r="26" spans="1:22" x14ac:dyDescent="0.3">
      <c r="A26" t="s">
        <v>65</v>
      </c>
      <c r="B26" t="s">
        <v>66</v>
      </c>
      <c r="C26">
        <v>12.8</v>
      </c>
      <c r="D26">
        <v>2.1800000000000002</v>
      </c>
      <c r="E26">
        <v>5.86</v>
      </c>
      <c r="F26">
        <v>1.25</v>
      </c>
      <c r="G26" s="1">
        <v>0.34499999999999997</v>
      </c>
      <c r="H26" s="1">
        <v>5.8999999999999997E-2</v>
      </c>
      <c r="I26" s="1">
        <v>0.28599999999999998</v>
      </c>
      <c r="J26">
        <v>0.19900000000000001</v>
      </c>
      <c r="K26">
        <v>1.01</v>
      </c>
      <c r="L26">
        <v>0.27500000000000002</v>
      </c>
      <c r="M26" s="1">
        <v>0.76300000000000001</v>
      </c>
      <c r="N26">
        <v>54</v>
      </c>
      <c r="O26">
        <v>67</v>
      </c>
      <c r="P26">
        <v>65</v>
      </c>
      <c r="Q26">
        <v>2.5</v>
      </c>
      <c r="R26">
        <v>3.06</v>
      </c>
      <c r="S26">
        <v>-0.56000000000000005</v>
      </c>
      <c r="T26">
        <v>2.94</v>
      </c>
      <c r="U26">
        <v>2.74</v>
      </c>
      <c r="V26">
        <v>13758</v>
      </c>
    </row>
    <row r="27" spans="1:22" x14ac:dyDescent="0.3">
      <c r="A27" t="s">
        <v>259</v>
      </c>
      <c r="B27" t="s">
        <v>93</v>
      </c>
      <c r="C27">
        <v>10.220000000000001</v>
      </c>
      <c r="D27">
        <v>3.28</v>
      </c>
      <c r="E27">
        <v>3.12</v>
      </c>
      <c r="F27">
        <v>0.63</v>
      </c>
      <c r="G27" s="1">
        <v>0.27400000000000002</v>
      </c>
      <c r="H27" s="1">
        <v>8.7999999999999995E-2</v>
      </c>
      <c r="I27" s="1">
        <v>0.186</v>
      </c>
      <c r="J27">
        <v>0.24</v>
      </c>
      <c r="K27">
        <v>1.26</v>
      </c>
      <c r="L27">
        <v>0.32600000000000001</v>
      </c>
      <c r="M27" s="1">
        <v>0.66300000000000003</v>
      </c>
      <c r="N27">
        <v>101</v>
      </c>
      <c r="O27">
        <v>68</v>
      </c>
      <c r="P27">
        <v>86</v>
      </c>
      <c r="Q27">
        <v>4.54</v>
      </c>
      <c r="R27">
        <v>3.07</v>
      </c>
      <c r="S27">
        <v>1.47</v>
      </c>
      <c r="T27">
        <v>3.81</v>
      </c>
      <c r="U27">
        <v>3.74</v>
      </c>
      <c r="V27">
        <v>15855</v>
      </c>
    </row>
    <row r="28" spans="1:22" x14ac:dyDescent="0.3">
      <c r="A28" t="s">
        <v>97</v>
      </c>
      <c r="B28" t="s">
        <v>98</v>
      </c>
      <c r="C28">
        <v>9.65</v>
      </c>
      <c r="D28">
        <v>1.96</v>
      </c>
      <c r="E28">
        <v>4.93</v>
      </c>
      <c r="F28">
        <v>0.84</v>
      </c>
      <c r="G28" s="1">
        <v>0.26500000000000001</v>
      </c>
      <c r="H28" s="1">
        <v>5.3999999999999999E-2</v>
      </c>
      <c r="I28" s="1">
        <v>0.21199999999999999</v>
      </c>
      <c r="J28">
        <v>0.22600000000000001</v>
      </c>
      <c r="K28">
        <v>1.07</v>
      </c>
      <c r="L28">
        <v>0.29199999999999998</v>
      </c>
      <c r="M28" s="1">
        <v>0.78600000000000003</v>
      </c>
      <c r="N28">
        <v>67</v>
      </c>
      <c r="O28">
        <v>70</v>
      </c>
      <c r="P28">
        <v>87</v>
      </c>
      <c r="Q28">
        <v>2.94</v>
      </c>
      <c r="R28">
        <v>3.07</v>
      </c>
      <c r="S28">
        <v>-0.14000000000000001</v>
      </c>
      <c r="T28">
        <v>3.87</v>
      </c>
      <c r="U28">
        <v>3.84</v>
      </c>
      <c r="V28">
        <v>16918</v>
      </c>
    </row>
    <row r="29" spans="1:22" x14ac:dyDescent="0.3">
      <c r="A29" t="s">
        <v>70</v>
      </c>
      <c r="B29" t="s">
        <v>71</v>
      </c>
      <c r="C29">
        <v>16.41</v>
      </c>
      <c r="D29">
        <v>2.38</v>
      </c>
      <c r="E29">
        <v>6.9</v>
      </c>
      <c r="F29">
        <v>1.78</v>
      </c>
      <c r="G29" s="1">
        <v>0.47799999999999998</v>
      </c>
      <c r="H29" s="1">
        <v>6.9000000000000006E-2</v>
      </c>
      <c r="I29" s="1">
        <v>0.40799999999999997</v>
      </c>
      <c r="J29">
        <v>0.155</v>
      </c>
      <c r="K29">
        <v>0.81</v>
      </c>
      <c r="L29">
        <v>0.23200000000000001</v>
      </c>
      <c r="M29" s="1">
        <v>0.93200000000000005</v>
      </c>
      <c r="N29">
        <v>59</v>
      </c>
      <c r="O29">
        <v>69</v>
      </c>
      <c r="P29">
        <v>53</v>
      </c>
      <c r="Q29">
        <v>2.62</v>
      </c>
      <c r="R29">
        <v>3.1</v>
      </c>
      <c r="S29">
        <v>-0.48</v>
      </c>
      <c r="T29">
        <v>2.36</v>
      </c>
      <c r="U29">
        <v>1.78</v>
      </c>
      <c r="V29">
        <v>14212</v>
      </c>
    </row>
    <row r="30" spans="1:22" x14ac:dyDescent="0.3">
      <c r="A30" t="s">
        <v>52</v>
      </c>
      <c r="B30" t="s">
        <v>53</v>
      </c>
      <c r="C30">
        <v>8.0299999999999994</v>
      </c>
      <c r="D30">
        <v>1.18</v>
      </c>
      <c r="E30">
        <v>6.79</v>
      </c>
      <c r="F30">
        <v>0.84</v>
      </c>
      <c r="G30" s="1">
        <v>0.22500000000000001</v>
      </c>
      <c r="H30" s="1">
        <v>3.3000000000000002E-2</v>
      </c>
      <c r="I30" s="1">
        <v>0.192</v>
      </c>
      <c r="J30">
        <v>0.23</v>
      </c>
      <c r="K30">
        <v>1.01</v>
      </c>
      <c r="L30">
        <v>0.27800000000000002</v>
      </c>
      <c r="M30" s="1">
        <v>0.82199999999999995</v>
      </c>
      <c r="N30">
        <v>55</v>
      </c>
      <c r="O30">
        <v>71</v>
      </c>
      <c r="P30">
        <v>75</v>
      </c>
      <c r="Q30">
        <v>2.3199999999999998</v>
      </c>
      <c r="R30">
        <v>3.1</v>
      </c>
      <c r="S30">
        <v>-0.78</v>
      </c>
      <c r="T30">
        <v>3.32</v>
      </c>
      <c r="U30">
        <v>3.77</v>
      </c>
      <c r="V30">
        <v>14444</v>
      </c>
    </row>
    <row r="31" spans="1:22" x14ac:dyDescent="0.3">
      <c r="A31" t="s">
        <v>243</v>
      </c>
      <c r="B31" t="s">
        <v>83</v>
      </c>
      <c r="C31">
        <v>9.74</v>
      </c>
      <c r="D31">
        <v>2.91</v>
      </c>
      <c r="E31">
        <v>3.35</v>
      </c>
      <c r="F31">
        <v>0.68</v>
      </c>
      <c r="G31" s="1">
        <v>0.26600000000000001</v>
      </c>
      <c r="H31" s="1">
        <v>7.9000000000000001E-2</v>
      </c>
      <c r="I31" s="1">
        <v>0.187</v>
      </c>
      <c r="J31">
        <v>0.21</v>
      </c>
      <c r="K31">
        <v>1.1000000000000001</v>
      </c>
      <c r="L31">
        <v>0.27600000000000002</v>
      </c>
      <c r="M31" s="1">
        <v>0.625</v>
      </c>
      <c r="N31">
        <v>106</v>
      </c>
      <c r="O31">
        <v>74</v>
      </c>
      <c r="P31">
        <v>91</v>
      </c>
      <c r="Q31">
        <v>4.4400000000000004</v>
      </c>
      <c r="R31">
        <v>3.12</v>
      </c>
      <c r="S31">
        <v>1.32</v>
      </c>
      <c r="T31">
        <v>4.0599999999999996</v>
      </c>
      <c r="U31">
        <v>3.73</v>
      </c>
      <c r="V31">
        <v>15046</v>
      </c>
    </row>
    <row r="32" spans="1:22" x14ac:dyDescent="0.3">
      <c r="A32" t="s">
        <v>152</v>
      </c>
      <c r="B32" t="s">
        <v>143</v>
      </c>
      <c r="C32">
        <v>10.63</v>
      </c>
      <c r="D32">
        <v>2.5499999999999998</v>
      </c>
      <c r="E32">
        <v>4.17</v>
      </c>
      <c r="F32">
        <v>0.91</v>
      </c>
      <c r="G32" s="1">
        <v>0.28100000000000003</v>
      </c>
      <c r="H32" s="1">
        <v>6.7000000000000004E-2</v>
      </c>
      <c r="I32" s="1">
        <v>0.214</v>
      </c>
      <c r="J32">
        <v>0.24099999999999999</v>
      </c>
      <c r="K32">
        <v>1.22</v>
      </c>
      <c r="L32">
        <v>0.32200000000000001</v>
      </c>
      <c r="M32" s="1">
        <v>0.74399999999999999</v>
      </c>
      <c r="N32">
        <v>73</v>
      </c>
      <c r="O32">
        <v>66</v>
      </c>
      <c r="P32">
        <v>84</v>
      </c>
      <c r="Q32">
        <v>3.67</v>
      </c>
      <c r="R32">
        <v>3.13</v>
      </c>
      <c r="S32">
        <v>0.54</v>
      </c>
      <c r="T32">
        <v>3.85</v>
      </c>
      <c r="U32">
        <v>3.83</v>
      </c>
      <c r="V32">
        <v>2520</v>
      </c>
    </row>
    <row r="33" spans="1:22" x14ac:dyDescent="0.3">
      <c r="A33" t="s">
        <v>144</v>
      </c>
      <c r="B33" t="s">
        <v>50</v>
      </c>
      <c r="C33">
        <v>10.78</v>
      </c>
      <c r="D33">
        <v>3.34</v>
      </c>
      <c r="E33">
        <v>3.22</v>
      </c>
      <c r="F33">
        <v>0.74</v>
      </c>
      <c r="G33" s="1">
        <v>0.28599999999999998</v>
      </c>
      <c r="H33" s="1">
        <v>8.8999999999999996E-2</v>
      </c>
      <c r="I33" s="1">
        <v>0.19700000000000001</v>
      </c>
      <c r="J33">
        <v>0.215</v>
      </c>
      <c r="K33">
        <v>1.18</v>
      </c>
      <c r="L33">
        <v>0.29299999999999998</v>
      </c>
      <c r="M33" s="1">
        <v>0.72</v>
      </c>
      <c r="N33">
        <v>85</v>
      </c>
      <c r="O33">
        <v>72</v>
      </c>
      <c r="P33">
        <v>104</v>
      </c>
      <c r="Q33">
        <v>3.59</v>
      </c>
      <c r="R33">
        <v>3.13</v>
      </c>
      <c r="S33">
        <v>0.46</v>
      </c>
      <c r="T33">
        <v>4.63</v>
      </c>
      <c r="U33">
        <v>3.82</v>
      </c>
      <c r="V33">
        <v>12777</v>
      </c>
    </row>
    <row r="34" spans="1:22" x14ac:dyDescent="0.3">
      <c r="A34" t="s">
        <v>27</v>
      </c>
      <c r="B34" t="s">
        <v>28</v>
      </c>
      <c r="C34">
        <v>9.3000000000000007</v>
      </c>
      <c r="D34">
        <v>2.1</v>
      </c>
      <c r="E34">
        <v>4.43</v>
      </c>
      <c r="F34">
        <v>0.9</v>
      </c>
      <c r="G34" s="1">
        <v>0.27100000000000002</v>
      </c>
      <c r="H34" s="1">
        <v>6.0999999999999999E-2</v>
      </c>
      <c r="I34" s="1">
        <v>0.21</v>
      </c>
      <c r="J34">
        <v>0.19500000000000001</v>
      </c>
      <c r="K34">
        <v>0.93</v>
      </c>
      <c r="L34">
        <v>0.245</v>
      </c>
      <c r="M34" s="1">
        <v>0.88200000000000001</v>
      </c>
      <c r="N34">
        <v>34</v>
      </c>
      <c r="O34">
        <v>70</v>
      </c>
      <c r="P34">
        <v>67</v>
      </c>
      <c r="Q34">
        <v>1.5</v>
      </c>
      <c r="R34">
        <v>3.15</v>
      </c>
      <c r="S34">
        <v>-1.65</v>
      </c>
      <c r="T34">
        <v>3.04</v>
      </c>
      <c r="U34">
        <v>3.18</v>
      </c>
      <c r="V34">
        <v>3192</v>
      </c>
    </row>
    <row r="35" spans="1:22" x14ac:dyDescent="0.3">
      <c r="A35" t="s">
        <v>73</v>
      </c>
      <c r="B35" t="s">
        <v>28</v>
      </c>
      <c r="C35">
        <v>10.11</v>
      </c>
      <c r="D35">
        <v>1.66</v>
      </c>
      <c r="E35">
        <v>6.08</v>
      </c>
      <c r="F35">
        <v>1.1100000000000001</v>
      </c>
      <c r="G35" s="1">
        <v>0.28899999999999998</v>
      </c>
      <c r="H35" s="1">
        <v>4.7E-2</v>
      </c>
      <c r="I35" s="1">
        <v>0.24099999999999999</v>
      </c>
      <c r="J35">
        <v>0.188</v>
      </c>
      <c r="K35">
        <v>0.88</v>
      </c>
      <c r="L35">
        <v>0.23400000000000001</v>
      </c>
      <c r="M35" s="1">
        <v>0.81599999999999995</v>
      </c>
      <c r="N35">
        <v>59</v>
      </c>
      <c r="O35">
        <v>71</v>
      </c>
      <c r="P35">
        <v>79</v>
      </c>
      <c r="Q35">
        <v>2.63</v>
      </c>
      <c r="R35">
        <v>3.21</v>
      </c>
      <c r="S35">
        <v>-0.57999999999999996</v>
      </c>
      <c r="T35">
        <v>3.6</v>
      </c>
      <c r="U35">
        <v>3.18</v>
      </c>
      <c r="V35">
        <v>13764</v>
      </c>
    </row>
    <row r="36" spans="1:22" x14ac:dyDescent="0.3">
      <c r="A36" t="s">
        <v>96</v>
      </c>
      <c r="B36" t="s">
        <v>48</v>
      </c>
      <c r="C36">
        <v>8.07</v>
      </c>
      <c r="D36">
        <v>1.29</v>
      </c>
      <c r="E36">
        <v>6.23</v>
      </c>
      <c r="F36">
        <v>0.91</v>
      </c>
      <c r="G36" s="1">
        <v>0.23100000000000001</v>
      </c>
      <c r="H36" s="1">
        <v>3.6999999999999998E-2</v>
      </c>
      <c r="I36" s="1">
        <v>0.19400000000000001</v>
      </c>
      <c r="J36">
        <v>0.22600000000000001</v>
      </c>
      <c r="K36">
        <v>0.98</v>
      </c>
      <c r="L36">
        <v>0.27100000000000002</v>
      </c>
      <c r="M36" s="1">
        <v>0.75700000000000001</v>
      </c>
      <c r="N36">
        <v>66</v>
      </c>
      <c r="O36">
        <v>73</v>
      </c>
      <c r="P36">
        <v>84</v>
      </c>
      <c r="Q36">
        <v>2.93</v>
      </c>
      <c r="R36">
        <v>3.22</v>
      </c>
      <c r="S36">
        <v>-0.28999999999999998</v>
      </c>
      <c r="T36">
        <v>3.74</v>
      </c>
      <c r="U36">
        <v>3.96</v>
      </c>
      <c r="V36">
        <v>1943</v>
      </c>
    </row>
    <row r="37" spans="1:22" x14ac:dyDescent="0.3">
      <c r="A37" t="s">
        <v>82</v>
      </c>
      <c r="B37" t="s">
        <v>83</v>
      </c>
      <c r="C37">
        <v>13.22</v>
      </c>
      <c r="D37">
        <v>2.89</v>
      </c>
      <c r="E37">
        <v>4.57</v>
      </c>
      <c r="F37">
        <v>1.38</v>
      </c>
      <c r="G37" s="1">
        <v>0.374</v>
      </c>
      <c r="H37" s="1">
        <v>8.2000000000000003E-2</v>
      </c>
      <c r="I37" s="1">
        <v>0.29199999999999998</v>
      </c>
      <c r="J37">
        <v>0.19500000000000001</v>
      </c>
      <c r="K37">
        <v>1.03</v>
      </c>
      <c r="L37">
        <v>0.27700000000000002</v>
      </c>
      <c r="M37" s="1">
        <v>0.88700000000000001</v>
      </c>
      <c r="N37">
        <v>66</v>
      </c>
      <c r="O37">
        <v>77</v>
      </c>
      <c r="P37">
        <v>61</v>
      </c>
      <c r="Q37">
        <v>2.76</v>
      </c>
      <c r="R37">
        <v>3.23</v>
      </c>
      <c r="S37">
        <v>-0.47</v>
      </c>
      <c r="T37">
        <v>2.73</v>
      </c>
      <c r="U37">
        <v>2.71</v>
      </c>
      <c r="V37">
        <v>8048</v>
      </c>
    </row>
    <row r="38" spans="1:22" x14ac:dyDescent="0.3">
      <c r="A38" t="s">
        <v>176</v>
      </c>
      <c r="B38" t="s">
        <v>75</v>
      </c>
      <c r="C38">
        <v>13.13</v>
      </c>
      <c r="D38">
        <v>3.22</v>
      </c>
      <c r="E38">
        <v>4.08</v>
      </c>
      <c r="F38">
        <v>1.24</v>
      </c>
      <c r="G38" s="1">
        <v>0.33700000000000002</v>
      </c>
      <c r="H38" s="1">
        <v>8.3000000000000004E-2</v>
      </c>
      <c r="I38" s="1">
        <v>0.254</v>
      </c>
      <c r="J38">
        <v>0.26500000000000001</v>
      </c>
      <c r="K38">
        <v>1.4</v>
      </c>
      <c r="L38">
        <v>0.38600000000000001</v>
      </c>
      <c r="M38" s="1">
        <v>0.77800000000000002</v>
      </c>
      <c r="N38">
        <v>86</v>
      </c>
      <c r="O38">
        <v>74</v>
      </c>
      <c r="P38">
        <v>56</v>
      </c>
      <c r="Q38">
        <v>3.84</v>
      </c>
      <c r="R38">
        <v>3.24</v>
      </c>
      <c r="S38">
        <v>0.6</v>
      </c>
      <c r="T38">
        <v>2.52</v>
      </c>
      <c r="U38">
        <v>2.8</v>
      </c>
      <c r="V38">
        <v>11752</v>
      </c>
    </row>
    <row r="39" spans="1:22" x14ac:dyDescent="0.3">
      <c r="A39" t="s">
        <v>123</v>
      </c>
      <c r="B39" t="s">
        <v>48</v>
      </c>
      <c r="C39">
        <v>10.51</v>
      </c>
      <c r="D39">
        <v>0.81</v>
      </c>
      <c r="E39">
        <v>13</v>
      </c>
      <c r="F39">
        <v>1.46</v>
      </c>
      <c r="G39" s="1">
        <v>0.30099999999999999</v>
      </c>
      <c r="H39" s="1">
        <v>2.3E-2</v>
      </c>
      <c r="I39" s="1">
        <v>0.27800000000000002</v>
      </c>
      <c r="J39">
        <v>0.246</v>
      </c>
      <c r="K39">
        <v>1.02</v>
      </c>
      <c r="L39">
        <v>0.314</v>
      </c>
      <c r="M39" s="1">
        <v>0.76600000000000001</v>
      </c>
      <c r="N39">
        <v>71</v>
      </c>
      <c r="O39">
        <v>69</v>
      </c>
      <c r="P39">
        <v>60</v>
      </c>
      <c r="Q39">
        <v>3.4</v>
      </c>
      <c r="R39">
        <v>3.25</v>
      </c>
      <c r="S39">
        <v>0.15</v>
      </c>
      <c r="T39">
        <v>2.72</v>
      </c>
      <c r="U39">
        <v>2.65</v>
      </c>
      <c r="V39">
        <v>11847</v>
      </c>
    </row>
    <row r="40" spans="1:22" x14ac:dyDescent="0.3">
      <c r="A40" t="s">
        <v>165</v>
      </c>
      <c r="B40" t="s">
        <v>98</v>
      </c>
      <c r="C40">
        <v>11.62</v>
      </c>
      <c r="D40">
        <v>3.08</v>
      </c>
      <c r="E40">
        <v>3.78</v>
      </c>
      <c r="F40">
        <v>1.03</v>
      </c>
      <c r="G40" s="1">
        <v>0.30199999999999999</v>
      </c>
      <c r="H40" s="1">
        <v>0.08</v>
      </c>
      <c r="I40" s="1">
        <v>0.222</v>
      </c>
      <c r="J40">
        <v>0.254</v>
      </c>
      <c r="K40">
        <v>1.33</v>
      </c>
      <c r="L40">
        <v>0.35099999999999998</v>
      </c>
      <c r="M40" s="1">
        <v>0.77</v>
      </c>
      <c r="N40">
        <v>85</v>
      </c>
      <c r="O40">
        <v>74</v>
      </c>
      <c r="P40">
        <v>73</v>
      </c>
      <c r="Q40">
        <v>3.76</v>
      </c>
      <c r="R40">
        <v>3.25</v>
      </c>
      <c r="S40">
        <v>0.51</v>
      </c>
      <c r="T40">
        <v>3.24</v>
      </c>
      <c r="U40">
        <v>3.33</v>
      </c>
      <c r="V40">
        <v>12988</v>
      </c>
    </row>
    <row r="41" spans="1:22" x14ac:dyDescent="0.3">
      <c r="A41" t="s">
        <v>117</v>
      </c>
      <c r="B41" t="s">
        <v>93</v>
      </c>
      <c r="C41">
        <v>10.81</v>
      </c>
      <c r="D41">
        <v>2.41</v>
      </c>
      <c r="E41">
        <v>4.4800000000000004</v>
      </c>
      <c r="F41">
        <v>1.03</v>
      </c>
      <c r="G41" s="1">
        <v>0.29799999999999999</v>
      </c>
      <c r="H41" s="1">
        <v>6.7000000000000004E-2</v>
      </c>
      <c r="I41" s="1">
        <v>0.23200000000000001</v>
      </c>
      <c r="J41">
        <v>0.20799999999999999</v>
      </c>
      <c r="K41">
        <v>1.04</v>
      </c>
      <c r="L41">
        <v>0.27400000000000002</v>
      </c>
      <c r="M41" s="1">
        <v>0.76500000000000001</v>
      </c>
      <c r="N41">
        <v>74</v>
      </c>
      <c r="O41">
        <v>72</v>
      </c>
      <c r="P41">
        <v>71</v>
      </c>
      <c r="Q41">
        <v>3.32</v>
      </c>
      <c r="R41">
        <v>3.25</v>
      </c>
      <c r="S41">
        <v>0.06</v>
      </c>
      <c r="T41">
        <v>3.17</v>
      </c>
      <c r="U41">
        <v>3.49</v>
      </c>
      <c r="V41">
        <v>10131</v>
      </c>
    </row>
    <row r="42" spans="1:22" x14ac:dyDescent="0.3">
      <c r="A42" t="s">
        <v>68</v>
      </c>
      <c r="B42" t="s">
        <v>28</v>
      </c>
      <c r="C42">
        <v>12.11</v>
      </c>
      <c r="D42">
        <v>1.7</v>
      </c>
      <c r="E42">
        <v>7.14</v>
      </c>
      <c r="F42">
        <v>1.45</v>
      </c>
      <c r="G42" s="1">
        <v>0.35399999999999998</v>
      </c>
      <c r="H42" s="1">
        <v>0.05</v>
      </c>
      <c r="I42" s="1">
        <v>0.30499999999999999</v>
      </c>
      <c r="J42">
        <v>0.17100000000000001</v>
      </c>
      <c r="K42">
        <v>0.8</v>
      </c>
      <c r="L42">
        <v>0.218</v>
      </c>
      <c r="M42" s="1">
        <v>0.88400000000000001</v>
      </c>
      <c r="N42">
        <v>58</v>
      </c>
      <c r="O42">
        <v>73</v>
      </c>
      <c r="P42">
        <v>70</v>
      </c>
      <c r="Q42">
        <v>2.58</v>
      </c>
      <c r="R42">
        <v>3.27</v>
      </c>
      <c r="S42">
        <v>-0.68</v>
      </c>
      <c r="T42">
        <v>3.18</v>
      </c>
      <c r="U42">
        <v>2.95</v>
      </c>
      <c r="V42">
        <v>8700</v>
      </c>
    </row>
    <row r="43" spans="1:22" x14ac:dyDescent="0.3">
      <c r="A43" t="s">
        <v>167</v>
      </c>
      <c r="B43" t="s">
        <v>38</v>
      </c>
      <c r="C43">
        <v>15.39</v>
      </c>
      <c r="D43">
        <v>5.32</v>
      </c>
      <c r="E43">
        <v>2.89</v>
      </c>
      <c r="F43">
        <v>1.1200000000000001</v>
      </c>
      <c r="G43" s="1">
        <v>0.38600000000000001</v>
      </c>
      <c r="H43" s="1">
        <v>0.13300000000000001</v>
      </c>
      <c r="I43" s="1">
        <v>0.253</v>
      </c>
      <c r="J43">
        <v>0.20799999999999999</v>
      </c>
      <c r="K43">
        <v>1.38</v>
      </c>
      <c r="L43">
        <v>0.33900000000000002</v>
      </c>
      <c r="M43" s="1">
        <v>0.77700000000000002</v>
      </c>
      <c r="N43">
        <v>78</v>
      </c>
      <c r="O43">
        <v>73</v>
      </c>
      <c r="P43">
        <v>64</v>
      </c>
      <c r="Q43">
        <v>3.78</v>
      </c>
      <c r="R43">
        <v>3.28</v>
      </c>
      <c r="S43">
        <v>0.5</v>
      </c>
      <c r="T43">
        <v>2.93</v>
      </c>
      <c r="U43">
        <v>3.25</v>
      </c>
      <c r="V43">
        <v>12863</v>
      </c>
    </row>
    <row r="44" spans="1:22" x14ac:dyDescent="0.3">
      <c r="A44" t="s">
        <v>366</v>
      </c>
      <c r="B44" t="s">
        <v>62</v>
      </c>
      <c r="C44">
        <v>8.7100000000000009</v>
      </c>
      <c r="D44">
        <v>4.18</v>
      </c>
      <c r="E44">
        <v>2.08</v>
      </c>
      <c r="F44">
        <v>0.35</v>
      </c>
      <c r="G44" s="1">
        <v>0.216</v>
      </c>
      <c r="H44" s="1">
        <v>0.104</v>
      </c>
      <c r="I44" s="1">
        <v>0.113</v>
      </c>
      <c r="J44">
        <v>0.28299999999999997</v>
      </c>
      <c r="K44">
        <v>1.59</v>
      </c>
      <c r="L44">
        <v>0.36599999999999999</v>
      </c>
      <c r="M44" s="1">
        <v>0.60299999999999998</v>
      </c>
      <c r="N44">
        <v>131</v>
      </c>
      <c r="O44">
        <v>72</v>
      </c>
      <c r="P44">
        <v>90</v>
      </c>
      <c r="Q44">
        <v>5.92</v>
      </c>
      <c r="R44">
        <v>3.29</v>
      </c>
      <c r="S44">
        <v>2.63</v>
      </c>
      <c r="T44">
        <v>4.0999999999999996</v>
      </c>
      <c r="U44">
        <v>4.41</v>
      </c>
      <c r="V44">
        <v>11964</v>
      </c>
    </row>
    <row r="45" spans="1:22" x14ac:dyDescent="0.3">
      <c r="A45" t="s">
        <v>51</v>
      </c>
      <c r="B45" t="s">
        <v>32</v>
      </c>
      <c r="C45">
        <v>12.34</v>
      </c>
      <c r="D45">
        <v>1.67</v>
      </c>
      <c r="E45">
        <v>7.38</v>
      </c>
      <c r="F45">
        <v>1.54</v>
      </c>
      <c r="G45" s="1">
        <v>0.36</v>
      </c>
      <c r="H45" s="1">
        <v>4.9000000000000002E-2</v>
      </c>
      <c r="I45" s="1">
        <v>0.311</v>
      </c>
      <c r="J45">
        <v>0.17799999999999999</v>
      </c>
      <c r="K45">
        <v>0.83</v>
      </c>
      <c r="L45">
        <v>0.22800000000000001</v>
      </c>
      <c r="M45" s="1">
        <v>0.94799999999999995</v>
      </c>
      <c r="N45">
        <v>52</v>
      </c>
      <c r="O45">
        <v>75</v>
      </c>
      <c r="P45">
        <v>69</v>
      </c>
      <c r="Q45">
        <v>2.31</v>
      </c>
      <c r="R45">
        <v>3.3</v>
      </c>
      <c r="S45">
        <v>-0.99</v>
      </c>
      <c r="T45">
        <v>3.15</v>
      </c>
      <c r="U45">
        <v>2.54</v>
      </c>
      <c r="V45">
        <v>14771</v>
      </c>
    </row>
    <row r="46" spans="1:22" x14ac:dyDescent="0.3">
      <c r="A46" t="s">
        <v>204</v>
      </c>
      <c r="B46" t="s">
        <v>32</v>
      </c>
      <c r="C46">
        <v>11.47</v>
      </c>
      <c r="D46">
        <v>5.47</v>
      </c>
      <c r="E46">
        <v>2.1</v>
      </c>
      <c r="F46">
        <v>0.53</v>
      </c>
      <c r="G46" s="1">
        <v>0.28399999999999997</v>
      </c>
      <c r="H46" s="1">
        <v>0.13500000000000001</v>
      </c>
      <c r="I46" s="1">
        <v>0.14799999999999999</v>
      </c>
      <c r="J46">
        <v>0.249</v>
      </c>
      <c r="K46">
        <v>1.57</v>
      </c>
      <c r="L46">
        <v>0.35699999999999998</v>
      </c>
      <c r="M46" s="1">
        <v>0.70299999999999996</v>
      </c>
      <c r="N46">
        <v>91</v>
      </c>
      <c r="O46">
        <v>75</v>
      </c>
      <c r="P46">
        <v>95</v>
      </c>
      <c r="Q46">
        <v>4.0599999999999996</v>
      </c>
      <c r="R46">
        <v>3.31</v>
      </c>
      <c r="S46">
        <v>0.75</v>
      </c>
      <c r="T46">
        <v>4.34</v>
      </c>
      <c r="U46">
        <v>4.2699999999999996</v>
      </c>
      <c r="V46">
        <v>9866</v>
      </c>
    </row>
    <row r="47" spans="1:22" x14ac:dyDescent="0.3">
      <c r="A47" t="s">
        <v>228</v>
      </c>
      <c r="B47" t="s">
        <v>32</v>
      </c>
      <c r="C47">
        <v>12.36</v>
      </c>
      <c r="D47">
        <v>3.36</v>
      </c>
      <c r="E47">
        <v>3.68</v>
      </c>
      <c r="F47">
        <v>1.18</v>
      </c>
      <c r="G47" s="1">
        <v>0.33300000000000002</v>
      </c>
      <c r="H47" s="1">
        <v>9.0999999999999998E-2</v>
      </c>
      <c r="I47" s="1">
        <v>0.24299999999999999</v>
      </c>
      <c r="J47">
        <v>0.24</v>
      </c>
      <c r="K47">
        <v>1.27</v>
      </c>
      <c r="L47">
        <v>0.34300000000000003</v>
      </c>
      <c r="M47" s="1">
        <v>0.71599999999999997</v>
      </c>
      <c r="N47">
        <v>96</v>
      </c>
      <c r="O47">
        <v>75</v>
      </c>
      <c r="P47">
        <v>73</v>
      </c>
      <c r="Q47">
        <v>4.29</v>
      </c>
      <c r="R47">
        <v>3.32</v>
      </c>
      <c r="S47">
        <v>0.97</v>
      </c>
      <c r="T47">
        <v>3.31</v>
      </c>
      <c r="U47">
        <v>3.56</v>
      </c>
      <c r="V47">
        <v>13543</v>
      </c>
    </row>
    <row r="48" spans="1:22" x14ac:dyDescent="0.3">
      <c r="A48" t="s">
        <v>114</v>
      </c>
      <c r="B48" t="s">
        <v>56</v>
      </c>
      <c r="C48">
        <v>10.88</v>
      </c>
      <c r="D48">
        <v>1.68</v>
      </c>
      <c r="E48">
        <v>6.48</v>
      </c>
      <c r="F48">
        <v>1.3</v>
      </c>
      <c r="G48" s="1">
        <v>0.30199999999999999</v>
      </c>
      <c r="H48" s="1">
        <v>4.7E-2</v>
      </c>
      <c r="I48" s="1">
        <v>0.255</v>
      </c>
      <c r="J48">
        <v>0.22900000000000001</v>
      </c>
      <c r="K48">
        <v>1.05</v>
      </c>
      <c r="L48">
        <v>0.29599999999999999</v>
      </c>
      <c r="M48" s="1">
        <v>0.77400000000000002</v>
      </c>
      <c r="N48">
        <v>68</v>
      </c>
      <c r="O48">
        <v>73</v>
      </c>
      <c r="P48">
        <v>71</v>
      </c>
      <c r="Q48">
        <v>3.28</v>
      </c>
      <c r="R48">
        <v>3.32</v>
      </c>
      <c r="S48">
        <v>-0.05</v>
      </c>
      <c r="T48">
        <v>3.23</v>
      </c>
      <c r="U48">
        <v>3.36</v>
      </c>
      <c r="V48">
        <v>19427</v>
      </c>
    </row>
    <row r="49" spans="1:22" x14ac:dyDescent="0.3">
      <c r="A49" t="s">
        <v>151</v>
      </c>
      <c r="B49" t="s">
        <v>40</v>
      </c>
      <c r="C49">
        <v>12.91</v>
      </c>
      <c r="D49">
        <v>2.93</v>
      </c>
      <c r="E49">
        <v>4.4000000000000004</v>
      </c>
      <c r="F49">
        <v>1.32</v>
      </c>
      <c r="G49" s="1">
        <v>0.35499999999999998</v>
      </c>
      <c r="H49" s="1">
        <v>8.1000000000000003E-2</v>
      </c>
      <c r="I49" s="1">
        <v>0.27400000000000002</v>
      </c>
      <c r="J49">
        <v>0.19900000000000001</v>
      </c>
      <c r="K49">
        <v>1.06</v>
      </c>
      <c r="L49">
        <v>0.27900000000000003</v>
      </c>
      <c r="M49" s="1">
        <v>0.73499999999999999</v>
      </c>
      <c r="N49">
        <v>80</v>
      </c>
      <c r="O49">
        <v>71</v>
      </c>
      <c r="P49">
        <v>59</v>
      </c>
      <c r="Q49">
        <v>3.67</v>
      </c>
      <c r="R49">
        <v>3.33</v>
      </c>
      <c r="S49">
        <v>0.34</v>
      </c>
      <c r="T49">
        <v>2.69</v>
      </c>
      <c r="U49">
        <v>2.79</v>
      </c>
      <c r="V49">
        <v>11384</v>
      </c>
    </row>
    <row r="50" spans="1:22" x14ac:dyDescent="0.3">
      <c r="A50" t="s">
        <v>219</v>
      </c>
      <c r="B50" t="s">
        <v>40</v>
      </c>
      <c r="C50">
        <v>12.78</v>
      </c>
      <c r="D50">
        <v>2.48</v>
      </c>
      <c r="E50">
        <v>5.16</v>
      </c>
      <c r="F50">
        <v>1.3</v>
      </c>
      <c r="G50" s="1">
        <v>0.33200000000000002</v>
      </c>
      <c r="H50" s="1">
        <v>6.4000000000000001E-2</v>
      </c>
      <c r="I50" s="1">
        <v>0.26800000000000002</v>
      </c>
      <c r="J50">
        <v>0.24399999999999999</v>
      </c>
      <c r="K50">
        <v>1.23</v>
      </c>
      <c r="L50">
        <v>0.34599999999999997</v>
      </c>
      <c r="M50" s="1">
        <v>0.72699999999999998</v>
      </c>
      <c r="N50">
        <v>91</v>
      </c>
      <c r="O50">
        <v>72</v>
      </c>
      <c r="P50">
        <v>78</v>
      </c>
      <c r="Q50">
        <v>4.17</v>
      </c>
      <c r="R50">
        <v>3.34</v>
      </c>
      <c r="S50">
        <v>0.83</v>
      </c>
      <c r="T50">
        <v>3.56</v>
      </c>
      <c r="U50">
        <v>3.04</v>
      </c>
      <c r="V50">
        <v>15552</v>
      </c>
    </row>
    <row r="51" spans="1:22" x14ac:dyDescent="0.3">
      <c r="A51" t="s">
        <v>135</v>
      </c>
      <c r="B51" t="s">
        <v>66</v>
      </c>
      <c r="C51">
        <v>10.08</v>
      </c>
      <c r="D51">
        <v>3</v>
      </c>
      <c r="E51">
        <v>3.36</v>
      </c>
      <c r="F51">
        <v>0.91</v>
      </c>
      <c r="G51" s="1">
        <v>0.27100000000000002</v>
      </c>
      <c r="H51" s="1">
        <v>8.1000000000000003E-2</v>
      </c>
      <c r="I51" s="1">
        <v>0.19</v>
      </c>
      <c r="J51">
        <v>0.23100000000000001</v>
      </c>
      <c r="K51">
        <v>1.21</v>
      </c>
      <c r="L51">
        <v>0.30199999999999999</v>
      </c>
      <c r="M51" s="1">
        <v>0.755</v>
      </c>
      <c r="N51">
        <v>75</v>
      </c>
      <c r="O51">
        <v>73</v>
      </c>
      <c r="P51">
        <v>95</v>
      </c>
      <c r="Q51">
        <v>3.51</v>
      </c>
      <c r="R51">
        <v>3.36</v>
      </c>
      <c r="S51">
        <v>0.15</v>
      </c>
      <c r="T51">
        <v>4.33</v>
      </c>
      <c r="U51">
        <v>4.1399999999999997</v>
      </c>
      <c r="V51">
        <v>6397</v>
      </c>
    </row>
    <row r="52" spans="1:22" x14ac:dyDescent="0.3">
      <c r="A52" t="s">
        <v>240</v>
      </c>
      <c r="B52" t="s">
        <v>38</v>
      </c>
      <c r="C52">
        <v>13.32</v>
      </c>
      <c r="D52">
        <v>2.2599999999999998</v>
      </c>
      <c r="E52">
        <v>5.89</v>
      </c>
      <c r="F52">
        <v>1.47</v>
      </c>
      <c r="G52" s="1">
        <v>0.35599999999999998</v>
      </c>
      <c r="H52" s="1">
        <v>0.06</v>
      </c>
      <c r="I52" s="1">
        <v>0.29599999999999999</v>
      </c>
      <c r="J52">
        <v>0.219</v>
      </c>
      <c r="K52">
        <v>1.0900000000000001</v>
      </c>
      <c r="L52">
        <v>0.309</v>
      </c>
      <c r="M52" s="1">
        <v>0.66700000000000004</v>
      </c>
      <c r="N52">
        <v>91</v>
      </c>
      <c r="O52">
        <v>75</v>
      </c>
      <c r="P52">
        <v>64</v>
      </c>
      <c r="Q52">
        <v>4.4000000000000004</v>
      </c>
      <c r="R52">
        <v>3.39</v>
      </c>
      <c r="S52">
        <v>1.01</v>
      </c>
      <c r="T52">
        <v>2.93</v>
      </c>
      <c r="U52">
        <v>3</v>
      </c>
      <c r="V52">
        <v>10603</v>
      </c>
    </row>
    <row r="53" spans="1:22" x14ac:dyDescent="0.3">
      <c r="A53" t="s">
        <v>55</v>
      </c>
      <c r="B53" t="s">
        <v>56</v>
      </c>
      <c r="C53">
        <v>7.18</v>
      </c>
      <c r="D53">
        <v>2.5</v>
      </c>
      <c r="E53">
        <v>2.88</v>
      </c>
      <c r="F53">
        <v>0.62</v>
      </c>
      <c r="G53" s="1">
        <v>0.20300000000000001</v>
      </c>
      <c r="H53" s="1">
        <v>7.0000000000000007E-2</v>
      </c>
      <c r="I53" s="1">
        <v>0.13200000000000001</v>
      </c>
      <c r="J53">
        <v>0.21</v>
      </c>
      <c r="K53">
        <v>1.04</v>
      </c>
      <c r="L53">
        <v>0.25</v>
      </c>
      <c r="M53" s="1">
        <v>0.77600000000000002</v>
      </c>
      <c r="N53">
        <v>49</v>
      </c>
      <c r="O53">
        <v>74</v>
      </c>
      <c r="P53">
        <v>101</v>
      </c>
      <c r="Q53">
        <v>2.34</v>
      </c>
      <c r="R53">
        <v>3.4</v>
      </c>
      <c r="S53">
        <v>-1.06</v>
      </c>
      <c r="T53">
        <v>4.6100000000000003</v>
      </c>
      <c r="U53">
        <v>4.74</v>
      </c>
      <c r="V53">
        <v>19479</v>
      </c>
    </row>
    <row r="54" spans="1:22" x14ac:dyDescent="0.3">
      <c r="A54" t="s">
        <v>42</v>
      </c>
      <c r="B54" t="s">
        <v>43</v>
      </c>
      <c r="C54">
        <v>7.98</v>
      </c>
      <c r="D54">
        <v>3.19</v>
      </c>
      <c r="E54">
        <v>2.5</v>
      </c>
      <c r="F54">
        <v>0.53</v>
      </c>
      <c r="G54" s="1">
        <v>0.22900000000000001</v>
      </c>
      <c r="H54" s="1">
        <v>9.1999999999999998E-2</v>
      </c>
      <c r="I54" s="1">
        <v>0.13700000000000001</v>
      </c>
      <c r="J54">
        <v>0.183</v>
      </c>
      <c r="K54">
        <v>0.99</v>
      </c>
      <c r="L54">
        <v>0.22800000000000001</v>
      </c>
      <c r="M54" s="1">
        <v>0.82299999999999995</v>
      </c>
      <c r="N54">
        <v>47</v>
      </c>
      <c r="O54">
        <v>74</v>
      </c>
      <c r="P54">
        <v>76</v>
      </c>
      <c r="Q54">
        <v>2.13</v>
      </c>
      <c r="R54">
        <v>3.41</v>
      </c>
      <c r="S54">
        <v>-1.28</v>
      </c>
      <c r="T54">
        <v>3.49</v>
      </c>
      <c r="U54">
        <v>3.43</v>
      </c>
      <c r="V54">
        <v>16258</v>
      </c>
    </row>
    <row r="55" spans="1:22" x14ac:dyDescent="0.3">
      <c r="A55" t="s">
        <v>136</v>
      </c>
      <c r="B55" t="s">
        <v>98</v>
      </c>
      <c r="C55">
        <v>10.93</v>
      </c>
      <c r="D55">
        <v>4.5199999999999996</v>
      </c>
      <c r="E55">
        <v>2.42</v>
      </c>
      <c r="F55">
        <v>0.63</v>
      </c>
      <c r="G55" s="1">
        <v>0.27400000000000002</v>
      </c>
      <c r="H55" s="1">
        <v>0.114</v>
      </c>
      <c r="I55" s="1">
        <v>0.161</v>
      </c>
      <c r="J55">
        <v>0.24299999999999999</v>
      </c>
      <c r="K55">
        <v>1.44</v>
      </c>
      <c r="L55">
        <v>0.33700000000000002</v>
      </c>
      <c r="M55" s="1">
        <v>0.77200000000000002</v>
      </c>
      <c r="N55">
        <v>80</v>
      </c>
      <c r="O55">
        <v>77</v>
      </c>
      <c r="P55">
        <v>91</v>
      </c>
      <c r="Q55">
        <v>3.52</v>
      </c>
      <c r="R55">
        <v>3.41</v>
      </c>
      <c r="S55">
        <v>0.11</v>
      </c>
      <c r="T55">
        <v>4.0599999999999996</v>
      </c>
      <c r="U55">
        <v>4.03</v>
      </c>
      <c r="V55">
        <v>12918</v>
      </c>
    </row>
    <row r="56" spans="1:22" x14ac:dyDescent="0.3">
      <c r="A56" t="s">
        <v>225</v>
      </c>
      <c r="B56" t="s">
        <v>127</v>
      </c>
      <c r="C56">
        <v>11.77</v>
      </c>
      <c r="D56">
        <v>4.7300000000000004</v>
      </c>
      <c r="E56">
        <v>2.4900000000000002</v>
      </c>
      <c r="F56">
        <v>0.77</v>
      </c>
      <c r="G56" s="1">
        <v>0.29699999999999999</v>
      </c>
      <c r="H56" s="1">
        <v>0.11899999999999999</v>
      </c>
      <c r="I56" s="1">
        <v>0.17699999999999999</v>
      </c>
      <c r="J56">
        <v>0.23699999999999999</v>
      </c>
      <c r="K56">
        <v>1.44</v>
      </c>
      <c r="L56">
        <v>0.33700000000000002</v>
      </c>
      <c r="M56" s="1">
        <v>0.74299999999999999</v>
      </c>
      <c r="N56">
        <v>90</v>
      </c>
      <c r="O56">
        <v>76</v>
      </c>
      <c r="P56">
        <v>90</v>
      </c>
      <c r="Q56">
        <v>4.22</v>
      </c>
      <c r="R56">
        <v>3.41</v>
      </c>
      <c r="S56">
        <v>0.81</v>
      </c>
      <c r="T56">
        <v>4.1100000000000003</v>
      </c>
      <c r="U56">
        <v>3.93</v>
      </c>
      <c r="V56">
        <v>14993</v>
      </c>
    </row>
    <row r="57" spans="1:22" x14ac:dyDescent="0.3">
      <c r="A57" t="s">
        <v>88</v>
      </c>
      <c r="B57" t="s">
        <v>89</v>
      </c>
      <c r="C57">
        <v>10.52</v>
      </c>
      <c r="D57">
        <v>3.49</v>
      </c>
      <c r="E57">
        <v>3.01</v>
      </c>
      <c r="F57">
        <v>0.87</v>
      </c>
      <c r="G57" s="1">
        <v>0.28999999999999998</v>
      </c>
      <c r="H57" s="1">
        <v>9.6000000000000002E-2</v>
      </c>
      <c r="I57" s="1">
        <v>0.19400000000000001</v>
      </c>
      <c r="J57">
        <v>0.193</v>
      </c>
      <c r="K57">
        <v>1.08</v>
      </c>
      <c r="L57">
        <v>0.255</v>
      </c>
      <c r="M57" s="1">
        <v>0.79700000000000004</v>
      </c>
      <c r="N57">
        <v>64</v>
      </c>
      <c r="O57">
        <v>75</v>
      </c>
      <c r="P57">
        <v>82</v>
      </c>
      <c r="Q57">
        <v>2.87</v>
      </c>
      <c r="R57">
        <v>3.42</v>
      </c>
      <c r="S57">
        <v>-0.54</v>
      </c>
      <c r="T57">
        <v>3.65</v>
      </c>
      <c r="U57">
        <v>3.97</v>
      </c>
      <c r="V57">
        <v>12768</v>
      </c>
    </row>
    <row r="58" spans="1:22" x14ac:dyDescent="0.3">
      <c r="A58" t="s">
        <v>63</v>
      </c>
      <c r="B58" t="s">
        <v>53</v>
      </c>
      <c r="C58">
        <v>9.6</v>
      </c>
      <c r="D58">
        <v>3.05</v>
      </c>
      <c r="E58">
        <v>3.15</v>
      </c>
      <c r="F58">
        <v>0.79</v>
      </c>
      <c r="G58" s="1">
        <v>0.26100000000000001</v>
      </c>
      <c r="H58" s="1">
        <v>8.3000000000000004E-2</v>
      </c>
      <c r="I58" s="1">
        <v>0.17799999999999999</v>
      </c>
      <c r="J58">
        <v>0.20100000000000001</v>
      </c>
      <c r="K58">
        <v>1.08</v>
      </c>
      <c r="L58">
        <v>0.25700000000000001</v>
      </c>
      <c r="M58" s="1">
        <v>0.77600000000000002</v>
      </c>
      <c r="N58">
        <v>59</v>
      </c>
      <c r="O58">
        <v>78</v>
      </c>
      <c r="P58">
        <v>97</v>
      </c>
      <c r="Q58">
        <v>2.4900000000000002</v>
      </c>
      <c r="R58">
        <v>3.43</v>
      </c>
      <c r="S58">
        <v>-0.94</v>
      </c>
      <c r="T58">
        <v>4.28</v>
      </c>
      <c r="U58">
        <v>4</v>
      </c>
      <c r="V58">
        <v>14765</v>
      </c>
    </row>
    <row r="59" spans="1:22" x14ac:dyDescent="0.3">
      <c r="A59" t="s">
        <v>129</v>
      </c>
      <c r="B59" t="s">
        <v>43</v>
      </c>
      <c r="C59">
        <v>11.62</v>
      </c>
      <c r="D59">
        <v>2.9</v>
      </c>
      <c r="E59">
        <v>4</v>
      </c>
      <c r="F59">
        <v>1.22</v>
      </c>
      <c r="G59" s="1">
        <v>0.32300000000000001</v>
      </c>
      <c r="H59" s="1">
        <v>8.1000000000000003E-2</v>
      </c>
      <c r="I59" s="1">
        <v>0.24299999999999999</v>
      </c>
      <c r="J59">
        <v>0.20300000000000001</v>
      </c>
      <c r="K59">
        <v>1.06</v>
      </c>
      <c r="L59">
        <v>0.27300000000000002</v>
      </c>
      <c r="M59" s="1">
        <v>0.77700000000000002</v>
      </c>
      <c r="N59">
        <v>76</v>
      </c>
      <c r="O59">
        <v>74</v>
      </c>
      <c r="P59">
        <v>80</v>
      </c>
      <c r="Q59">
        <v>3.41</v>
      </c>
      <c r="R59">
        <v>3.43</v>
      </c>
      <c r="S59">
        <v>-0.02</v>
      </c>
      <c r="T59">
        <v>3.66</v>
      </c>
      <c r="U59">
        <v>3.57</v>
      </c>
      <c r="V59">
        <v>15474</v>
      </c>
    </row>
    <row r="60" spans="1:22" x14ac:dyDescent="0.3">
      <c r="A60" t="s">
        <v>39</v>
      </c>
      <c r="B60" t="s">
        <v>40</v>
      </c>
      <c r="C60">
        <v>11.94</v>
      </c>
      <c r="D60">
        <v>5.43</v>
      </c>
      <c r="E60">
        <v>2.2000000000000002</v>
      </c>
      <c r="F60">
        <v>0.68</v>
      </c>
      <c r="G60" s="1">
        <v>0.311</v>
      </c>
      <c r="H60" s="1">
        <v>0.14099999999999999</v>
      </c>
      <c r="I60" s="1">
        <v>0.17</v>
      </c>
      <c r="J60">
        <v>0.19500000000000001</v>
      </c>
      <c r="K60">
        <v>1.31</v>
      </c>
      <c r="L60">
        <v>0.28399999999999997</v>
      </c>
      <c r="M60" s="1">
        <v>0.878</v>
      </c>
      <c r="N60">
        <v>41</v>
      </c>
      <c r="O60">
        <v>74</v>
      </c>
      <c r="P60">
        <v>94</v>
      </c>
      <c r="Q60">
        <v>1.9</v>
      </c>
      <c r="R60">
        <v>3.44</v>
      </c>
      <c r="S60">
        <v>-1.54</v>
      </c>
      <c r="T60">
        <v>4.32</v>
      </c>
      <c r="U60">
        <v>4.09</v>
      </c>
      <c r="V60">
        <v>1247</v>
      </c>
    </row>
    <row r="61" spans="1:22" x14ac:dyDescent="0.3">
      <c r="A61" t="s">
        <v>74</v>
      </c>
      <c r="B61" t="s">
        <v>75</v>
      </c>
      <c r="C61">
        <v>7.32</v>
      </c>
      <c r="D61">
        <v>2.11</v>
      </c>
      <c r="E61">
        <v>3.46</v>
      </c>
      <c r="F61">
        <v>0.72</v>
      </c>
      <c r="G61" s="1">
        <v>0.20300000000000001</v>
      </c>
      <c r="H61" s="1">
        <v>5.8000000000000003E-2</v>
      </c>
      <c r="I61" s="1">
        <v>0.14399999999999999</v>
      </c>
      <c r="J61">
        <v>0.23400000000000001</v>
      </c>
      <c r="K61">
        <v>1.1100000000000001</v>
      </c>
      <c r="L61">
        <v>0.28000000000000003</v>
      </c>
      <c r="M61" s="1">
        <v>0.79900000000000004</v>
      </c>
      <c r="N61">
        <v>60</v>
      </c>
      <c r="O61">
        <v>79</v>
      </c>
      <c r="P61">
        <v>87</v>
      </c>
      <c r="Q61">
        <v>2.68</v>
      </c>
      <c r="R61">
        <v>3.45</v>
      </c>
      <c r="S61">
        <v>-0.78</v>
      </c>
      <c r="T61">
        <v>3.85</v>
      </c>
      <c r="U61">
        <v>4.28</v>
      </c>
      <c r="V61">
        <v>18383</v>
      </c>
    </row>
    <row r="62" spans="1:22" x14ac:dyDescent="0.3">
      <c r="A62" t="s">
        <v>81</v>
      </c>
      <c r="B62" t="s">
        <v>50</v>
      </c>
      <c r="C62">
        <v>10.59</v>
      </c>
      <c r="D62">
        <v>2.52</v>
      </c>
      <c r="E62">
        <v>4.2</v>
      </c>
      <c r="F62">
        <v>1.1499999999999999</v>
      </c>
      <c r="G62" s="1">
        <v>0.29899999999999999</v>
      </c>
      <c r="H62" s="1">
        <v>7.0999999999999994E-2</v>
      </c>
      <c r="I62" s="1">
        <v>0.22800000000000001</v>
      </c>
      <c r="J62">
        <v>0.19</v>
      </c>
      <c r="K62">
        <v>0.97</v>
      </c>
      <c r="L62">
        <v>0.24199999999999999</v>
      </c>
      <c r="M62" s="1">
        <v>0.83299999999999996</v>
      </c>
      <c r="N62">
        <v>65</v>
      </c>
      <c r="O62">
        <v>80</v>
      </c>
      <c r="P62">
        <v>82</v>
      </c>
      <c r="Q62">
        <v>2.75</v>
      </c>
      <c r="R62">
        <v>3.46</v>
      </c>
      <c r="S62">
        <v>-0.71</v>
      </c>
      <c r="T62">
        <v>3.64</v>
      </c>
      <c r="U62">
        <v>3.68</v>
      </c>
      <c r="V62">
        <v>17479</v>
      </c>
    </row>
    <row r="63" spans="1:22" x14ac:dyDescent="0.3">
      <c r="A63" t="s">
        <v>133</v>
      </c>
      <c r="B63" t="s">
        <v>53</v>
      </c>
      <c r="C63">
        <v>9.23</v>
      </c>
      <c r="D63">
        <v>1.99</v>
      </c>
      <c r="E63">
        <v>4.6500000000000004</v>
      </c>
      <c r="F63">
        <v>1.0900000000000001</v>
      </c>
      <c r="G63" s="1">
        <v>0.251</v>
      </c>
      <c r="H63" s="1">
        <v>5.3999999999999999E-2</v>
      </c>
      <c r="I63" s="1">
        <v>0.19700000000000001</v>
      </c>
      <c r="J63">
        <v>0.24099999999999999</v>
      </c>
      <c r="K63">
        <v>1.1499999999999999</v>
      </c>
      <c r="L63">
        <v>0.29899999999999999</v>
      </c>
      <c r="M63" s="1">
        <v>0.72799999999999998</v>
      </c>
      <c r="N63">
        <v>83</v>
      </c>
      <c r="O63">
        <v>79</v>
      </c>
      <c r="P63">
        <v>81</v>
      </c>
      <c r="Q63">
        <v>3.47</v>
      </c>
      <c r="R63">
        <v>3.47</v>
      </c>
      <c r="S63">
        <v>0.01</v>
      </c>
      <c r="T63">
        <v>3.58</v>
      </c>
      <c r="U63">
        <v>3.75</v>
      </c>
      <c r="V63">
        <v>13273</v>
      </c>
    </row>
    <row r="64" spans="1:22" x14ac:dyDescent="0.3">
      <c r="A64" t="s">
        <v>118</v>
      </c>
      <c r="B64" t="s">
        <v>48</v>
      </c>
      <c r="C64">
        <v>7.94</v>
      </c>
      <c r="D64">
        <v>1.88</v>
      </c>
      <c r="E64">
        <v>4.2300000000000004</v>
      </c>
      <c r="F64">
        <v>0.87</v>
      </c>
      <c r="G64" s="1">
        <v>0.221</v>
      </c>
      <c r="H64" s="1">
        <v>5.1999999999999998E-2</v>
      </c>
      <c r="I64" s="1">
        <v>0.16900000000000001</v>
      </c>
      <c r="J64">
        <v>0.22700000000000001</v>
      </c>
      <c r="K64">
        <v>1.06</v>
      </c>
      <c r="L64">
        <v>0.27300000000000002</v>
      </c>
      <c r="M64" s="1">
        <v>0.71</v>
      </c>
      <c r="N64">
        <v>76</v>
      </c>
      <c r="O64">
        <v>80</v>
      </c>
      <c r="P64">
        <v>84</v>
      </c>
      <c r="Q64">
        <v>3.32</v>
      </c>
      <c r="R64">
        <v>3.47</v>
      </c>
      <c r="S64">
        <v>-0.15</v>
      </c>
      <c r="T64">
        <v>3.75</v>
      </c>
      <c r="U64">
        <v>3.67</v>
      </c>
      <c r="V64">
        <v>11710</v>
      </c>
    </row>
    <row r="65" spans="1:22" x14ac:dyDescent="0.3">
      <c r="A65" t="s">
        <v>187</v>
      </c>
      <c r="B65" t="s">
        <v>58</v>
      </c>
      <c r="C65">
        <v>8.98</v>
      </c>
      <c r="D65">
        <v>2.2999999999999998</v>
      </c>
      <c r="E65">
        <v>3.9</v>
      </c>
      <c r="F65">
        <v>1.01</v>
      </c>
      <c r="G65" s="1">
        <v>0.23599999999999999</v>
      </c>
      <c r="H65" s="1">
        <v>0.06</v>
      </c>
      <c r="I65" s="1">
        <v>0.17499999999999999</v>
      </c>
      <c r="J65">
        <v>0.253</v>
      </c>
      <c r="K65">
        <v>1.26</v>
      </c>
      <c r="L65">
        <v>0.311</v>
      </c>
      <c r="M65" s="1">
        <v>0.71399999999999997</v>
      </c>
      <c r="N65">
        <v>96</v>
      </c>
      <c r="O65">
        <v>80</v>
      </c>
      <c r="P65">
        <v>92</v>
      </c>
      <c r="Q65">
        <v>3.96</v>
      </c>
      <c r="R65">
        <v>3.48</v>
      </c>
      <c r="S65">
        <v>0.48</v>
      </c>
      <c r="T65">
        <v>4.0599999999999996</v>
      </c>
      <c r="U65">
        <v>4.2</v>
      </c>
      <c r="V65">
        <v>10310</v>
      </c>
    </row>
    <row r="66" spans="1:22" x14ac:dyDescent="0.3">
      <c r="A66" t="s">
        <v>155</v>
      </c>
      <c r="B66" t="s">
        <v>53</v>
      </c>
      <c r="C66">
        <v>11.43</v>
      </c>
      <c r="D66">
        <v>2.29</v>
      </c>
      <c r="E66">
        <v>5</v>
      </c>
      <c r="F66">
        <v>1.29</v>
      </c>
      <c r="G66" s="1">
        <v>0.30399999999999999</v>
      </c>
      <c r="H66" s="1">
        <v>6.0999999999999999E-2</v>
      </c>
      <c r="I66" s="1">
        <v>0.24299999999999999</v>
      </c>
      <c r="J66">
        <v>0.21</v>
      </c>
      <c r="K66">
        <v>1.06</v>
      </c>
      <c r="L66">
        <v>0.27300000000000002</v>
      </c>
      <c r="M66" s="1">
        <v>0.73599999999999999</v>
      </c>
      <c r="N66">
        <v>89</v>
      </c>
      <c r="O66">
        <v>80</v>
      </c>
      <c r="P66">
        <v>85</v>
      </c>
      <c r="Q66">
        <v>3.71</v>
      </c>
      <c r="R66">
        <v>3.48</v>
      </c>
      <c r="S66">
        <v>0.23</v>
      </c>
      <c r="T66">
        <v>3.77</v>
      </c>
      <c r="U66">
        <v>3.21</v>
      </c>
      <c r="V66">
        <v>3096</v>
      </c>
    </row>
    <row r="67" spans="1:22" x14ac:dyDescent="0.3">
      <c r="A67" t="s">
        <v>111</v>
      </c>
      <c r="B67" t="s">
        <v>93</v>
      </c>
      <c r="C67">
        <v>10.6</v>
      </c>
      <c r="D67">
        <v>3.12</v>
      </c>
      <c r="E67">
        <v>3.4</v>
      </c>
      <c r="F67">
        <v>1.07</v>
      </c>
      <c r="G67" s="1">
        <v>0.28499999999999998</v>
      </c>
      <c r="H67" s="1">
        <v>8.4000000000000005E-2</v>
      </c>
      <c r="I67" s="1">
        <v>0.20100000000000001</v>
      </c>
      <c r="J67">
        <v>0.222</v>
      </c>
      <c r="K67">
        <v>1.18</v>
      </c>
      <c r="L67">
        <v>0.28999999999999998</v>
      </c>
      <c r="M67" s="1">
        <v>0.77300000000000002</v>
      </c>
      <c r="N67">
        <v>72</v>
      </c>
      <c r="O67">
        <v>77</v>
      </c>
      <c r="P67">
        <v>81</v>
      </c>
      <c r="Q67">
        <v>3.25</v>
      </c>
      <c r="R67">
        <v>3.49</v>
      </c>
      <c r="S67">
        <v>-0.23</v>
      </c>
      <c r="T67">
        <v>3.59</v>
      </c>
      <c r="U67">
        <v>3.88</v>
      </c>
      <c r="V67">
        <v>9323</v>
      </c>
    </row>
    <row r="68" spans="1:22" x14ac:dyDescent="0.3">
      <c r="A68" t="s">
        <v>191</v>
      </c>
      <c r="B68" t="s">
        <v>62</v>
      </c>
      <c r="C68">
        <v>10.45</v>
      </c>
      <c r="D68">
        <v>2.86</v>
      </c>
      <c r="E68">
        <v>3.65</v>
      </c>
      <c r="F68">
        <v>1</v>
      </c>
      <c r="G68" s="1">
        <v>0.27200000000000002</v>
      </c>
      <c r="H68" s="1">
        <v>7.3999999999999996E-2</v>
      </c>
      <c r="I68" s="1">
        <v>0.19700000000000001</v>
      </c>
      <c r="J68">
        <v>0.246</v>
      </c>
      <c r="K68">
        <v>1.27</v>
      </c>
      <c r="L68">
        <v>0.32300000000000001</v>
      </c>
      <c r="M68" s="1">
        <v>0.73399999999999999</v>
      </c>
      <c r="N68">
        <v>88</v>
      </c>
      <c r="O68">
        <v>77</v>
      </c>
      <c r="P68">
        <v>85</v>
      </c>
      <c r="Q68">
        <v>3.98</v>
      </c>
      <c r="R68">
        <v>3.49</v>
      </c>
      <c r="S68">
        <v>0.49</v>
      </c>
      <c r="T68">
        <v>3.9</v>
      </c>
      <c r="U68">
        <v>3.58</v>
      </c>
      <c r="V68">
        <v>14719</v>
      </c>
    </row>
    <row r="69" spans="1:22" x14ac:dyDescent="0.3">
      <c r="A69" t="s">
        <v>105</v>
      </c>
      <c r="B69" t="s">
        <v>53</v>
      </c>
      <c r="C69">
        <v>8.91</v>
      </c>
      <c r="D69">
        <v>2.97</v>
      </c>
      <c r="E69">
        <v>3</v>
      </c>
      <c r="F69">
        <v>0.78</v>
      </c>
      <c r="G69" s="1">
        <v>0.25</v>
      </c>
      <c r="H69" s="1">
        <v>8.3000000000000004E-2</v>
      </c>
      <c r="I69" s="1">
        <v>0.16700000000000001</v>
      </c>
      <c r="J69">
        <v>0.17299999999999999</v>
      </c>
      <c r="K69">
        <v>0.95</v>
      </c>
      <c r="L69">
        <v>0.21299999999999999</v>
      </c>
      <c r="M69" s="1">
        <v>0.64900000000000002</v>
      </c>
      <c r="N69">
        <v>74</v>
      </c>
      <c r="O69">
        <v>81</v>
      </c>
      <c r="P69">
        <v>109</v>
      </c>
      <c r="Q69">
        <v>3.1</v>
      </c>
      <c r="R69">
        <v>3.52</v>
      </c>
      <c r="S69">
        <v>-0.41</v>
      </c>
      <c r="T69">
        <v>4.82</v>
      </c>
      <c r="U69">
        <v>4.08</v>
      </c>
      <c r="V69">
        <v>5420</v>
      </c>
    </row>
    <row r="70" spans="1:22" x14ac:dyDescent="0.3">
      <c r="A70" t="s">
        <v>45</v>
      </c>
      <c r="B70" t="s">
        <v>46</v>
      </c>
      <c r="C70">
        <v>9.32</v>
      </c>
      <c r="D70">
        <v>3.7</v>
      </c>
      <c r="E70">
        <v>2.52</v>
      </c>
      <c r="F70">
        <v>0.8</v>
      </c>
      <c r="G70" s="1">
        <v>0.26</v>
      </c>
      <c r="H70" s="1">
        <v>0.10299999999999999</v>
      </c>
      <c r="I70" s="1">
        <v>0.157</v>
      </c>
      <c r="J70">
        <v>0.19500000000000001</v>
      </c>
      <c r="K70">
        <v>1.1100000000000001</v>
      </c>
      <c r="L70">
        <v>0.248</v>
      </c>
      <c r="M70" s="1">
        <v>0.8</v>
      </c>
      <c r="N70">
        <v>45</v>
      </c>
      <c r="O70">
        <v>75</v>
      </c>
      <c r="P70">
        <v>88</v>
      </c>
      <c r="Q70">
        <v>2.25</v>
      </c>
      <c r="R70">
        <v>3.54</v>
      </c>
      <c r="S70">
        <v>-1.29</v>
      </c>
      <c r="T70">
        <v>3.9</v>
      </c>
      <c r="U70">
        <v>4</v>
      </c>
      <c r="V70">
        <v>13911</v>
      </c>
    </row>
    <row r="71" spans="1:22" x14ac:dyDescent="0.3">
      <c r="A71" t="s">
        <v>273</v>
      </c>
      <c r="B71" t="s">
        <v>48</v>
      </c>
      <c r="C71">
        <v>12.19</v>
      </c>
      <c r="D71">
        <v>5.66</v>
      </c>
      <c r="E71">
        <v>2.15</v>
      </c>
      <c r="F71">
        <v>0.44</v>
      </c>
      <c r="G71" s="1">
        <v>0.29799999999999999</v>
      </c>
      <c r="H71" s="1">
        <v>0.13800000000000001</v>
      </c>
      <c r="I71" s="1">
        <v>0.16</v>
      </c>
      <c r="J71">
        <v>0.21099999999999999</v>
      </c>
      <c r="K71">
        <v>1.42</v>
      </c>
      <c r="L71">
        <v>0.317</v>
      </c>
      <c r="M71" s="1">
        <v>0.68600000000000005</v>
      </c>
      <c r="N71">
        <v>100</v>
      </c>
      <c r="O71">
        <v>80</v>
      </c>
      <c r="P71">
        <v>91</v>
      </c>
      <c r="Q71">
        <v>4.6500000000000004</v>
      </c>
      <c r="R71">
        <v>3.55</v>
      </c>
      <c r="S71">
        <v>1.0900000000000001</v>
      </c>
      <c r="T71">
        <v>4.1399999999999997</v>
      </c>
      <c r="U71">
        <v>4.1100000000000003</v>
      </c>
      <c r="V71">
        <v>5003</v>
      </c>
    </row>
    <row r="72" spans="1:22" x14ac:dyDescent="0.3">
      <c r="A72" t="s">
        <v>213</v>
      </c>
      <c r="B72" t="s">
        <v>32</v>
      </c>
      <c r="C72">
        <v>7.43</v>
      </c>
      <c r="D72">
        <v>1.27</v>
      </c>
      <c r="E72">
        <v>5.85</v>
      </c>
      <c r="F72">
        <v>0.95</v>
      </c>
      <c r="G72" s="1">
        <v>0.20799999999999999</v>
      </c>
      <c r="H72" s="1">
        <v>3.5999999999999997E-2</v>
      </c>
      <c r="I72" s="1">
        <v>0.17199999999999999</v>
      </c>
      <c r="J72">
        <v>0.22700000000000001</v>
      </c>
      <c r="K72">
        <v>1</v>
      </c>
      <c r="L72">
        <v>0.26400000000000001</v>
      </c>
      <c r="M72" s="1">
        <v>0.628</v>
      </c>
      <c r="N72">
        <v>93</v>
      </c>
      <c r="O72">
        <v>81</v>
      </c>
      <c r="P72">
        <v>93</v>
      </c>
      <c r="Q72">
        <v>4.13</v>
      </c>
      <c r="R72">
        <v>3.55</v>
      </c>
      <c r="S72">
        <v>0.57999999999999996</v>
      </c>
      <c r="T72">
        <v>4.24</v>
      </c>
      <c r="U72">
        <v>4.1100000000000003</v>
      </c>
      <c r="V72">
        <v>16502</v>
      </c>
    </row>
    <row r="73" spans="1:22" x14ac:dyDescent="0.3">
      <c r="A73" t="s">
        <v>76</v>
      </c>
      <c r="B73" t="s">
        <v>77</v>
      </c>
      <c r="C73">
        <v>7.58</v>
      </c>
      <c r="D73">
        <v>2.0499999999999998</v>
      </c>
      <c r="E73">
        <v>3.69</v>
      </c>
      <c r="F73">
        <v>0.79</v>
      </c>
      <c r="G73" s="1">
        <v>0.21099999999999999</v>
      </c>
      <c r="H73" s="1">
        <v>5.7000000000000002E-2</v>
      </c>
      <c r="I73" s="1">
        <v>0.154</v>
      </c>
      <c r="J73">
        <v>0.214</v>
      </c>
      <c r="K73">
        <v>1.02</v>
      </c>
      <c r="L73">
        <v>0.255</v>
      </c>
      <c r="M73" s="1">
        <v>0.8</v>
      </c>
      <c r="N73">
        <v>61</v>
      </c>
      <c r="O73">
        <v>80</v>
      </c>
      <c r="P73">
        <v>92</v>
      </c>
      <c r="Q73">
        <v>2.68</v>
      </c>
      <c r="R73">
        <v>3.56</v>
      </c>
      <c r="S73">
        <v>-0.88</v>
      </c>
      <c r="T73">
        <v>4.0599999999999996</v>
      </c>
      <c r="U73">
        <v>3.81</v>
      </c>
      <c r="V73">
        <v>9939</v>
      </c>
    </row>
    <row r="74" spans="1:22" x14ac:dyDescent="0.3">
      <c r="A74" t="s">
        <v>87</v>
      </c>
      <c r="B74" t="s">
        <v>83</v>
      </c>
      <c r="C74">
        <v>11.12</v>
      </c>
      <c r="D74">
        <v>5.24</v>
      </c>
      <c r="E74">
        <v>2.12</v>
      </c>
      <c r="F74">
        <v>0.64</v>
      </c>
      <c r="G74" s="1">
        <v>0.28499999999999998</v>
      </c>
      <c r="H74" s="1">
        <v>0.13400000000000001</v>
      </c>
      <c r="I74" s="1">
        <v>0.15</v>
      </c>
      <c r="J74">
        <v>0.19500000000000001</v>
      </c>
      <c r="K74">
        <v>1.31</v>
      </c>
      <c r="L74">
        <v>0.27200000000000002</v>
      </c>
      <c r="M74" s="1">
        <v>0.81200000000000006</v>
      </c>
      <c r="N74">
        <v>68</v>
      </c>
      <c r="O74">
        <v>85</v>
      </c>
      <c r="P74">
        <v>109</v>
      </c>
      <c r="Q74">
        <v>2.86</v>
      </c>
      <c r="R74">
        <v>3.57</v>
      </c>
      <c r="S74">
        <v>-0.71</v>
      </c>
      <c r="T74">
        <v>4.83</v>
      </c>
      <c r="U74">
        <v>4.29</v>
      </c>
      <c r="V74">
        <v>14966</v>
      </c>
    </row>
    <row r="75" spans="1:22" x14ac:dyDescent="0.3">
      <c r="A75" t="s">
        <v>79</v>
      </c>
      <c r="B75" t="s">
        <v>34</v>
      </c>
      <c r="C75">
        <v>7.7</v>
      </c>
      <c r="D75">
        <v>1.08</v>
      </c>
      <c r="E75">
        <v>7.1</v>
      </c>
      <c r="F75">
        <v>1.19</v>
      </c>
      <c r="G75" s="1">
        <v>0.23100000000000001</v>
      </c>
      <c r="H75" s="1">
        <v>3.2000000000000001E-2</v>
      </c>
      <c r="I75" s="1">
        <v>0.19800000000000001</v>
      </c>
      <c r="J75">
        <v>0.191</v>
      </c>
      <c r="K75">
        <v>0.81</v>
      </c>
      <c r="L75">
        <v>0.21299999999999999</v>
      </c>
      <c r="M75" s="1">
        <v>0.81399999999999995</v>
      </c>
      <c r="N75">
        <v>61</v>
      </c>
      <c r="O75">
        <v>81</v>
      </c>
      <c r="P75">
        <v>98</v>
      </c>
      <c r="Q75">
        <v>2.71</v>
      </c>
      <c r="R75">
        <v>3.59</v>
      </c>
      <c r="S75">
        <v>-0.88</v>
      </c>
      <c r="T75">
        <v>4.4800000000000004</v>
      </c>
      <c r="U75">
        <v>3.9</v>
      </c>
      <c r="V75">
        <v>4020</v>
      </c>
    </row>
    <row r="76" spans="1:22" x14ac:dyDescent="0.3">
      <c r="A76" t="s">
        <v>233</v>
      </c>
      <c r="B76" t="s">
        <v>143</v>
      </c>
      <c r="C76">
        <v>13.11</v>
      </c>
      <c r="D76">
        <v>5.1100000000000003</v>
      </c>
      <c r="E76">
        <v>2.56</v>
      </c>
      <c r="F76">
        <v>0.92</v>
      </c>
      <c r="G76" s="1">
        <v>0.33400000000000002</v>
      </c>
      <c r="H76" s="1">
        <v>0.13</v>
      </c>
      <c r="I76" s="1">
        <v>0.20399999999999999</v>
      </c>
      <c r="J76">
        <v>0.20499999999999999</v>
      </c>
      <c r="K76">
        <v>1.33</v>
      </c>
      <c r="L76">
        <v>0.30599999999999999</v>
      </c>
      <c r="M76" s="1">
        <v>0.72199999999999998</v>
      </c>
      <c r="N76">
        <v>86</v>
      </c>
      <c r="O76">
        <v>76</v>
      </c>
      <c r="P76">
        <v>92</v>
      </c>
      <c r="Q76">
        <v>4.33</v>
      </c>
      <c r="R76">
        <v>3.59</v>
      </c>
      <c r="S76">
        <v>0.73</v>
      </c>
      <c r="T76">
        <v>4.21</v>
      </c>
      <c r="U76">
        <v>3.73</v>
      </c>
      <c r="V76">
        <v>14524</v>
      </c>
    </row>
    <row r="77" spans="1:22" x14ac:dyDescent="0.3">
      <c r="A77" t="s">
        <v>227</v>
      </c>
      <c r="B77" t="s">
        <v>58</v>
      </c>
      <c r="C77">
        <v>9.1999999999999993</v>
      </c>
      <c r="D77">
        <v>2.2799999999999998</v>
      </c>
      <c r="E77">
        <v>4.04</v>
      </c>
      <c r="F77">
        <v>1.0900000000000001</v>
      </c>
      <c r="G77" s="1">
        <v>0.245</v>
      </c>
      <c r="H77" s="1">
        <v>6.0999999999999999E-2</v>
      </c>
      <c r="I77" s="1">
        <v>0.184</v>
      </c>
      <c r="J77">
        <v>0.252</v>
      </c>
      <c r="K77">
        <v>1.23</v>
      </c>
      <c r="L77">
        <v>0.313</v>
      </c>
      <c r="M77" s="1">
        <v>0.68899999999999995</v>
      </c>
      <c r="N77">
        <v>103</v>
      </c>
      <c r="O77">
        <v>83</v>
      </c>
      <c r="P77">
        <v>86</v>
      </c>
      <c r="Q77">
        <v>4.28</v>
      </c>
      <c r="R77">
        <v>3.6</v>
      </c>
      <c r="S77">
        <v>0.68</v>
      </c>
      <c r="T77">
        <v>3.83</v>
      </c>
      <c r="U77">
        <v>4.0199999999999996</v>
      </c>
      <c r="V77">
        <v>11762</v>
      </c>
    </row>
    <row r="78" spans="1:22" x14ac:dyDescent="0.3">
      <c r="A78" t="s">
        <v>196</v>
      </c>
      <c r="B78" t="s">
        <v>26</v>
      </c>
      <c r="C78">
        <v>6.88</v>
      </c>
      <c r="D78">
        <v>2.25</v>
      </c>
      <c r="E78">
        <v>3.06</v>
      </c>
      <c r="F78">
        <v>0.75</v>
      </c>
      <c r="G78" s="1">
        <v>0.186</v>
      </c>
      <c r="H78" s="1">
        <v>6.0999999999999999E-2</v>
      </c>
      <c r="I78" s="1">
        <v>0.125</v>
      </c>
      <c r="J78">
        <v>0.25</v>
      </c>
      <c r="K78">
        <v>1.21</v>
      </c>
      <c r="L78">
        <v>0.29299999999999998</v>
      </c>
      <c r="M78" s="1">
        <v>0.68200000000000005</v>
      </c>
      <c r="N78">
        <v>94</v>
      </c>
      <c r="O78">
        <v>82</v>
      </c>
      <c r="P78">
        <v>94</v>
      </c>
      <c r="Q78">
        <v>4</v>
      </c>
      <c r="R78">
        <v>3.6</v>
      </c>
      <c r="S78">
        <v>0.4</v>
      </c>
      <c r="T78">
        <v>4.18</v>
      </c>
      <c r="U78">
        <v>4.1500000000000004</v>
      </c>
      <c r="V78">
        <v>14682</v>
      </c>
    </row>
    <row r="79" spans="1:22" x14ac:dyDescent="0.3">
      <c r="A79" t="s">
        <v>351</v>
      </c>
      <c r="B79" t="s">
        <v>26</v>
      </c>
      <c r="C79">
        <v>12.71</v>
      </c>
      <c r="D79">
        <v>4.9400000000000004</v>
      </c>
      <c r="E79">
        <v>2.57</v>
      </c>
      <c r="F79">
        <v>0.88</v>
      </c>
      <c r="G79" s="1">
        <v>0.33</v>
      </c>
      <c r="H79" s="1">
        <v>0.128</v>
      </c>
      <c r="I79" s="1">
        <v>0.20200000000000001</v>
      </c>
      <c r="J79">
        <v>0.184</v>
      </c>
      <c r="K79">
        <v>1.22</v>
      </c>
      <c r="L79">
        <v>0.26900000000000002</v>
      </c>
      <c r="M79" s="1">
        <v>0.58299999999999996</v>
      </c>
      <c r="N79">
        <v>132</v>
      </c>
      <c r="O79">
        <v>82</v>
      </c>
      <c r="P79">
        <v>92</v>
      </c>
      <c r="Q79">
        <v>5.65</v>
      </c>
      <c r="R79">
        <v>3.61</v>
      </c>
      <c r="S79">
        <v>2.04</v>
      </c>
      <c r="T79">
        <v>4.09</v>
      </c>
      <c r="U79">
        <v>3.73</v>
      </c>
      <c r="V79">
        <v>17793</v>
      </c>
    </row>
    <row r="80" spans="1:22" x14ac:dyDescent="0.3">
      <c r="A80" t="s">
        <v>131</v>
      </c>
      <c r="B80" t="s">
        <v>77</v>
      </c>
      <c r="C80">
        <v>7.63</v>
      </c>
      <c r="D80">
        <v>1.63</v>
      </c>
      <c r="E80">
        <v>4.6900000000000004</v>
      </c>
      <c r="F80">
        <v>0.97</v>
      </c>
      <c r="G80" s="1">
        <v>0.20499999999999999</v>
      </c>
      <c r="H80" s="1">
        <v>4.3999999999999997E-2</v>
      </c>
      <c r="I80" s="1">
        <v>0.16200000000000001</v>
      </c>
      <c r="J80">
        <v>0.24399999999999999</v>
      </c>
      <c r="K80">
        <v>1.1299999999999999</v>
      </c>
      <c r="L80">
        <v>0.28699999999999998</v>
      </c>
      <c r="M80" s="1">
        <v>0.71799999999999997</v>
      </c>
      <c r="N80">
        <v>79</v>
      </c>
      <c r="O80">
        <v>81</v>
      </c>
      <c r="P80">
        <v>96</v>
      </c>
      <c r="Q80">
        <v>3.46</v>
      </c>
      <c r="R80">
        <v>3.61</v>
      </c>
      <c r="S80">
        <v>-0.15</v>
      </c>
      <c r="T80">
        <v>4.26</v>
      </c>
      <c r="U80">
        <v>4.38</v>
      </c>
      <c r="V80">
        <v>12049</v>
      </c>
    </row>
    <row r="81" spans="1:22" x14ac:dyDescent="0.3">
      <c r="A81" t="s">
        <v>331</v>
      </c>
      <c r="B81" t="s">
        <v>26</v>
      </c>
      <c r="C81">
        <v>8.4600000000000009</v>
      </c>
      <c r="D81">
        <v>2.44</v>
      </c>
      <c r="E81">
        <v>3.47</v>
      </c>
      <c r="F81">
        <v>0.98</v>
      </c>
      <c r="G81" s="1">
        <v>0.20699999999999999</v>
      </c>
      <c r="H81" s="1">
        <v>0.06</v>
      </c>
      <c r="I81" s="1">
        <v>0.14699999999999999</v>
      </c>
      <c r="J81">
        <v>0.30599999999999999</v>
      </c>
      <c r="K81">
        <v>1.57</v>
      </c>
      <c r="L81">
        <v>0.373</v>
      </c>
      <c r="M81" s="1">
        <v>0.65300000000000002</v>
      </c>
      <c r="N81">
        <v>126</v>
      </c>
      <c r="O81">
        <v>82</v>
      </c>
      <c r="P81">
        <v>93</v>
      </c>
      <c r="Q81">
        <v>5.37</v>
      </c>
      <c r="R81">
        <v>3.61</v>
      </c>
      <c r="S81">
        <v>1.76</v>
      </c>
      <c r="T81">
        <v>4.1399999999999997</v>
      </c>
      <c r="U81">
        <v>4.07</v>
      </c>
      <c r="V81">
        <v>10354</v>
      </c>
    </row>
    <row r="82" spans="1:22" x14ac:dyDescent="0.3">
      <c r="A82" t="s">
        <v>86</v>
      </c>
      <c r="B82" t="s">
        <v>48</v>
      </c>
      <c r="C82">
        <v>10.8</v>
      </c>
      <c r="D82">
        <v>4.05</v>
      </c>
      <c r="E82">
        <v>2.67</v>
      </c>
      <c r="F82">
        <v>0.9</v>
      </c>
      <c r="G82" s="1">
        <v>0.28699999999999998</v>
      </c>
      <c r="H82" s="1">
        <v>0.108</v>
      </c>
      <c r="I82" s="1">
        <v>0.18</v>
      </c>
      <c r="J82">
        <v>0.21099999999999999</v>
      </c>
      <c r="K82">
        <v>1.23</v>
      </c>
      <c r="L82">
        <v>0.28399999999999997</v>
      </c>
      <c r="M82" s="1">
        <v>0.83699999999999997</v>
      </c>
      <c r="N82">
        <v>65</v>
      </c>
      <c r="O82">
        <v>83</v>
      </c>
      <c r="P82">
        <v>94</v>
      </c>
      <c r="Q82">
        <v>2.81</v>
      </c>
      <c r="R82">
        <v>3.61</v>
      </c>
      <c r="S82">
        <v>-0.8</v>
      </c>
      <c r="T82">
        <v>4.1500000000000004</v>
      </c>
      <c r="U82">
        <v>4.24</v>
      </c>
      <c r="V82">
        <v>19291</v>
      </c>
    </row>
    <row r="83" spans="1:22" x14ac:dyDescent="0.3">
      <c r="A83" t="s">
        <v>231</v>
      </c>
      <c r="B83" t="s">
        <v>34</v>
      </c>
      <c r="C83">
        <v>10.3</v>
      </c>
      <c r="D83">
        <v>2.61</v>
      </c>
      <c r="E83">
        <v>3.95</v>
      </c>
      <c r="F83">
        <v>1.17</v>
      </c>
      <c r="G83" s="1">
        <v>0.28399999999999997</v>
      </c>
      <c r="H83" s="1">
        <v>7.1999999999999995E-2</v>
      </c>
      <c r="I83" s="1">
        <v>0.21199999999999999</v>
      </c>
      <c r="J83">
        <v>0.2</v>
      </c>
      <c r="K83">
        <v>1.03</v>
      </c>
      <c r="L83">
        <v>0.251</v>
      </c>
      <c r="M83" s="1">
        <v>0.66800000000000004</v>
      </c>
      <c r="N83">
        <v>97</v>
      </c>
      <c r="O83">
        <v>81</v>
      </c>
      <c r="P83">
        <v>86</v>
      </c>
      <c r="Q83">
        <v>4.3</v>
      </c>
      <c r="R83">
        <v>3.62</v>
      </c>
      <c r="S83">
        <v>0.68</v>
      </c>
      <c r="T83">
        <v>3.91</v>
      </c>
      <c r="U83">
        <v>3.5</v>
      </c>
      <c r="V83">
        <v>6941</v>
      </c>
    </row>
    <row r="84" spans="1:22" x14ac:dyDescent="0.3">
      <c r="A84" t="s">
        <v>226</v>
      </c>
      <c r="B84" t="s">
        <v>38</v>
      </c>
      <c r="C84">
        <v>10.73</v>
      </c>
      <c r="D84">
        <v>2.68</v>
      </c>
      <c r="E84">
        <v>4</v>
      </c>
      <c r="F84">
        <v>1.26</v>
      </c>
      <c r="G84" s="1">
        <v>0.27900000000000003</v>
      </c>
      <c r="H84" s="1">
        <v>7.0000000000000007E-2</v>
      </c>
      <c r="I84" s="1">
        <v>0.21</v>
      </c>
      <c r="J84">
        <v>0.25800000000000001</v>
      </c>
      <c r="K84">
        <v>1.31</v>
      </c>
      <c r="L84">
        <v>0.33600000000000002</v>
      </c>
      <c r="M84" s="1">
        <v>0.70699999999999996</v>
      </c>
      <c r="N84">
        <v>89</v>
      </c>
      <c r="O84">
        <v>80</v>
      </c>
      <c r="P84">
        <v>82</v>
      </c>
      <c r="Q84">
        <v>4.28</v>
      </c>
      <c r="R84">
        <v>3.62</v>
      </c>
      <c r="S84">
        <v>0.65</v>
      </c>
      <c r="T84">
        <v>3.73</v>
      </c>
      <c r="U84">
        <v>3.85</v>
      </c>
      <c r="V84">
        <v>3184</v>
      </c>
    </row>
    <row r="85" spans="1:22" x14ac:dyDescent="0.3">
      <c r="A85" t="s">
        <v>164</v>
      </c>
      <c r="B85" t="s">
        <v>89</v>
      </c>
      <c r="C85">
        <v>11.27</v>
      </c>
      <c r="D85">
        <v>3.34</v>
      </c>
      <c r="E85">
        <v>3.38</v>
      </c>
      <c r="F85">
        <v>1.25</v>
      </c>
      <c r="G85" s="1">
        <v>0.309</v>
      </c>
      <c r="H85" s="1">
        <v>9.1999999999999998E-2</v>
      </c>
      <c r="I85" s="1">
        <v>0.218</v>
      </c>
      <c r="J85">
        <v>0.18099999999999999</v>
      </c>
      <c r="K85">
        <v>1.04</v>
      </c>
      <c r="L85">
        <v>0.23</v>
      </c>
      <c r="M85" s="1">
        <v>0.68</v>
      </c>
      <c r="N85">
        <v>84</v>
      </c>
      <c r="O85">
        <v>80</v>
      </c>
      <c r="P85">
        <v>90</v>
      </c>
      <c r="Q85">
        <v>3.76</v>
      </c>
      <c r="R85">
        <v>3.63</v>
      </c>
      <c r="S85">
        <v>0.13</v>
      </c>
      <c r="T85">
        <v>4.01</v>
      </c>
      <c r="U85">
        <v>3.51</v>
      </c>
      <c r="V85">
        <v>13594</v>
      </c>
    </row>
    <row r="86" spans="1:22" x14ac:dyDescent="0.3">
      <c r="A86" t="s">
        <v>291</v>
      </c>
      <c r="B86" t="s">
        <v>143</v>
      </c>
      <c r="C86">
        <v>8.9499999999999993</v>
      </c>
      <c r="D86">
        <v>2.6</v>
      </c>
      <c r="E86">
        <v>3.44</v>
      </c>
      <c r="F86">
        <v>1.01</v>
      </c>
      <c r="G86" s="1">
        <v>0.221</v>
      </c>
      <c r="H86" s="1">
        <v>6.4000000000000001E-2</v>
      </c>
      <c r="I86" s="1">
        <v>0.157</v>
      </c>
      <c r="J86">
        <v>0.27700000000000002</v>
      </c>
      <c r="K86">
        <v>1.44</v>
      </c>
      <c r="L86">
        <v>0.34</v>
      </c>
      <c r="M86" s="1">
        <v>0.65700000000000003</v>
      </c>
      <c r="N86">
        <v>95</v>
      </c>
      <c r="O86">
        <v>77</v>
      </c>
      <c r="P86">
        <v>80</v>
      </c>
      <c r="Q86">
        <v>4.76</v>
      </c>
      <c r="R86">
        <v>3.65</v>
      </c>
      <c r="S86">
        <v>1.1200000000000001</v>
      </c>
      <c r="T86">
        <v>3.66</v>
      </c>
      <c r="U86">
        <v>3.7</v>
      </c>
      <c r="V86">
        <v>17369</v>
      </c>
    </row>
    <row r="87" spans="1:22" x14ac:dyDescent="0.3">
      <c r="A87" t="s">
        <v>170</v>
      </c>
      <c r="B87" t="s">
        <v>66</v>
      </c>
      <c r="C87">
        <v>8.2799999999999994</v>
      </c>
      <c r="D87">
        <v>1.66</v>
      </c>
      <c r="E87">
        <v>5</v>
      </c>
      <c r="F87">
        <v>1.1599999999999999</v>
      </c>
      <c r="G87" s="1">
        <v>0.222</v>
      </c>
      <c r="H87" s="1">
        <v>4.3999999999999997E-2</v>
      </c>
      <c r="I87" s="1">
        <v>0.17799999999999999</v>
      </c>
      <c r="J87">
        <v>0.252</v>
      </c>
      <c r="K87">
        <v>1.18</v>
      </c>
      <c r="L87">
        <v>0.29899999999999999</v>
      </c>
      <c r="M87" s="1">
        <v>0.72499999999999998</v>
      </c>
      <c r="N87">
        <v>82</v>
      </c>
      <c r="O87">
        <v>80</v>
      </c>
      <c r="P87">
        <v>91</v>
      </c>
      <c r="Q87">
        <v>3.81</v>
      </c>
      <c r="R87">
        <v>3.66</v>
      </c>
      <c r="S87">
        <v>0.15</v>
      </c>
      <c r="T87">
        <v>4.18</v>
      </c>
      <c r="U87">
        <v>3.87</v>
      </c>
      <c r="V87">
        <v>12680</v>
      </c>
    </row>
    <row r="88" spans="1:22" x14ac:dyDescent="0.3">
      <c r="A88" t="s">
        <v>91</v>
      </c>
      <c r="B88" t="s">
        <v>89</v>
      </c>
      <c r="C88">
        <v>9.18</v>
      </c>
      <c r="D88">
        <v>3.02</v>
      </c>
      <c r="E88">
        <v>3.04</v>
      </c>
      <c r="F88">
        <v>0.97</v>
      </c>
      <c r="G88" s="1">
        <v>0.248</v>
      </c>
      <c r="H88" s="1">
        <v>8.2000000000000003E-2</v>
      </c>
      <c r="I88" s="1">
        <v>0.16600000000000001</v>
      </c>
      <c r="J88">
        <v>0.217</v>
      </c>
      <c r="K88">
        <v>1.1499999999999999</v>
      </c>
      <c r="L88">
        <v>0.26900000000000002</v>
      </c>
      <c r="M88" s="1">
        <v>0.80800000000000005</v>
      </c>
      <c r="N88">
        <v>65</v>
      </c>
      <c r="O88">
        <v>81</v>
      </c>
      <c r="P88">
        <v>89</v>
      </c>
      <c r="Q88">
        <v>2.92</v>
      </c>
      <c r="R88">
        <v>3.66</v>
      </c>
      <c r="S88">
        <v>-0.74</v>
      </c>
      <c r="T88">
        <v>3.97</v>
      </c>
      <c r="U88">
        <v>3.91</v>
      </c>
      <c r="V88">
        <v>14843</v>
      </c>
    </row>
    <row r="89" spans="1:22" x14ac:dyDescent="0.3">
      <c r="A89" t="s">
        <v>130</v>
      </c>
      <c r="B89" t="s">
        <v>48</v>
      </c>
      <c r="C89">
        <v>8.9499999999999993</v>
      </c>
      <c r="D89">
        <v>2.54</v>
      </c>
      <c r="E89">
        <v>3.53</v>
      </c>
      <c r="F89">
        <v>1.04</v>
      </c>
      <c r="G89" s="1">
        <v>0.24099999999999999</v>
      </c>
      <c r="H89" s="1">
        <v>6.8000000000000005E-2</v>
      </c>
      <c r="I89" s="1">
        <v>0.17299999999999999</v>
      </c>
      <c r="J89">
        <v>0.217</v>
      </c>
      <c r="K89">
        <v>1.1100000000000001</v>
      </c>
      <c r="L89">
        <v>0.26400000000000001</v>
      </c>
      <c r="M89" s="1">
        <v>0.70899999999999996</v>
      </c>
      <c r="N89">
        <v>79</v>
      </c>
      <c r="O89">
        <v>83</v>
      </c>
      <c r="P89">
        <v>105</v>
      </c>
      <c r="Q89">
        <v>3.43</v>
      </c>
      <c r="R89">
        <v>3.68</v>
      </c>
      <c r="S89">
        <v>-0.25</v>
      </c>
      <c r="T89">
        <v>4.68</v>
      </c>
      <c r="U89">
        <v>3.98</v>
      </c>
      <c r="V89">
        <v>9817</v>
      </c>
    </row>
    <row r="90" spans="1:22" x14ac:dyDescent="0.3">
      <c r="A90" t="s">
        <v>169</v>
      </c>
      <c r="B90" t="s">
        <v>38</v>
      </c>
      <c r="C90">
        <v>8.77</v>
      </c>
      <c r="D90">
        <v>3.69</v>
      </c>
      <c r="E90">
        <v>2.38</v>
      </c>
      <c r="F90">
        <v>0.69</v>
      </c>
      <c r="G90" s="1">
        <v>0.23200000000000001</v>
      </c>
      <c r="H90" s="1">
        <v>9.8000000000000004E-2</v>
      </c>
      <c r="I90" s="1">
        <v>0.13500000000000001</v>
      </c>
      <c r="J90">
        <v>0.21</v>
      </c>
      <c r="K90">
        <v>1.19</v>
      </c>
      <c r="L90">
        <v>0.26400000000000001</v>
      </c>
      <c r="M90" s="1">
        <v>0.67</v>
      </c>
      <c r="N90">
        <v>79</v>
      </c>
      <c r="O90">
        <v>82</v>
      </c>
      <c r="P90">
        <v>91</v>
      </c>
      <c r="Q90">
        <v>3.81</v>
      </c>
      <c r="R90">
        <v>3.69</v>
      </c>
      <c r="S90">
        <v>0.12</v>
      </c>
      <c r="T90">
        <v>4.17</v>
      </c>
      <c r="U90">
        <v>4.1100000000000003</v>
      </c>
      <c r="V90">
        <v>8004</v>
      </c>
    </row>
    <row r="91" spans="1:22" x14ac:dyDescent="0.3">
      <c r="A91" t="s">
        <v>124</v>
      </c>
      <c r="B91" t="s">
        <v>89</v>
      </c>
      <c r="C91">
        <v>10.67</v>
      </c>
      <c r="D91">
        <v>3.73</v>
      </c>
      <c r="E91">
        <v>2.86</v>
      </c>
      <c r="F91">
        <v>1.04</v>
      </c>
      <c r="G91" s="1">
        <v>0.28899999999999998</v>
      </c>
      <c r="H91" s="1">
        <v>0.10100000000000001</v>
      </c>
      <c r="I91" s="1">
        <v>0.188</v>
      </c>
      <c r="J91">
        <v>0.2</v>
      </c>
      <c r="K91">
        <v>1.1399999999999999</v>
      </c>
      <c r="L91">
        <v>0.26200000000000001</v>
      </c>
      <c r="M91" s="1">
        <v>0.76700000000000002</v>
      </c>
      <c r="N91">
        <v>76</v>
      </c>
      <c r="O91">
        <v>81</v>
      </c>
      <c r="P91">
        <v>78</v>
      </c>
      <c r="Q91">
        <v>3.4</v>
      </c>
      <c r="R91">
        <v>3.7</v>
      </c>
      <c r="S91">
        <v>-0.3</v>
      </c>
      <c r="T91">
        <v>3.48</v>
      </c>
      <c r="U91">
        <v>3.95</v>
      </c>
      <c r="V91">
        <v>15689</v>
      </c>
    </row>
    <row r="92" spans="1:22" x14ac:dyDescent="0.3">
      <c r="A92" t="s">
        <v>257</v>
      </c>
      <c r="B92" t="s">
        <v>46</v>
      </c>
      <c r="C92">
        <v>9.83</v>
      </c>
      <c r="D92">
        <v>2.97</v>
      </c>
      <c r="E92">
        <v>3.32</v>
      </c>
      <c r="F92">
        <v>1.0900000000000001</v>
      </c>
      <c r="G92" s="1">
        <v>0.25700000000000001</v>
      </c>
      <c r="H92" s="1">
        <v>7.8E-2</v>
      </c>
      <c r="I92" s="1">
        <v>0.18</v>
      </c>
      <c r="J92">
        <v>0.25</v>
      </c>
      <c r="K92">
        <v>1.3</v>
      </c>
      <c r="L92">
        <v>0.318</v>
      </c>
      <c r="M92" s="1">
        <v>0.64</v>
      </c>
      <c r="N92">
        <v>90</v>
      </c>
      <c r="O92">
        <v>79</v>
      </c>
      <c r="P92">
        <v>87</v>
      </c>
      <c r="Q92">
        <v>4.53</v>
      </c>
      <c r="R92">
        <v>3.7</v>
      </c>
      <c r="S92">
        <v>0.83</v>
      </c>
      <c r="T92">
        <v>3.85</v>
      </c>
      <c r="U92">
        <v>3.7</v>
      </c>
      <c r="V92">
        <v>12774</v>
      </c>
    </row>
    <row r="93" spans="1:22" x14ac:dyDescent="0.3">
      <c r="A93" t="s">
        <v>198</v>
      </c>
      <c r="B93" t="s">
        <v>75</v>
      </c>
      <c r="C93">
        <v>9.4</v>
      </c>
      <c r="D93">
        <v>2.5499999999999998</v>
      </c>
      <c r="E93">
        <v>3.68</v>
      </c>
      <c r="F93">
        <v>1.1399999999999999</v>
      </c>
      <c r="G93" s="1">
        <v>0.246</v>
      </c>
      <c r="H93" s="1">
        <v>6.7000000000000004E-2</v>
      </c>
      <c r="I93" s="1">
        <v>0.17899999999999999</v>
      </c>
      <c r="J93">
        <v>0.26800000000000002</v>
      </c>
      <c r="K93">
        <v>1.33</v>
      </c>
      <c r="L93">
        <v>0.33600000000000002</v>
      </c>
      <c r="M93" s="1">
        <v>0.74299999999999999</v>
      </c>
      <c r="N93">
        <v>91</v>
      </c>
      <c r="O93">
        <v>85</v>
      </c>
      <c r="P93">
        <v>75</v>
      </c>
      <c r="Q93">
        <v>4.0199999999999996</v>
      </c>
      <c r="R93">
        <v>3.72</v>
      </c>
      <c r="S93">
        <v>0.31</v>
      </c>
      <c r="T93">
        <v>3.32</v>
      </c>
      <c r="U93">
        <v>3.83</v>
      </c>
      <c r="V93">
        <v>13743</v>
      </c>
    </row>
    <row r="94" spans="1:22" x14ac:dyDescent="0.3">
      <c r="A94" t="s">
        <v>194</v>
      </c>
      <c r="B94" t="s">
        <v>62</v>
      </c>
      <c r="C94">
        <v>10.51</v>
      </c>
      <c r="D94">
        <v>2.66</v>
      </c>
      <c r="E94">
        <v>3.95</v>
      </c>
      <c r="F94">
        <v>1.2</v>
      </c>
      <c r="G94" s="1">
        <v>0.28199999999999997</v>
      </c>
      <c r="H94" s="1">
        <v>7.0999999999999994E-2</v>
      </c>
      <c r="I94" s="1">
        <v>0.21099999999999999</v>
      </c>
      <c r="J94">
        <v>0.23100000000000001</v>
      </c>
      <c r="K94">
        <v>1.17</v>
      </c>
      <c r="L94">
        <v>0.29899999999999999</v>
      </c>
      <c r="M94" s="1">
        <v>0.75600000000000001</v>
      </c>
      <c r="N94">
        <v>89</v>
      </c>
      <c r="O94">
        <v>81</v>
      </c>
      <c r="P94">
        <v>89</v>
      </c>
      <c r="Q94">
        <v>3.99</v>
      </c>
      <c r="R94">
        <v>3.72</v>
      </c>
      <c r="S94">
        <v>0.27</v>
      </c>
      <c r="T94">
        <v>4.07</v>
      </c>
      <c r="U94">
        <v>3.55</v>
      </c>
      <c r="V94">
        <v>12800</v>
      </c>
    </row>
    <row r="95" spans="1:22" x14ac:dyDescent="0.3">
      <c r="A95" t="s">
        <v>109</v>
      </c>
      <c r="B95" t="s">
        <v>48</v>
      </c>
      <c r="C95">
        <v>7.76</v>
      </c>
      <c r="D95">
        <v>2.83</v>
      </c>
      <c r="E95">
        <v>2.74</v>
      </c>
      <c r="F95">
        <v>0.88</v>
      </c>
      <c r="G95" s="1">
        <v>0.20499999999999999</v>
      </c>
      <c r="H95" s="1">
        <v>7.4999999999999997E-2</v>
      </c>
      <c r="I95" s="1">
        <v>0.13</v>
      </c>
      <c r="J95">
        <v>0.25600000000000001</v>
      </c>
      <c r="K95">
        <v>1.31</v>
      </c>
      <c r="L95">
        <v>0.307</v>
      </c>
      <c r="M95" s="1">
        <v>0.76100000000000001</v>
      </c>
      <c r="N95">
        <v>73</v>
      </c>
      <c r="O95">
        <v>82</v>
      </c>
      <c r="P95">
        <v>88</v>
      </c>
      <c r="Q95">
        <v>3.22</v>
      </c>
      <c r="R95">
        <v>3.72</v>
      </c>
      <c r="S95">
        <v>-0.5</v>
      </c>
      <c r="T95">
        <v>3.99</v>
      </c>
      <c r="U95">
        <v>4.41</v>
      </c>
      <c r="V95">
        <v>13431</v>
      </c>
    </row>
    <row r="96" spans="1:22" x14ac:dyDescent="0.3">
      <c r="A96" t="s">
        <v>284</v>
      </c>
      <c r="B96" t="s">
        <v>98</v>
      </c>
      <c r="C96">
        <v>10.06</v>
      </c>
      <c r="D96">
        <v>3.44</v>
      </c>
      <c r="E96">
        <v>2.93</v>
      </c>
      <c r="F96">
        <v>1.02</v>
      </c>
      <c r="G96" s="1">
        <v>0.255</v>
      </c>
      <c r="H96" s="1">
        <v>8.6999999999999994E-2</v>
      </c>
      <c r="I96" s="1">
        <v>0.16800000000000001</v>
      </c>
      <c r="J96">
        <v>0.25700000000000001</v>
      </c>
      <c r="K96">
        <v>1.4</v>
      </c>
      <c r="L96">
        <v>0.33200000000000002</v>
      </c>
      <c r="M96" s="1">
        <v>0.71599999999999997</v>
      </c>
      <c r="N96">
        <v>107</v>
      </c>
      <c r="O96">
        <v>85</v>
      </c>
      <c r="P96">
        <v>87</v>
      </c>
      <c r="Q96">
        <v>4.71</v>
      </c>
      <c r="R96">
        <v>3.72</v>
      </c>
      <c r="S96">
        <v>0.99</v>
      </c>
      <c r="T96">
        <v>3.88</v>
      </c>
      <c r="U96">
        <v>3.82</v>
      </c>
      <c r="V96">
        <v>12022</v>
      </c>
    </row>
    <row r="97" spans="1:22" x14ac:dyDescent="0.3">
      <c r="A97" t="s">
        <v>125</v>
      </c>
      <c r="B97" t="s">
        <v>32</v>
      </c>
      <c r="C97">
        <v>10.62</v>
      </c>
      <c r="D97">
        <v>3.41</v>
      </c>
      <c r="E97">
        <v>3.12</v>
      </c>
      <c r="F97">
        <v>1.05</v>
      </c>
      <c r="G97" s="1">
        <v>0.27900000000000003</v>
      </c>
      <c r="H97" s="1">
        <v>0.09</v>
      </c>
      <c r="I97" s="1">
        <v>0.19</v>
      </c>
      <c r="J97">
        <v>0.22800000000000001</v>
      </c>
      <c r="K97">
        <v>1.24</v>
      </c>
      <c r="L97">
        <v>0.3</v>
      </c>
      <c r="M97" s="1">
        <v>0.73599999999999999</v>
      </c>
      <c r="N97">
        <v>77</v>
      </c>
      <c r="O97">
        <v>84</v>
      </c>
      <c r="P97">
        <v>81</v>
      </c>
      <c r="Q97">
        <v>3.41</v>
      </c>
      <c r="R97">
        <v>3.72</v>
      </c>
      <c r="S97">
        <v>-0.32</v>
      </c>
      <c r="T97">
        <v>3.72</v>
      </c>
      <c r="U97">
        <v>3.58</v>
      </c>
      <c r="V97">
        <v>17496</v>
      </c>
    </row>
    <row r="98" spans="1:22" x14ac:dyDescent="0.3">
      <c r="A98" t="s">
        <v>150</v>
      </c>
      <c r="B98" t="s">
        <v>50</v>
      </c>
      <c r="C98">
        <v>8.14</v>
      </c>
      <c r="D98">
        <v>4.6100000000000003</v>
      </c>
      <c r="E98">
        <v>1.76</v>
      </c>
      <c r="F98">
        <v>0.54</v>
      </c>
      <c r="G98" s="1">
        <v>0.223</v>
      </c>
      <c r="H98" s="1">
        <v>0.126</v>
      </c>
      <c r="I98" s="1">
        <v>9.7000000000000003E-2</v>
      </c>
      <c r="J98">
        <v>0.217</v>
      </c>
      <c r="K98">
        <v>1.28</v>
      </c>
      <c r="L98">
        <v>0.27500000000000002</v>
      </c>
      <c r="M98" s="1">
        <v>0.70499999999999996</v>
      </c>
      <c r="N98">
        <v>86</v>
      </c>
      <c r="O98">
        <v>86</v>
      </c>
      <c r="P98">
        <v>98</v>
      </c>
      <c r="Q98">
        <v>3.66</v>
      </c>
      <c r="R98">
        <v>3.73</v>
      </c>
      <c r="S98">
        <v>-0.06</v>
      </c>
      <c r="T98">
        <v>4.3499999999999996</v>
      </c>
      <c r="U98">
        <v>4.71</v>
      </c>
      <c r="V98">
        <v>13684</v>
      </c>
    </row>
    <row r="99" spans="1:22" x14ac:dyDescent="0.3">
      <c r="A99" t="s">
        <v>99</v>
      </c>
      <c r="B99" t="s">
        <v>66</v>
      </c>
      <c r="C99">
        <v>11.05</v>
      </c>
      <c r="D99">
        <v>3.64</v>
      </c>
      <c r="E99">
        <v>3.04</v>
      </c>
      <c r="F99">
        <v>1.1200000000000001</v>
      </c>
      <c r="G99" s="1">
        <v>0.29699999999999999</v>
      </c>
      <c r="H99" s="1">
        <v>9.8000000000000004E-2</v>
      </c>
      <c r="I99" s="1">
        <v>0.19900000000000001</v>
      </c>
      <c r="J99">
        <v>0.18099999999999999</v>
      </c>
      <c r="K99">
        <v>1.07</v>
      </c>
      <c r="L99">
        <v>0.23300000000000001</v>
      </c>
      <c r="M99" s="1">
        <v>0.78900000000000003</v>
      </c>
      <c r="N99">
        <v>63</v>
      </c>
      <c r="O99">
        <v>81</v>
      </c>
      <c r="P99">
        <v>91</v>
      </c>
      <c r="Q99">
        <v>2.94</v>
      </c>
      <c r="R99">
        <v>3.73</v>
      </c>
      <c r="S99">
        <v>-0.79</v>
      </c>
      <c r="T99">
        <v>4.1500000000000004</v>
      </c>
      <c r="U99">
        <v>3.68</v>
      </c>
      <c r="V99">
        <v>6398</v>
      </c>
    </row>
    <row r="100" spans="1:22" x14ac:dyDescent="0.3">
      <c r="A100" t="s">
        <v>341</v>
      </c>
      <c r="B100" t="s">
        <v>48</v>
      </c>
      <c r="C100">
        <v>9.94</v>
      </c>
      <c r="D100">
        <v>5.13</v>
      </c>
      <c r="E100">
        <v>1.94</v>
      </c>
      <c r="F100">
        <v>0.66</v>
      </c>
      <c r="G100" s="1">
        <v>0.248</v>
      </c>
      <c r="H100" s="1">
        <v>0.128</v>
      </c>
      <c r="I100" s="1">
        <v>0.12</v>
      </c>
      <c r="J100">
        <v>0.27100000000000002</v>
      </c>
      <c r="K100">
        <v>1.62</v>
      </c>
      <c r="L100">
        <v>0.36299999999999999</v>
      </c>
      <c r="M100" s="1">
        <v>0.67100000000000004</v>
      </c>
      <c r="N100">
        <v>126</v>
      </c>
      <c r="O100">
        <v>84</v>
      </c>
      <c r="P100">
        <v>105</v>
      </c>
      <c r="Q100">
        <v>5.47</v>
      </c>
      <c r="R100">
        <v>3.73</v>
      </c>
      <c r="S100">
        <v>1.74</v>
      </c>
      <c r="T100">
        <v>4.68</v>
      </c>
      <c r="U100">
        <v>4.58</v>
      </c>
      <c r="V100">
        <v>6627</v>
      </c>
    </row>
    <row r="101" spans="1:22" x14ac:dyDescent="0.3">
      <c r="A101" t="s">
        <v>41</v>
      </c>
      <c r="B101" t="s">
        <v>40</v>
      </c>
      <c r="C101">
        <v>7.78</v>
      </c>
      <c r="D101">
        <v>4.7</v>
      </c>
      <c r="E101">
        <v>1.66</v>
      </c>
      <c r="F101">
        <v>0.44</v>
      </c>
      <c r="G101" s="1">
        <v>0.216</v>
      </c>
      <c r="H101" s="1">
        <v>0.13100000000000001</v>
      </c>
      <c r="I101" s="1">
        <v>8.5999999999999993E-2</v>
      </c>
      <c r="J101">
        <v>0.17899999999999999</v>
      </c>
      <c r="K101">
        <v>1.1399999999999999</v>
      </c>
      <c r="L101">
        <v>0.224</v>
      </c>
      <c r="M101" s="1">
        <v>0.86799999999999999</v>
      </c>
      <c r="N101">
        <v>41</v>
      </c>
      <c r="O101">
        <v>80</v>
      </c>
      <c r="P101">
        <v>79</v>
      </c>
      <c r="Q101">
        <v>1.91</v>
      </c>
      <c r="R101">
        <v>3.74</v>
      </c>
      <c r="S101">
        <v>-1.83</v>
      </c>
      <c r="T101">
        <v>3.59</v>
      </c>
      <c r="U101">
        <v>3.81</v>
      </c>
      <c r="V101">
        <v>3240</v>
      </c>
    </row>
    <row r="102" spans="1:22" x14ac:dyDescent="0.3">
      <c r="A102" t="s">
        <v>101</v>
      </c>
      <c r="B102" t="s">
        <v>102</v>
      </c>
      <c r="C102">
        <v>6.93</v>
      </c>
      <c r="D102">
        <v>2.84</v>
      </c>
      <c r="E102">
        <v>2.44</v>
      </c>
      <c r="F102">
        <v>0.71</v>
      </c>
      <c r="G102" s="1">
        <v>0.189</v>
      </c>
      <c r="H102" s="1">
        <v>7.8E-2</v>
      </c>
      <c r="I102" s="1">
        <v>0.112</v>
      </c>
      <c r="J102">
        <v>0.21299999999999999</v>
      </c>
      <c r="K102">
        <v>1.1100000000000001</v>
      </c>
      <c r="L102">
        <v>0.248</v>
      </c>
      <c r="M102" s="1">
        <v>0.78200000000000003</v>
      </c>
      <c r="N102">
        <v>72</v>
      </c>
      <c r="O102">
        <v>87</v>
      </c>
      <c r="P102">
        <v>107</v>
      </c>
      <c r="Q102">
        <v>3.02</v>
      </c>
      <c r="R102">
        <v>3.77</v>
      </c>
      <c r="S102">
        <v>-0.75</v>
      </c>
      <c r="T102">
        <v>4.74</v>
      </c>
      <c r="U102">
        <v>4.53</v>
      </c>
      <c r="V102">
        <v>18282</v>
      </c>
    </row>
    <row r="103" spans="1:22" x14ac:dyDescent="0.3">
      <c r="A103" t="s">
        <v>262</v>
      </c>
      <c r="B103" t="s">
        <v>53</v>
      </c>
      <c r="C103">
        <v>10.87</v>
      </c>
      <c r="D103">
        <v>3.86</v>
      </c>
      <c r="E103">
        <v>2.82</v>
      </c>
      <c r="F103">
        <v>1.05</v>
      </c>
      <c r="G103" s="1">
        <v>0.27400000000000002</v>
      </c>
      <c r="H103" s="1">
        <v>9.7000000000000003E-2</v>
      </c>
      <c r="I103" s="1">
        <v>0.17699999999999999</v>
      </c>
      <c r="J103">
        <v>0.24399999999999999</v>
      </c>
      <c r="K103">
        <v>1.38</v>
      </c>
      <c r="L103">
        <v>0.32300000000000001</v>
      </c>
      <c r="M103" s="1">
        <v>0.65500000000000003</v>
      </c>
      <c r="N103">
        <v>109</v>
      </c>
      <c r="O103">
        <v>87</v>
      </c>
      <c r="P103">
        <v>72</v>
      </c>
      <c r="Q103">
        <v>4.5599999999999996</v>
      </c>
      <c r="R103">
        <v>3.78</v>
      </c>
      <c r="S103">
        <v>0.78</v>
      </c>
      <c r="T103">
        <v>3.19</v>
      </c>
      <c r="U103">
        <v>3.41</v>
      </c>
      <c r="V103">
        <v>9761</v>
      </c>
    </row>
    <row r="104" spans="1:22" x14ac:dyDescent="0.3">
      <c r="A104" t="s">
        <v>209</v>
      </c>
      <c r="B104" t="s">
        <v>48</v>
      </c>
      <c r="C104">
        <v>11.37</v>
      </c>
      <c r="D104">
        <v>3.55</v>
      </c>
      <c r="E104">
        <v>3.2</v>
      </c>
      <c r="F104">
        <v>1.24</v>
      </c>
      <c r="G104" s="1">
        <v>0.27900000000000003</v>
      </c>
      <c r="H104" s="1">
        <v>8.6999999999999994E-2</v>
      </c>
      <c r="I104" s="1">
        <v>0.192</v>
      </c>
      <c r="J104">
        <v>0.246</v>
      </c>
      <c r="K104">
        <v>1.4</v>
      </c>
      <c r="L104">
        <v>0.32400000000000001</v>
      </c>
      <c r="M104" s="1">
        <v>0.66500000000000004</v>
      </c>
      <c r="N104">
        <v>89</v>
      </c>
      <c r="O104">
        <v>83</v>
      </c>
      <c r="P104">
        <v>87</v>
      </c>
      <c r="Q104">
        <v>4.09</v>
      </c>
      <c r="R104">
        <v>3.79</v>
      </c>
      <c r="S104">
        <v>0.3</v>
      </c>
      <c r="T104">
        <v>3.95</v>
      </c>
      <c r="U104">
        <v>3.71</v>
      </c>
      <c r="V104">
        <v>3950</v>
      </c>
    </row>
    <row r="105" spans="1:22" x14ac:dyDescent="0.3">
      <c r="A105" t="s">
        <v>47</v>
      </c>
      <c r="B105" t="s">
        <v>48</v>
      </c>
      <c r="C105">
        <v>9.19</v>
      </c>
      <c r="D105">
        <v>2.44</v>
      </c>
      <c r="E105">
        <v>3.76</v>
      </c>
      <c r="F105">
        <v>1.1499999999999999</v>
      </c>
      <c r="G105" s="1">
        <v>0.254</v>
      </c>
      <c r="H105" s="1">
        <v>6.7000000000000004E-2</v>
      </c>
      <c r="I105" s="1">
        <v>0.187</v>
      </c>
      <c r="J105">
        <v>0.19800000000000001</v>
      </c>
      <c r="K105">
        <v>1.01</v>
      </c>
      <c r="L105">
        <v>0.23799999999999999</v>
      </c>
      <c r="M105" s="1">
        <v>0.80300000000000005</v>
      </c>
      <c r="N105">
        <v>51</v>
      </c>
      <c r="O105">
        <v>84</v>
      </c>
      <c r="P105">
        <v>88</v>
      </c>
      <c r="Q105">
        <v>2.2999999999999998</v>
      </c>
      <c r="R105">
        <v>3.79</v>
      </c>
      <c r="S105">
        <v>-1.49</v>
      </c>
      <c r="T105">
        <v>3.97</v>
      </c>
      <c r="U105">
        <v>3.68</v>
      </c>
      <c r="V105">
        <v>10756</v>
      </c>
    </row>
    <row r="106" spans="1:22" x14ac:dyDescent="0.3">
      <c r="A106" t="s">
        <v>279</v>
      </c>
      <c r="B106" t="s">
        <v>77</v>
      </c>
      <c r="C106">
        <v>8</v>
      </c>
      <c r="D106">
        <v>2.42</v>
      </c>
      <c r="E106">
        <v>3.3</v>
      </c>
      <c r="F106">
        <v>1.05</v>
      </c>
      <c r="G106" s="1">
        <v>0.20399999999999999</v>
      </c>
      <c r="H106" s="1">
        <v>6.2E-2</v>
      </c>
      <c r="I106" s="1">
        <v>0.14199999999999999</v>
      </c>
      <c r="J106">
        <v>0.27400000000000002</v>
      </c>
      <c r="K106">
        <v>1.39</v>
      </c>
      <c r="L106">
        <v>0.32600000000000001</v>
      </c>
      <c r="M106" s="1">
        <v>0.65900000000000003</v>
      </c>
      <c r="N106">
        <v>107</v>
      </c>
      <c r="O106">
        <v>85</v>
      </c>
      <c r="P106">
        <v>95</v>
      </c>
      <c r="Q106">
        <v>4.68</v>
      </c>
      <c r="R106">
        <v>3.8</v>
      </c>
      <c r="S106">
        <v>0.89</v>
      </c>
      <c r="T106">
        <v>4.2</v>
      </c>
      <c r="U106">
        <v>4.5</v>
      </c>
      <c r="V106">
        <v>11423</v>
      </c>
    </row>
    <row r="107" spans="1:22" x14ac:dyDescent="0.3">
      <c r="A107" t="s">
        <v>242</v>
      </c>
      <c r="B107" t="s">
        <v>30</v>
      </c>
      <c r="C107">
        <v>8.3000000000000007</v>
      </c>
      <c r="D107">
        <v>2.06</v>
      </c>
      <c r="E107">
        <v>4.03</v>
      </c>
      <c r="F107">
        <v>1.1100000000000001</v>
      </c>
      <c r="G107" s="1">
        <v>0.219</v>
      </c>
      <c r="H107" s="1">
        <v>5.3999999999999999E-2</v>
      </c>
      <c r="I107" s="1">
        <v>0.16400000000000001</v>
      </c>
      <c r="J107">
        <v>0.251</v>
      </c>
      <c r="K107">
        <v>1.22</v>
      </c>
      <c r="L107">
        <v>0.29899999999999999</v>
      </c>
      <c r="M107" s="1">
        <v>0.63200000000000001</v>
      </c>
      <c r="N107">
        <v>103</v>
      </c>
      <c r="O107">
        <v>86</v>
      </c>
      <c r="P107">
        <v>97</v>
      </c>
      <c r="Q107">
        <v>4.4400000000000004</v>
      </c>
      <c r="R107">
        <v>3.82</v>
      </c>
      <c r="S107">
        <v>0.62</v>
      </c>
      <c r="T107">
        <v>4.3099999999999996</v>
      </c>
      <c r="U107">
        <v>4.3099999999999996</v>
      </c>
      <c r="V107">
        <v>12970</v>
      </c>
    </row>
    <row r="108" spans="1:22" x14ac:dyDescent="0.3">
      <c r="A108" t="s">
        <v>110</v>
      </c>
      <c r="B108" t="s">
        <v>62</v>
      </c>
      <c r="C108">
        <v>9.39</v>
      </c>
      <c r="D108">
        <v>3.23</v>
      </c>
      <c r="E108">
        <v>2.91</v>
      </c>
      <c r="F108">
        <v>1.03</v>
      </c>
      <c r="G108" s="1">
        <v>0.248</v>
      </c>
      <c r="H108" s="1">
        <v>8.5000000000000006E-2</v>
      </c>
      <c r="I108" s="1">
        <v>0.16300000000000001</v>
      </c>
      <c r="J108">
        <v>0.20599999999999999</v>
      </c>
      <c r="K108">
        <v>1.1399999999999999</v>
      </c>
      <c r="L108">
        <v>0.253</v>
      </c>
      <c r="M108" s="1">
        <v>0.68</v>
      </c>
      <c r="N108">
        <v>72</v>
      </c>
      <c r="O108">
        <v>84</v>
      </c>
      <c r="P108">
        <v>91</v>
      </c>
      <c r="Q108">
        <v>3.23</v>
      </c>
      <c r="R108">
        <v>3.83</v>
      </c>
      <c r="S108">
        <v>-0.61</v>
      </c>
      <c r="T108">
        <v>4.17</v>
      </c>
      <c r="U108">
        <v>3.98</v>
      </c>
      <c r="V108">
        <v>13360</v>
      </c>
    </row>
    <row r="109" spans="1:22" x14ac:dyDescent="0.3">
      <c r="A109" t="s">
        <v>94</v>
      </c>
      <c r="B109" t="s">
        <v>95</v>
      </c>
      <c r="C109">
        <v>11.84</v>
      </c>
      <c r="D109">
        <v>3.19</v>
      </c>
      <c r="E109">
        <v>3.71</v>
      </c>
      <c r="F109">
        <v>1.33</v>
      </c>
      <c r="G109" s="1">
        <v>0.32400000000000001</v>
      </c>
      <c r="H109" s="1">
        <v>8.6999999999999994E-2</v>
      </c>
      <c r="I109" s="1">
        <v>0.23599999999999999</v>
      </c>
      <c r="J109">
        <v>0.184</v>
      </c>
      <c r="K109">
        <v>1.02</v>
      </c>
      <c r="L109">
        <v>0.24</v>
      </c>
      <c r="M109" s="1">
        <v>0.83599999999999997</v>
      </c>
      <c r="N109">
        <v>66</v>
      </c>
      <c r="O109">
        <v>84</v>
      </c>
      <c r="P109">
        <v>79</v>
      </c>
      <c r="Q109">
        <v>2.93</v>
      </c>
      <c r="R109">
        <v>3.83</v>
      </c>
      <c r="S109">
        <v>-0.91</v>
      </c>
      <c r="T109">
        <v>3.53</v>
      </c>
      <c r="U109">
        <v>3.23</v>
      </c>
      <c r="V109">
        <v>11804</v>
      </c>
    </row>
    <row r="110" spans="1:22" x14ac:dyDescent="0.3">
      <c r="A110" t="s">
        <v>153</v>
      </c>
      <c r="B110" t="s">
        <v>66</v>
      </c>
      <c r="C110">
        <v>8.76</v>
      </c>
      <c r="D110">
        <v>2.29</v>
      </c>
      <c r="E110">
        <v>3.82</v>
      </c>
      <c r="F110">
        <v>1.17</v>
      </c>
      <c r="G110" s="1">
        <v>0.23200000000000001</v>
      </c>
      <c r="H110" s="1">
        <v>6.0999999999999999E-2</v>
      </c>
      <c r="I110" s="1">
        <v>0.17100000000000001</v>
      </c>
      <c r="J110">
        <v>0.248</v>
      </c>
      <c r="K110">
        <v>1.22</v>
      </c>
      <c r="L110">
        <v>0.29899999999999999</v>
      </c>
      <c r="M110" s="1">
        <v>0.73499999999999999</v>
      </c>
      <c r="N110">
        <v>79</v>
      </c>
      <c r="O110">
        <v>84</v>
      </c>
      <c r="P110">
        <v>94</v>
      </c>
      <c r="Q110">
        <v>3.68</v>
      </c>
      <c r="R110">
        <v>3.85</v>
      </c>
      <c r="S110">
        <v>-0.17</v>
      </c>
      <c r="T110">
        <v>4.32</v>
      </c>
      <c r="U110">
        <v>4.28</v>
      </c>
      <c r="V110">
        <v>14168</v>
      </c>
    </row>
    <row r="111" spans="1:22" x14ac:dyDescent="0.3">
      <c r="A111" t="s">
        <v>138</v>
      </c>
      <c r="B111" t="s">
        <v>77</v>
      </c>
      <c r="C111">
        <v>8.56</v>
      </c>
      <c r="D111">
        <v>4.28</v>
      </c>
      <c r="E111">
        <v>2</v>
      </c>
      <c r="F111">
        <v>0.74</v>
      </c>
      <c r="G111" s="1">
        <v>0.223</v>
      </c>
      <c r="H111" s="1">
        <v>0.112</v>
      </c>
      <c r="I111" s="1">
        <v>0.112</v>
      </c>
      <c r="J111">
        <v>0.23899999999999999</v>
      </c>
      <c r="K111">
        <v>1.38</v>
      </c>
      <c r="L111">
        <v>0.29899999999999999</v>
      </c>
      <c r="M111" s="1">
        <v>0.75600000000000001</v>
      </c>
      <c r="N111">
        <v>81</v>
      </c>
      <c r="O111">
        <v>87</v>
      </c>
      <c r="P111">
        <v>94</v>
      </c>
      <c r="Q111">
        <v>3.54</v>
      </c>
      <c r="R111">
        <v>3.85</v>
      </c>
      <c r="S111">
        <v>-0.31</v>
      </c>
      <c r="T111">
        <v>4.16</v>
      </c>
      <c r="U111">
        <v>4.28</v>
      </c>
      <c r="V111">
        <v>11753</v>
      </c>
    </row>
    <row r="112" spans="1:22" x14ac:dyDescent="0.3">
      <c r="A112" t="s">
        <v>229</v>
      </c>
      <c r="B112" t="s">
        <v>62</v>
      </c>
      <c r="C112">
        <v>8.81</v>
      </c>
      <c r="D112">
        <v>3.16</v>
      </c>
      <c r="E112">
        <v>2.79</v>
      </c>
      <c r="F112">
        <v>1.02</v>
      </c>
      <c r="G112" s="1">
        <v>0.23300000000000001</v>
      </c>
      <c r="H112" s="1">
        <v>8.4000000000000005E-2</v>
      </c>
      <c r="I112" s="1">
        <v>0.14899999999999999</v>
      </c>
      <c r="J112">
        <v>0.23899999999999999</v>
      </c>
      <c r="K112">
        <v>1.27</v>
      </c>
      <c r="L112">
        <v>0.29399999999999998</v>
      </c>
      <c r="M112" s="1">
        <v>0.68600000000000005</v>
      </c>
      <c r="N112">
        <v>95</v>
      </c>
      <c r="O112">
        <v>84</v>
      </c>
      <c r="P112">
        <v>95</v>
      </c>
      <c r="Q112">
        <v>4.29</v>
      </c>
      <c r="R112">
        <v>3.85</v>
      </c>
      <c r="S112">
        <v>0.44</v>
      </c>
      <c r="T112">
        <v>4.3600000000000003</v>
      </c>
      <c r="U112">
        <v>4.54</v>
      </c>
      <c r="V112">
        <v>10190</v>
      </c>
    </row>
    <row r="113" spans="1:22" x14ac:dyDescent="0.3">
      <c r="A113" t="s">
        <v>103</v>
      </c>
      <c r="B113" t="s">
        <v>53</v>
      </c>
      <c r="C113">
        <v>9.5399999999999991</v>
      </c>
      <c r="D113">
        <v>2.0699999999999998</v>
      </c>
      <c r="E113">
        <v>4.6100000000000003</v>
      </c>
      <c r="F113">
        <v>1.41</v>
      </c>
      <c r="G113" s="1">
        <v>0.26800000000000002</v>
      </c>
      <c r="H113" s="1">
        <v>5.8000000000000003E-2</v>
      </c>
      <c r="I113" s="1">
        <v>0.21</v>
      </c>
      <c r="J113">
        <v>0.219</v>
      </c>
      <c r="K113">
        <v>1.04</v>
      </c>
      <c r="L113">
        <v>0.26200000000000001</v>
      </c>
      <c r="M113" s="1">
        <v>0.84</v>
      </c>
      <c r="N113">
        <v>72</v>
      </c>
      <c r="O113">
        <v>88</v>
      </c>
      <c r="P113">
        <v>79</v>
      </c>
      <c r="Q113">
        <v>3.03</v>
      </c>
      <c r="R113">
        <v>3.86</v>
      </c>
      <c r="S113">
        <v>-0.83</v>
      </c>
      <c r="T113">
        <v>3.5</v>
      </c>
      <c r="U113">
        <v>3.77</v>
      </c>
      <c r="V113">
        <v>2036</v>
      </c>
    </row>
    <row r="114" spans="1:22" x14ac:dyDescent="0.3">
      <c r="A114" t="s">
        <v>168</v>
      </c>
      <c r="B114" t="s">
        <v>38</v>
      </c>
      <c r="C114">
        <v>9.43</v>
      </c>
      <c r="D114">
        <v>3.32</v>
      </c>
      <c r="E114">
        <v>2.84</v>
      </c>
      <c r="F114">
        <v>1.06</v>
      </c>
      <c r="G114" s="1">
        <v>0.248</v>
      </c>
      <c r="H114" s="1">
        <v>8.6999999999999994E-2</v>
      </c>
      <c r="I114" s="1">
        <v>0.161</v>
      </c>
      <c r="J114">
        <v>0.251</v>
      </c>
      <c r="K114">
        <v>1.33</v>
      </c>
      <c r="L114">
        <v>0.317</v>
      </c>
      <c r="M114" s="1">
        <v>0.77600000000000002</v>
      </c>
      <c r="N114">
        <v>79</v>
      </c>
      <c r="O114">
        <v>86</v>
      </c>
      <c r="P114">
        <v>90</v>
      </c>
      <c r="Q114">
        <v>3.81</v>
      </c>
      <c r="R114">
        <v>3.86</v>
      </c>
      <c r="S114">
        <v>-0.06</v>
      </c>
      <c r="T114">
        <v>4.0999999999999996</v>
      </c>
      <c r="U114">
        <v>4.3099999999999996</v>
      </c>
      <c r="V114">
        <v>13164</v>
      </c>
    </row>
    <row r="115" spans="1:22" x14ac:dyDescent="0.3">
      <c r="A115" t="s">
        <v>175</v>
      </c>
      <c r="B115" t="s">
        <v>40</v>
      </c>
      <c r="C115">
        <v>11.11</v>
      </c>
      <c r="D115">
        <v>3.29</v>
      </c>
      <c r="E115">
        <v>3.38</v>
      </c>
      <c r="F115">
        <v>1.37</v>
      </c>
      <c r="G115" s="1">
        <v>0.29399999999999998</v>
      </c>
      <c r="H115" s="1">
        <v>8.6999999999999994E-2</v>
      </c>
      <c r="I115" s="1">
        <v>0.20699999999999999</v>
      </c>
      <c r="J115">
        <v>0.24</v>
      </c>
      <c r="K115">
        <v>1.28</v>
      </c>
      <c r="L115">
        <v>0.313</v>
      </c>
      <c r="M115" s="1">
        <v>0.76200000000000001</v>
      </c>
      <c r="N115">
        <v>83</v>
      </c>
      <c r="O115">
        <v>83</v>
      </c>
      <c r="P115">
        <v>88</v>
      </c>
      <c r="Q115">
        <v>3.82</v>
      </c>
      <c r="R115">
        <v>3.86</v>
      </c>
      <c r="S115">
        <v>-0.04</v>
      </c>
      <c r="T115">
        <v>4.03</v>
      </c>
      <c r="U115">
        <v>3.93</v>
      </c>
      <c r="V115">
        <v>11828</v>
      </c>
    </row>
    <row r="116" spans="1:22" x14ac:dyDescent="0.3">
      <c r="A116" t="s">
        <v>107</v>
      </c>
      <c r="B116" t="s">
        <v>32</v>
      </c>
      <c r="C116">
        <v>11.25</v>
      </c>
      <c r="D116">
        <v>3.05</v>
      </c>
      <c r="E116">
        <v>3.68</v>
      </c>
      <c r="F116">
        <v>1.45</v>
      </c>
      <c r="G116" s="1">
        <v>0.32</v>
      </c>
      <c r="H116" s="1">
        <v>8.6999999999999994E-2</v>
      </c>
      <c r="I116" s="1">
        <v>0.23300000000000001</v>
      </c>
      <c r="J116">
        <v>0.18099999999999999</v>
      </c>
      <c r="K116">
        <v>0.98</v>
      </c>
      <c r="L116">
        <v>0.22500000000000001</v>
      </c>
      <c r="M116" s="1">
        <v>0.82899999999999996</v>
      </c>
      <c r="N116">
        <v>72</v>
      </c>
      <c r="O116">
        <v>88</v>
      </c>
      <c r="P116">
        <v>70</v>
      </c>
      <c r="Q116">
        <v>3.21</v>
      </c>
      <c r="R116">
        <v>3.87</v>
      </c>
      <c r="S116">
        <v>-0.66</v>
      </c>
      <c r="T116">
        <v>3.21</v>
      </c>
      <c r="U116">
        <v>3.18</v>
      </c>
      <c r="V116">
        <v>8823</v>
      </c>
    </row>
    <row r="117" spans="1:22" x14ac:dyDescent="0.3">
      <c r="A117" t="s">
        <v>156</v>
      </c>
      <c r="B117" t="s">
        <v>71</v>
      </c>
      <c r="C117">
        <v>9.4600000000000009</v>
      </c>
      <c r="D117">
        <v>2.99</v>
      </c>
      <c r="E117">
        <v>3.16</v>
      </c>
      <c r="F117">
        <v>1.1299999999999999</v>
      </c>
      <c r="G117" s="1">
        <v>0.253</v>
      </c>
      <c r="H117" s="1">
        <v>0.08</v>
      </c>
      <c r="I117" s="1">
        <v>0.17299999999999999</v>
      </c>
      <c r="J117">
        <v>0.24</v>
      </c>
      <c r="K117">
        <v>1.24</v>
      </c>
      <c r="L117">
        <v>0.30099999999999999</v>
      </c>
      <c r="M117" s="1">
        <v>0.76200000000000001</v>
      </c>
      <c r="N117">
        <v>84</v>
      </c>
      <c r="O117">
        <v>87</v>
      </c>
      <c r="P117">
        <v>81</v>
      </c>
      <c r="Q117">
        <v>3.72</v>
      </c>
      <c r="R117">
        <v>3.88</v>
      </c>
      <c r="S117">
        <v>-0.16</v>
      </c>
      <c r="T117">
        <v>3.6</v>
      </c>
      <c r="U117">
        <v>3.91</v>
      </c>
      <c r="V117">
        <v>12718</v>
      </c>
    </row>
    <row r="118" spans="1:22" x14ac:dyDescent="0.3">
      <c r="A118" t="s">
        <v>158</v>
      </c>
      <c r="B118" t="s">
        <v>159</v>
      </c>
      <c r="C118">
        <v>9.7100000000000009</v>
      </c>
      <c r="D118">
        <v>3.19</v>
      </c>
      <c r="E118">
        <v>3.04</v>
      </c>
      <c r="F118">
        <v>1.06</v>
      </c>
      <c r="G118" s="1">
        <v>0.253</v>
      </c>
      <c r="H118" s="1">
        <v>8.3000000000000004E-2</v>
      </c>
      <c r="I118" s="1">
        <v>0.17</v>
      </c>
      <c r="J118">
        <v>0.23899999999999999</v>
      </c>
      <c r="K118">
        <v>1.27</v>
      </c>
      <c r="L118">
        <v>0.30299999999999999</v>
      </c>
      <c r="M118" s="1">
        <v>0.73899999999999999</v>
      </c>
      <c r="N118">
        <v>80</v>
      </c>
      <c r="O118">
        <v>84</v>
      </c>
      <c r="P118">
        <v>90</v>
      </c>
      <c r="Q118">
        <v>3.72</v>
      </c>
      <c r="R118">
        <v>3.88</v>
      </c>
      <c r="S118">
        <v>-0.15</v>
      </c>
      <c r="T118">
        <v>4.1100000000000003</v>
      </c>
      <c r="U118">
        <v>3.87</v>
      </c>
      <c r="V118">
        <v>14814</v>
      </c>
    </row>
    <row r="119" spans="1:22" x14ac:dyDescent="0.3">
      <c r="A119" t="s">
        <v>90</v>
      </c>
      <c r="B119" t="s">
        <v>56</v>
      </c>
      <c r="C119">
        <v>9.2899999999999991</v>
      </c>
      <c r="D119">
        <v>2.1800000000000002</v>
      </c>
      <c r="E119">
        <v>4.2699999999999996</v>
      </c>
      <c r="F119">
        <v>1.1599999999999999</v>
      </c>
      <c r="G119" s="1">
        <v>0.26600000000000001</v>
      </c>
      <c r="H119" s="1">
        <v>6.2E-2</v>
      </c>
      <c r="I119" s="1">
        <v>0.20300000000000001</v>
      </c>
      <c r="J119">
        <v>0.17399999999999999</v>
      </c>
      <c r="K119">
        <v>0.85</v>
      </c>
      <c r="L119">
        <v>0.20399999999999999</v>
      </c>
      <c r="M119" s="1">
        <v>0.82</v>
      </c>
      <c r="N119">
        <v>60</v>
      </c>
      <c r="O119">
        <v>85</v>
      </c>
      <c r="P119">
        <v>108</v>
      </c>
      <c r="Q119">
        <v>2.9</v>
      </c>
      <c r="R119">
        <v>3.89</v>
      </c>
      <c r="S119">
        <v>-0.99</v>
      </c>
      <c r="T119">
        <v>4.9400000000000004</v>
      </c>
      <c r="U119">
        <v>3.82</v>
      </c>
      <c r="V119">
        <v>5640</v>
      </c>
    </row>
    <row r="120" spans="1:22" x14ac:dyDescent="0.3">
      <c r="A120" t="s">
        <v>185</v>
      </c>
      <c r="B120" t="s">
        <v>83</v>
      </c>
      <c r="C120">
        <v>8.8000000000000007</v>
      </c>
      <c r="D120">
        <v>1.86</v>
      </c>
      <c r="E120">
        <v>4.72</v>
      </c>
      <c r="F120">
        <v>1.3</v>
      </c>
      <c r="G120" s="1">
        <v>0.24099999999999999</v>
      </c>
      <c r="H120" s="1">
        <v>5.0999999999999997E-2</v>
      </c>
      <c r="I120" s="1">
        <v>0.19</v>
      </c>
      <c r="J120">
        <v>0.24099999999999999</v>
      </c>
      <c r="K120">
        <v>1.1299999999999999</v>
      </c>
      <c r="L120">
        <v>0.28899999999999998</v>
      </c>
      <c r="M120" s="1">
        <v>0.71799999999999997</v>
      </c>
      <c r="N120">
        <v>93</v>
      </c>
      <c r="O120">
        <v>93</v>
      </c>
      <c r="P120">
        <v>97</v>
      </c>
      <c r="Q120">
        <v>3.9</v>
      </c>
      <c r="R120">
        <v>3.9</v>
      </c>
      <c r="S120">
        <v>0</v>
      </c>
      <c r="T120">
        <v>4.3099999999999996</v>
      </c>
      <c r="U120">
        <v>4.1500000000000004</v>
      </c>
      <c r="V120">
        <v>5524</v>
      </c>
    </row>
    <row r="121" spans="1:22" x14ac:dyDescent="0.3">
      <c r="A121" t="s">
        <v>208</v>
      </c>
      <c r="B121" t="s">
        <v>26</v>
      </c>
      <c r="C121">
        <v>12.95</v>
      </c>
      <c r="D121">
        <v>3.7</v>
      </c>
      <c r="E121">
        <v>3.5</v>
      </c>
      <c r="F121">
        <v>1.48</v>
      </c>
      <c r="G121" s="1">
        <v>0.33500000000000002</v>
      </c>
      <c r="H121" s="1">
        <v>9.6000000000000002E-2</v>
      </c>
      <c r="I121" s="1">
        <v>0.24</v>
      </c>
      <c r="J121">
        <v>0.223</v>
      </c>
      <c r="K121">
        <v>1.26</v>
      </c>
      <c r="L121">
        <v>0.311</v>
      </c>
      <c r="M121" s="1">
        <v>0.73599999999999999</v>
      </c>
      <c r="N121">
        <v>95</v>
      </c>
      <c r="O121">
        <v>89</v>
      </c>
      <c r="P121">
        <v>77</v>
      </c>
      <c r="Q121">
        <v>4.07</v>
      </c>
      <c r="R121">
        <v>3.91</v>
      </c>
      <c r="S121">
        <v>0.16</v>
      </c>
      <c r="T121">
        <v>3.44</v>
      </c>
      <c r="U121">
        <v>3.61</v>
      </c>
      <c r="V121">
        <v>17186</v>
      </c>
    </row>
    <row r="122" spans="1:22" x14ac:dyDescent="0.3">
      <c r="A122" t="s">
        <v>217</v>
      </c>
      <c r="B122" t="s">
        <v>89</v>
      </c>
      <c r="C122">
        <v>11.96</v>
      </c>
      <c r="D122">
        <v>2.82</v>
      </c>
      <c r="E122">
        <v>4.24</v>
      </c>
      <c r="F122">
        <v>1.61</v>
      </c>
      <c r="G122" s="1">
        <v>0.31900000000000001</v>
      </c>
      <c r="H122" s="1">
        <v>7.4999999999999997E-2</v>
      </c>
      <c r="I122" s="1">
        <v>0.24399999999999999</v>
      </c>
      <c r="J122">
        <v>0.23799999999999999</v>
      </c>
      <c r="K122">
        <v>1.22</v>
      </c>
      <c r="L122">
        <v>0.316</v>
      </c>
      <c r="M122" s="1">
        <v>0.78900000000000003</v>
      </c>
      <c r="N122">
        <v>93</v>
      </c>
      <c r="O122">
        <v>86</v>
      </c>
      <c r="P122">
        <v>84</v>
      </c>
      <c r="Q122">
        <v>4.16</v>
      </c>
      <c r="R122">
        <v>3.92</v>
      </c>
      <c r="S122">
        <v>0.25</v>
      </c>
      <c r="T122">
        <v>3.72</v>
      </c>
      <c r="U122">
        <v>3.22</v>
      </c>
      <c r="V122">
        <v>17130</v>
      </c>
    </row>
    <row r="123" spans="1:22" x14ac:dyDescent="0.3">
      <c r="A123" t="s">
        <v>201</v>
      </c>
      <c r="B123" t="s">
        <v>53</v>
      </c>
      <c r="C123">
        <v>9.9</v>
      </c>
      <c r="D123">
        <v>2.99</v>
      </c>
      <c r="E123">
        <v>3.31</v>
      </c>
      <c r="F123">
        <v>1.29</v>
      </c>
      <c r="G123" s="1">
        <v>0.27100000000000002</v>
      </c>
      <c r="H123" s="1">
        <v>8.2000000000000003E-2</v>
      </c>
      <c r="I123" s="1">
        <v>0.189</v>
      </c>
      <c r="J123">
        <v>0.2</v>
      </c>
      <c r="K123">
        <v>1.07</v>
      </c>
      <c r="L123">
        <v>0.24299999999999999</v>
      </c>
      <c r="M123" s="1">
        <v>0.71599999999999997</v>
      </c>
      <c r="N123">
        <v>96</v>
      </c>
      <c r="O123">
        <v>91</v>
      </c>
      <c r="P123">
        <v>91</v>
      </c>
      <c r="Q123">
        <v>4.04</v>
      </c>
      <c r="R123">
        <v>3.95</v>
      </c>
      <c r="S123">
        <v>0.09</v>
      </c>
      <c r="T123">
        <v>4.04</v>
      </c>
      <c r="U123">
        <v>4.0599999999999996</v>
      </c>
      <c r="V123">
        <v>18498</v>
      </c>
    </row>
    <row r="124" spans="1:22" x14ac:dyDescent="0.3">
      <c r="A124" t="s">
        <v>120</v>
      </c>
      <c r="B124" t="s">
        <v>26</v>
      </c>
      <c r="C124">
        <v>9.7899999999999991</v>
      </c>
      <c r="D124">
        <v>1.98</v>
      </c>
      <c r="E124">
        <v>4.9400000000000004</v>
      </c>
      <c r="F124">
        <v>1.47</v>
      </c>
      <c r="G124" s="1">
        <v>0.26900000000000002</v>
      </c>
      <c r="H124" s="1">
        <v>5.5E-2</v>
      </c>
      <c r="I124" s="1">
        <v>0.215</v>
      </c>
      <c r="J124">
        <v>0.20200000000000001</v>
      </c>
      <c r="K124">
        <v>0.98</v>
      </c>
      <c r="L124">
        <v>0.23699999999999999</v>
      </c>
      <c r="M124" s="1">
        <v>0.76900000000000002</v>
      </c>
      <c r="N124">
        <v>78</v>
      </c>
      <c r="O124">
        <v>90</v>
      </c>
      <c r="P124">
        <v>91</v>
      </c>
      <c r="Q124">
        <v>3.33</v>
      </c>
      <c r="R124">
        <v>3.95</v>
      </c>
      <c r="S124">
        <v>-0.63</v>
      </c>
      <c r="T124">
        <v>4.05</v>
      </c>
      <c r="U124">
        <v>3.83</v>
      </c>
      <c r="V124">
        <v>20099</v>
      </c>
    </row>
    <row r="125" spans="1:22" x14ac:dyDescent="0.3">
      <c r="A125" t="s">
        <v>250</v>
      </c>
      <c r="B125" t="s">
        <v>127</v>
      </c>
      <c r="C125">
        <v>5.67</v>
      </c>
      <c r="D125">
        <v>3.13</v>
      </c>
      <c r="E125">
        <v>1.81</v>
      </c>
      <c r="F125">
        <v>0.6</v>
      </c>
      <c r="G125" s="1">
        <v>0.14199999999999999</v>
      </c>
      <c r="H125" s="1">
        <v>7.8E-2</v>
      </c>
      <c r="I125" s="1">
        <v>6.3E-2</v>
      </c>
      <c r="J125">
        <v>0.27800000000000002</v>
      </c>
      <c r="K125">
        <v>1.48</v>
      </c>
      <c r="L125">
        <v>0.315</v>
      </c>
      <c r="M125" s="1">
        <v>0.70299999999999996</v>
      </c>
      <c r="N125">
        <v>95</v>
      </c>
      <c r="O125">
        <v>88</v>
      </c>
      <c r="P125">
        <v>99</v>
      </c>
      <c r="Q125">
        <v>4.4800000000000004</v>
      </c>
      <c r="R125">
        <v>3.96</v>
      </c>
      <c r="S125">
        <v>0.52</v>
      </c>
      <c r="T125">
        <v>4.55</v>
      </c>
      <c r="U125">
        <v>4.53</v>
      </c>
      <c r="V125">
        <v>15240</v>
      </c>
    </row>
    <row r="126" spans="1:22" x14ac:dyDescent="0.3">
      <c r="A126" t="s">
        <v>313</v>
      </c>
      <c r="B126" t="s">
        <v>71</v>
      </c>
      <c r="C126">
        <v>7.96</v>
      </c>
      <c r="D126">
        <v>2.94</v>
      </c>
      <c r="E126">
        <v>2.71</v>
      </c>
      <c r="F126">
        <v>0.87</v>
      </c>
      <c r="G126" s="1">
        <v>0.20399999999999999</v>
      </c>
      <c r="H126" s="1">
        <v>7.5999999999999998E-2</v>
      </c>
      <c r="I126" s="1">
        <v>0.129</v>
      </c>
      <c r="J126">
        <v>0.26600000000000001</v>
      </c>
      <c r="K126">
        <v>1.37</v>
      </c>
      <c r="L126">
        <v>0.32200000000000001</v>
      </c>
      <c r="M126" s="1">
        <v>0.63800000000000001</v>
      </c>
      <c r="N126">
        <v>113</v>
      </c>
      <c r="O126">
        <v>89</v>
      </c>
      <c r="P126">
        <v>99</v>
      </c>
      <c r="Q126">
        <v>5.0199999999999996</v>
      </c>
      <c r="R126">
        <v>3.96</v>
      </c>
      <c r="S126">
        <v>1.06</v>
      </c>
      <c r="T126">
        <v>4.4000000000000004</v>
      </c>
      <c r="U126">
        <v>4.21</v>
      </c>
      <c r="V126">
        <v>9490</v>
      </c>
    </row>
    <row r="127" spans="1:22" x14ac:dyDescent="0.3">
      <c r="A127" t="s">
        <v>60</v>
      </c>
      <c r="B127" t="s">
        <v>48</v>
      </c>
      <c r="C127">
        <v>8.75</v>
      </c>
      <c r="D127">
        <v>3.33</v>
      </c>
      <c r="E127">
        <v>2.63</v>
      </c>
      <c r="F127">
        <v>0.99</v>
      </c>
      <c r="G127" s="1">
        <v>0.23400000000000001</v>
      </c>
      <c r="H127" s="1">
        <v>8.8999999999999996E-2</v>
      </c>
      <c r="I127" s="1">
        <v>0.14499999999999999</v>
      </c>
      <c r="J127">
        <v>0.20499999999999999</v>
      </c>
      <c r="K127">
        <v>1.1399999999999999</v>
      </c>
      <c r="L127">
        <v>0.247</v>
      </c>
      <c r="M127" s="1">
        <v>0.81799999999999995</v>
      </c>
      <c r="N127">
        <v>54</v>
      </c>
      <c r="O127">
        <v>86</v>
      </c>
      <c r="P127">
        <v>112</v>
      </c>
      <c r="Q127">
        <v>2.4700000000000002</v>
      </c>
      <c r="R127">
        <v>3.97</v>
      </c>
      <c r="S127">
        <v>-1.5</v>
      </c>
      <c r="T127">
        <v>5.08</v>
      </c>
      <c r="U127">
        <v>4.3099999999999996</v>
      </c>
      <c r="V127">
        <v>7146</v>
      </c>
    </row>
    <row r="128" spans="1:22" x14ac:dyDescent="0.3">
      <c r="A128" t="s">
        <v>356</v>
      </c>
      <c r="B128" t="s">
        <v>48</v>
      </c>
      <c r="C128">
        <v>10.029999999999999</v>
      </c>
      <c r="D128">
        <v>2.81</v>
      </c>
      <c r="E128">
        <v>3.56</v>
      </c>
      <c r="F128">
        <v>1.32</v>
      </c>
      <c r="G128" s="1">
        <v>0.253</v>
      </c>
      <c r="H128" s="1">
        <v>7.0999999999999994E-2</v>
      </c>
      <c r="I128" s="1">
        <v>0.182</v>
      </c>
      <c r="J128">
        <v>0.27300000000000002</v>
      </c>
      <c r="K128">
        <v>1.42</v>
      </c>
      <c r="L128">
        <v>0.34399999999999997</v>
      </c>
      <c r="M128" s="1">
        <v>0.61199999999999999</v>
      </c>
      <c r="N128">
        <v>129</v>
      </c>
      <c r="O128">
        <v>90</v>
      </c>
      <c r="P128">
        <v>91</v>
      </c>
      <c r="Q128">
        <v>5.72</v>
      </c>
      <c r="R128">
        <v>3.98</v>
      </c>
      <c r="S128">
        <v>1.74</v>
      </c>
      <c r="T128">
        <v>4.05</v>
      </c>
      <c r="U128">
        <v>4.0999999999999996</v>
      </c>
      <c r="V128">
        <v>14107</v>
      </c>
    </row>
    <row r="129" spans="1:22" x14ac:dyDescent="0.3">
      <c r="A129" t="s">
        <v>280</v>
      </c>
      <c r="B129" t="s">
        <v>28</v>
      </c>
      <c r="C129">
        <v>14.67</v>
      </c>
      <c r="D129">
        <v>5.14</v>
      </c>
      <c r="E129">
        <v>2.86</v>
      </c>
      <c r="F129">
        <v>1.47</v>
      </c>
      <c r="G129" s="1">
        <v>0.376</v>
      </c>
      <c r="H129" s="1">
        <v>0.13200000000000001</v>
      </c>
      <c r="I129" s="1">
        <v>0.24399999999999999</v>
      </c>
      <c r="J129">
        <v>0.20300000000000001</v>
      </c>
      <c r="K129">
        <v>1.32</v>
      </c>
      <c r="L129">
        <v>0.308</v>
      </c>
      <c r="M129" s="1">
        <v>0.71799999999999997</v>
      </c>
      <c r="N129">
        <v>105</v>
      </c>
      <c r="O129">
        <v>88</v>
      </c>
      <c r="P129">
        <v>83</v>
      </c>
      <c r="Q129">
        <v>4.7</v>
      </c>
      <c r="R129">
        <v>3.98</v>
      </c>
      <c r="S129">
        <v>0.72</v>
      </c>
      <c r="T129">
        <v>3.77</v>
      </c>
      <c r="U129">
        <v>3.33</v>
      </c>
      <c r="V129">
        <v>16794</v>
      </c>
    </row>
    <row r="130" spans="1:22" x14ac:dyDescent="0.3">
      <c r="A130" t="s">
        <v>270</v>
      </c>
      <c r="B130" t="s">
        <v>159</v>
      </c>
      <c r="C130">
        <v>8.86</v>
      </c>
      <c r="D130">
        <v>3.58</v>
      </c>
      <c r="E130">
        <v>2.4700000000000002</v>
      </c>
      <c r="F130">
        <v>0.85</v>
      </c>
      <c r="G130" s="1">
        <v>0.223</v>
      </c>
      <c r="H130" s="1">
        <v>0.09</v>
      </c>
      <c r="I130" s="1">
        <v>0.13300000000000001</v>
      </c>
      <c r="J130">
        <v>0.26500000000000001</v>
      </c>
      <c r="K130">
        <v>1.44</v>
      </c>
      <c r="L130">
        <v>0.33300000000000002</v>
      </c>
      <c r="M130" s="1">
        <v>0.68300000000000005</v>
      </c>
      <c r="N130">
        <v>99</v>
      </c>
      <c r="O130">
        <v>86</v>
      </c>
      <c r="P130">
        <v>101</v>
      </c>
      <c r="Q130">
        <v>4.6100000000000003</v>
      </c>
      <c r="R130">
        <v>3.99</v>
      </c>
      <c r="S130">
        <v>0.62</v>
      </c>
      <c r="T130">
        <v>4.63</v>
      </c>
      <c r="U130">
        <v>4.62</v>
      </c>
      <c r="V130">
        <v>16207</v>
      </c>
    </row>
    <row r="131" spans="1:22" x14ac:dyDescent="0.3">
      <c r="A131" t="s">
        <v>197</v>
      </c>
      <c r="B131" t="s">
        <v>66</v>
      </c>
      <c r="C131">
        <v>8.6300000000000008</v>
      </c>
      <c r="D131">
        <v>1.73</v>
      </c>
      <c r="E131">
        <v>5</v>
      </c>
      <c r="F131">
        <v>1.42</v>
      </c>
      <c r="G131" s="1">
        <v>0.23300000000000001</v>
      </c>
      <c r="H131" s="1">
        <v>4.7E-2</v>
      </c>
      <c r="I131" s="1">
        <v>0.187</v>
      </c>
      <c r="J131">
        <v>0.249</v>
      </c>
      <c r="K131">
        <v>1.1599999999999999</v>
      </c>
      <c r="L131">
        <v>0.29199999999999998</v>
      </c>
      <c r="M131" s="1">
        <v>0.748</v>
      </c>
      <c r="N131">
        <v>86</v>
      </c>
      <c r="O131">
        <v>87</v>
      </c>
      <c r="P131">
        <v>94</v>
      </c>
      <c r="Q131">
        <v>4.01</v>
      </c>
      <c r="R131">
        <v>4.0199999999999996</v>
      </c>
      <c r="S131">
        <v>-0.02</v>
      </c>
      <c r="T131">
        <v>4.3</v>
      </c>
      <c r="U131">
        <v>4.18</v>
      </c>
      <c r="V131">
        <v>5372</v>
      </c>
    </row>
    <row r="132" spans="1:22" x14ac:dyDescent="0.3">
      <c r="A132" t="s">
        <v>180</v>
      </c>
      <c r="B132" t="s">
        <v>95</v>
      </c>
      <c r="C132">
        <v>10.19</v>
      </c>
      <c r="D132">
        <v>3.56</v>
      </c>
      <c r="E132">
        <v>2.86</v>
      </c>
      <c r="F132">
        <v>1.2</v>
      </c>
      <c r="G132" s="1">
        <v>0.26900000000000002</v>
      </c>
      <c r="H132" s="1">
        <v>9.4E-2</v>
      </c>
      <c r="I132" s="1">
        <v>0.17499999999999999</v>
      </c>
      <c r="J132">
        <v>0.23100000000000001</v>
      </c>
      <c r="K132">
        <v>1.27</v>
      </c>
      <c r="L132">
        <v>0.29499999999999998</v>
      </c>
      <c r="M132" s="1">
        <v>0.76800000000000002</v>
      </c>
      <c r="N132">
        <v>88</v>
      </c>
      <c r="O132">
        <v>89</v>
      </c>
      <c r="P132">
        <v>86</v>
      </c>
      <c r="Q132">
        <v>3.87</v>
      </c>
      <c r="R132">
        <v>4.03</v>
      </c>
      <c r="S132">
        <v>-0.16</v>
      </c>
      <c r="T132">
        <v>3.82</v>
      </c>
      <c r="U132">
        <v>4.1399999999999997</v>
      </c>
      <c r="V132">
        <v>16149</v>
      </c>
    </row>
    <row r="133" spans="1:22" x14ac:dyDescent="0.3">
      <c r="A133" t="s">
        <v>134</v>
      </c>
      <c r="B133" t="s">
        <v>71</v>
      </c>
      <c r="C133">
        <v>8.0399999999999991</v>
      </c>
      <c r="D133">
        <v>3.81</v>
      </c>
      <c r="E133">
        <v>2.11</v>
      </c>
      <c r="F133">
        <v>0.93</v>
      </c>
      <c r="G133" s="1">
        <v>0.21299999999999999</v>
      </c>
      <c r="H133" s="1">
        <v>0.10100000000000001</v>
      </c>
      <c r="I133" s="1">
        <v>0.112</v>
      </c>
      <c r="J133">
        <v>0.23100000000000001</v>
      </c>
      <c r="K133">
        <v>1.29</v>
      </c>
      <c r="L133">
        <v>0.27700000000000002</v>
      </c>
      <c r="M133" s="1">
        <v>0.76700000000000002</v>
      </c>
      <c r="N133">
        <v>79</v>
      </c>
      <c r="O133">
        <v>90</v>
      </c>
      <c r="P133">
        <v>100</v>
      </c>
      <c r="Q133">
        <v>3.5</v>
      </c>
      <c r="R133">
        <v>4.04</v>
      </c>
      <c r="S133">
        <v>-0.53</v>
      </c>
      <c r="T133">
        <v>4.45</v>
      </c>
      <c r="U133">
        <v>4.88</v>
      </c>
      <c r="V133">
        <v>7448</v>
      </c>
    </row>
    <row r="134" spans="1:22" x14ac:dyDescent="0.3">
      <c r="A134" t="s">
        <v>287</v>
      </c>
      <c r="B134" t="s">
        <v>98</v>
      </c>
      <c r="C134">
        <v>10.36</v>
      </c>
      <c r="D134">
        <v>3.74</v>
      </c>
      <c r="E134">
        <v>2.77</v>
      </c>
      <c r="F134">
        <v>1.19</v>
      </c>
      <c r="G134" s="1">
        <v>0.26200000000000001</v>
      </c>
      <c r="H134" s="1">
        <v>9.4E-2</v>
      </c>
      <c r="I134" s="1">
        <v>0.16700000000000001</v>
      </c>
      <c r="J134">
        <v>0.245</v>
      </c>
      <c r="K134">
        <v>1.38</v>
      </c>
      <c r="L134">
        <v>0.314</v>
      </c>
      <c r="M134" s="1">
        <v>0.68</v>
      </c>
      <c r="N134">
        <v>108</v>
      </c>
      <c r="O134">
        <v>92</v>
      </c>
      <c r="P134">
        <v>96</v>
      </c>
      <c r="Q134">
        <v>4.75</v>
      </c>
      <c r="R134">
        <v>4.04</v>
      </c>
      <c r="S134">
        <v>0.71</v>
      </c>
      <c r="T134">
        <v>4.24</v>
      </c>
      <c r="U134">
        <v>3.95</v>
      </c>
      <c r="V134">
        <v>19756</v>
      </c>
    </row>
    <row r="135" spans="1:22" x14ac:dyDescent="0.3">
      <c r="A135" t="s">
        <v>289</v>
      </c>
      <c r="B135" t="s">
        <v>46</v>
      </c>
      <c r="C135">
        <v>9.0500000000000007</v>
      </c>
      <c r="D135">
        <v>1.81</v>
      </c>
      <c r="E135">
        <v>5</v>
      </c>
      <c r="F135">
        <v>1.5</v>
      </c>
      <c r="G135" s="1">
        <v>0.24299999999999999</v>
      </c>
      <c r="H135" s="1">
        <v>4.9000000000000002E-2</v>
      </c>
      <c r="I135" s="1">
        <v>0.19400000000000001</v>
      </c>
      <c r="J135">
        <v>0.25600000000000001</v>
      </c>
      <c r="K135">
        <v>1.2</v>
      </c>
      <c r="L135">
        <v>0.30399999999999999</v>
      </c>
      <c r="M135" s="1">
        <v>0.68100000000000005</v>
      </c>
      <c r="N135">
        <v>94</v>
      </c>
      <c r="O135">
        <v>86</v>
      </c>
      <c r="P135">
        <v>80</v>
      </c>
      <c r="Q135">
        <v>4.76</v>
      </c>
      <c r="R135">
        <v>4.0599999999999996</v>
      </c>
      <c r="S135">
        <v>0.7</v>
      </c>
      <c r="T135">
        <v>3.54</v>
      </c>
      <c r="U135">
        <v>3.85</v>
      </c>
      <c r="V135">
        <v>15038</v>
      </c>
    </row>
    <row r="136" spans="1:22" x14ac:dyDescent="0.3">
      <c r="A136" t="s">
        <v>177</v>
      </c>
      <c r="B136" t="s">
        <v>46</v>
      </c>
      <c r="C136">
        <v>9</v>
      </c>
      <c r="D136">
        <v>3.36</v>
      </c>
      <c r="E136">
        <v>2.68</v>
      </c>
      <c r="F136">
        <v>1.1399999999999999</v>
      </c>
      <c r="G136" s="1">
        <v>0.23499999999999999</v>
      </c>
      <c r="H136" s="1">
        <v>8.7999999999999995E-2</v>
      </c>
      <c r="I136" s="1">
        <v>0.14799999999999999</v>
      </c>
      <c r="J136">
        <v>0.255</v>
      </c>
      <c r="K136">
        <v>1.35</v>
      </c>
      <c r="L136">
        <v>0.314</v>
      </c>
      <c r="M136" s="1">
        <v>0.75900000000000001</v>
      </c>
      <c r="N136">
        <v>76</v>
      </c>
      <c r="O136">
        <v>86</v>
      </c>
      <c r="P136">
        <v>88</v>
      </c>
      <c r="Q136">
        <v>3.84</v>
      </c>
      <c r="R136">
        <v>4.0599999999999996</v>
      </c>
      <c r="S136">
        <v>-0.22</v>
      </c>
      <c r="T136">
        <v>3.89</v>
      </c>
      <c r="U136">
        <v>4.3499999999999996</v>
      </c>
      <c r="V136">
        <v>14916</v>
      </c>
    </row>
    <row r="137" spans="1:22" x14ac:dyDescent="0.3">
      <c r="A137" t="s">
        <v>84</v>
      </c>
      <c r="B137" t="s">
        <v>43</v>
      </c>
      <c r="C137">
        <v>8.11</v>
      </c>
      <c r="D137">
        <v>3.39</v>
      </c>
      <c r="E137">
        <v>2.39</v>
      </c>
      <c r="F137">
        <v>1.03</v>
      </c>
      <c r="G137" s="1">
        <v>0.221</v>
      </c>
      <c r="H137" s="1">
        <v>9.1999999999999998E-2</v>
      </c>
      <c r="I137" s="1">
        <v>0.129</v>
      </c>
      <c r="J137">
        <v>0.187</v>
      </c>
      <c r="K137">
        <v>1.07</v>
      </c>
      <c r="L137">
        <v>0.215</v>
      </c>
      <c r="M137" s="1">
        <v>0.67600000000000005</v>
      </c>
      <c r="N137">
        <v>62</v>
      </c>
      <c r="O137">
        <v>88</v>
      </c>
      <c r="P137">
        <v>101</v>
      </c>
      <c r="Q137">
        <v>2.8</v>
      </c>
      <c r="R137">
        <v>4.08</v>
      </c>
      <c r="S137">
        <v>-1.28</v>
      </c>
      <c r="T137">
        <v>4.6100000000000003</v>
      </c>
      <c r="U137">
        <v>4.38</v>
      </c>
      <c r="V137">
        <v>6661</v>
      </c>
    </row>
    <row r="138" spans="1:22" x14ac:dyDescent="0.3">
      <c r="A138" t="s">
        <v>282</v>
      </c>
      <c r="B138" t="s">
        <v>32</v>
      </c>
      <c r="C138">
        <v>12.54</v>
      </c>
      <c r="D138">
        <v>3.31</v>
      </c>
      <c r="E138">
        <v>3.79</v>
      </c>
      <c r="F138">
        <v>1.57</v>
      </c>
      <c r="G138" s="1">
        <v>0.34799999999999998</v>
      </c>
      <c r="H138" s="1">
        <v>9.1999999999999998E-2</v>
      </c>
      <c r="I138" s="1">
        <v>0.25600000000000001</v>
      </c>
      <c r="J138">
        <v>0.18</v>
      </c>
      <c r="K138">
        <v>1.01</v>
      </c>
      <c r="L138">
        <v>0.23499999999999999</v>
      </c>
      <c r="M138" s="1">
        <v>0.67600000000000005</v>
      </c>
      <c r="N138">
        <v>106</v>
      </c>
      <c r="O138">
        <v>93</v>
      </c>
      <c r="P138">
        <v>97</v>
      </c>
      <c r="Q138">
        <v>4.7</v>
      </c>
      <c r="R138">
        <v>4.08</v>
      </c>
      <c r="S138">
        <v>0.62</v>
      </c>
      <c r="T138">
        <v>4.4400000000000004</v>
      </c>
      <c r="U138">
        <v>3.36</v>
      </c>
      <c r="V138">
        <v>19403</v>
      </c>
    </row>
    <row r="139" spans="1:22" x14ac:dyDescent="0.3">
      <c r="A139" t="s">
        <v>171</v>
      </c>
      <c r="B139" t="s">
        <v>77</v>
      </c>
      <c r="C139">
        <v>9.08</v>
      </c>
      <c r="D139">
        <v>3.56</v>
      </c>
      <c r="E139">
        <v>2.5499999999999998</v>
      </c>
      <c r="F139">
        <v>1.08</v>
      </c>
      <c r="G139" s="1">
        <v>0.23200000000000001</v>
      </c>
      <c r="H139" s="1">
        <v>9.0999999999999998E-2</v>
      </c>
      <c r="I139" s="1">
        <v>0.14099999999999999</v>
      </c>
      <c r="J139">
        <v>0.255</v>
      </c>
      <c r="K139">
        <v>1.39</v>
      </c>
      <c r="L139">
        <v>0.315</v>
      </c>
      <c r="M139" s="1">
        <v>0.77700000000000002</v>
      </c>
      <c r="N139">
        <v>87</v>
      </c>
      <c r="O139">
        <v>92</v>
      </c>
      <c r="P139">
        <v>99</v>
      </c>
      <c r="Q139">
        <v>3.81</v>
      </c>
      <c r="R139">
        <v>4.09</v>
      </c>
      <c r="S139">
        <v>-0.28000000000000003</v>
      </c>
      <c r="T139">
        <v>4.38</v>
      </c>
      <c r="U139">
        <v>4.55</v>
      </c>
      <c r="V139">
        <v>4972</v>
      </c>
    </row>
    <row r="140" spans="1:22" x14ac:dyDescent="0.3">
      <c r="A140" t="s">
        <v>59</v>
      </c>
      <c r="B140" t="s">
        <v>53</v>
      </c>
      <c r="C140">
        <v>11.05</v>
      </c>
      <c r="D140">
        <v>2.76</v>
      </c>
      <c r="E140">
        <v>4</v>
      </c>
      <c r="F140">
        <v>1.53</v>
      </c>
      <c r="G140" s="1">
        <v>0.29799999999999999</v>
      </c>
      <c r="H140" s="1">
        <v>7.3999999999999996E-2</v>
      </c>
      <c r="I140" s="1">
        <v>0.223</v>
      </c>
      <c r="J140">
        <v>0.218</v>
      </c>
      <c r="K140">
        <v>1.1299999999999999</v>
      </c>
      <c r="L140">
        <v>0.27500000000000002</v>
      </c>
      <c r="M140" s="1">
        <v>0.89300000000000002</v>
      </c>
      <c r="N140">
        <v>58</v>
      </c>
      <c r="O140">
        <v>94</v>
      </c>
      <c r="P140">
        <v>77</v>
      </c>
      <c r="Q140">
        <v>2.4500000000000002</v>
      </c>
      <c r="R140">
        <v>4.0999999999999996</v>
      </c>
      <c r="S140">
        <v>-1.65</v>
      </c>
      <c r="T140">
        <v>3.41</v>
      </c>
      <c r="U140">
        <v>3.64</v>
      </c>
      <c r="V140">
        <v>4806</v>
      </c>
    </row>
    <row r="141" spans="1:22" x14ac:dyDescent="0.3">
      <c r="A141" t="s">
        <v>265</v>
      </c>
      <c r="B141" t="s">
        <v>48</v>
      </c>
      <c r="C141">
        <v>8.2100000000000009</v>
      </c>
      <c r="D141">
        <v>2.92</v>
      </c>
      <c r="E141">
        <v>2.81</v>
      </c>
      <c r="F141">
        <v>1.1599999999999999</v>
      </c>
      <c r="G141" s="1">
        <v>0.214</v>
      </c>
      <c r="H141" s="1">
        <v>7.5999999999999998E-2</v>
      </c>
      <c r="I141" s="1">
        <v>0.13800000000000001</v>
      </c>
      <c r="J141">
        <v>0.254</v>
      </c>
      <c r="K141">
        <v>1.32</v>
      </c>
      <c r="L141">
        <v>0.30099999999999999</v>
      </c>
      <c r="M141" s="1">
        <v>0.71199999999999997</v>
      </c>
      <c r="N141">
        <v>99</v>
      </c>
      <c r="O141">
        <v>92</v>
      </c>
      <c r="P141">
        <v>97</v>
      </c>
      <c r="Q141">
        <v>4.57</v>
      </c>
      <c r="R141">
        <v>4.1100000000000003</v>
      </c>
      <c r="S141">
        <v>0.47</v>
      </c>
      <c r="T141">
        <v>4.43</v>
      </c>
      <c r="U141">
        <v>4.5999999999999996</v>
      </c>
      <c r="V141">
        <v>8362</v>
      </c>
    </row>
    <row r="142" spans="1:22" x14ac:dyDescent="0.3">
      <c r="A142" t="s">
        <v>115</v>
      </c>
      <c r="B142" t="s">
        <v>26</v>
      </c>
      <c r="C142">
        <v>8.01</v>
      </c>
      <c r="D142">
        <v>1.65</v>
      </c>
      <c r="E142">
        <v>4.87</v>
      </c>
      <c r="F142">
        <v>1.43</v>
      </c>
      <c r="G142" s="1">
        <v>0.215</v>
      </c>
      <c r="H142" s="1">
        <v>4.3999999999999997E-2</v>
      </c>
      <c r="I142" s="1">
        <v>0.17100000000000001</v>
      </c>
      <c r="J142">
        <v>0.248</v>
      </c>
      <c r="K142">
        <v>1.1599999999999999</v>
      </c>
      <c r="L142">
        <v>0.28399999999999997</v>
      </c>
      <c r="M142" s="1">
        <v>0.77400000000000002</v>
      </c>
      <c r="N142">
        <v>77</v>
      </c>
      <c r="O142">
        <v>94</v>
      </c>
      <c r="P142">
        <v>87</v>
      </c>
      <c r="Q142">
        <v>3.29</v>
      </c>
      <c r="R142">
        <v>4.12</v>
      </c>
      <c r="S142">
        <v>-0.82</v>
      </c>
      <c r="T142">
        <v>3.85</v>
      </c>
      <c r="U142">
        <v>3.69</v>
      </c>
      <c r="V142">
        <v>7274</v>
      </c>
    </row>
    <row r="143" spans="1:22" x14ac:dyDescent="0.3">
      <c r="A143" t="s">
        <v>277</v>
      </c>
      <c r="B143" t="s">
        <v>58</v>
      </c>
      <c r="C143">
        <v>8.48</v>
      </c>
      <c r="D143">
        <v>3.25</v>
      </c>
      <c r="E143">
        <v>2.61</v>
      </c>
      <c r="F143">
        <v>0.99</v>
      </c>
      <c r="G143" s="1">
        <v>0.217</v>
      </c>
      <c r="H143" s="1">
        <v>8.3000000000000004E-2</v>
      </c>
      <c r="I143" s="1">
        <v>0.13400000000000001</v>
      </c>
      <c r="J143">
        <v>0.25800000000000001</v>
      </c>
      <c r="K143">
        <v>1.37</v>
      </c>
      <c r="L143">
        <v>0.315</v>
      </c>
      <c r="M143" s="1">
        <v>0.68500000000000005</v>
      </c>
      <c r="N143">
        <v>113</v>
      </c>
      <c r="O143">
        <v>95</v>
      </c>
      <c r="P143">
        <v>105</v>
      </c>
      <c r="Q143">
        <v>4.66</v>
      </c>
      <c r="R143">
        <v>4.13</v>
      </c>
      <c r="S143">
        <v>0.54</v>
      </c>
      <c r="T143">
        <v>4.66</v>
      </c>
      <c r="U143">
        <v>4.29</v>
      </c>
      <c r="V143">
        <v>13696</v>
      </c>
    </row>
    <row r="144" spans="1:22" x14ac:dyDescent="0.3">
      <c r="A144" t="s">
        <v>161</v>
      </c>
      <c r="B144" t="s">
        <v>46</v>
      </c>
      <c r="C144">
        <v>10.130000000000001</v>
      </c>
      <c r="D144">
        <v>2.88</v>
      </c>
      <c r="E144">
        <v>3.52</v>
      </c>
      <c r="F144">
        <v>1.5</v>
      </c>
      <c r="G144" s="1">
        <v>0.26300000000000001</v>
      </c>
      <c r="H144" s="1">
        <v>7.4999999999999997E-2</v>
      </c>
      <c r="I144" s="1">
        <v>0.188</v>
      </c>
      <c r="J144">
        <v>0.246</v>
      </c>
      <c r="K144">
        <v>1.29</v>
      </c>
      <c r="L144">
        <v>0.30399999999999999</v>
      </c>
      <c r="M144" s="1">
        <v>0.77700000000000002</v>
      </c>
      <c r="N144">
        <v>74</v>
      </c>
      <c r="O144">
        <v>88</v>
      </c>
      <c r="P144">
        <v>97</v>
      </c>
      <c r="Q144">
        <v>3.75</v>
      </c>
      <c r="R144">
        <v>4.13</v>
      </c>
      <c r="S144">
        <v>-0.38</v>
      </c>
      <c r="T144">
        <v>4.3099999999999996</v>
      </c>
      <c r="U144">
        <v>3.76</v>
      </c>
      <c r="V144">
        <v>14542</v>
      </c>
    </row>
    <row r="145" spans="1:22" x14ac:dyDescent="0.3">
      <c r="A145" t="s">
        <v>108</v>
      </c>
      <c r="B145" t="s">
        <v>89</v>
      </c>
      <c r="C145">
        <v>12.54</v>
      </c>
      <c r="D145">
        <v>5.63</v>
      </c>
      <c r="E145">
        <v>2.23</v>
      </c>
      <c r="F145">
        <v>1.1299999999999999</v>
      </c>
      <c r="G145" s="1">
        <v>0.317</v>
      </c>
      <c r="H145" s="1">
        <v>0.14199999999999999</v>
      </c>
      <c r="I145" s="1">
        <v>0.17499999999999999</v>
      </c>
      <c r="J145">
        <v>0.21299999999999999</v>
      </c>
      <c r="K145">
        <v>1.41</v>
      </c>
      <c r="L145">
        <v>0.30299999999999999</v>
      </c>
      <c r="M145" s="1">
        <v>0.83299999999999996</v>
      </c>
      <c r="N145">
        <v>72</v>
      </c>
      <c r="O145">
        <v>91</v>
      </c>
      <c r="P145">
        <v>85</v>
      </c>
      <c r="Q145">
        <v>3.21</v>
      </c>
      <c r="R145">
        <v>4.1399999999999997</v>
      </c>
      <c r="S145">
        <v>-0.93</v>
      </c>
      <c r="T145">
        <v>3.8</v>
      </c>
      <c r="U145">
        <v>3.95</v>
      </c>
      <c r="V145">
        <v>14375</v>
      </c>
    </row>
    <row r="146" spans="1:22" x14ac:dyDescent="0.3">
      <c r="A146" t="s">
        <v>302</v>
      </c>
      <c r="B146" t="s">
        <v>159</v>
      </c>
      <c r="C146">
        <v>7.88</v>
      </c>
      <c r="D146">
        <v>1.17</v>
      </c>
      <c r="E146">
        <v>6.71</v>
      </c>
      <c r="F146">
        <v>1.51</v>
      </c>
      <c r="G146" s="1">
        <v>0.2</v>
      </c>
      <c r="H146" s="1">
        <v>0.03</v>
      </c>
      <c r="I146" s="1">
        <v>0.17</v>
      </c>
      <c r="J146">
        <v>0.30099999999999999</v>
      </c>
      <c r="K146">
        <v>1.4</v>
      </c>
      <c r="L146">
        <v>0.34699999999999998</v>
      </c>
      <c r="M146" s="1">
        <v>0.73</v>
      </c>
      <c r="N146">
        <v>104</v>
      </c>
      <c r="O146">
        <v>90</v>
      </c>
      <c r="P146">
        <v>98</v>
      </c>
      <c r="Q146">
        <v>4.8600000000000003</v>
      </c>
      <c r="R146">
        <v>4.1500000000000004</v>
      </c>
      <c r="S146">
        <v>0.72</v>
      </c>
      <c r="T146">
        <v>4.49</v>
      </c>
      <c r="U146">
        <v>4.3099999999999996</v>
      </c>
      <c r="V146">
        <v>17735</v>
      </c>
    </row>
    <row r="147" spans="1:22" x14ac:dyDescent="0.3">
      <c r="A147" t="s">
        <v>192</v>
      </c>
      <c r="B147" t="s">
        <v>193</v>
      </c>
      <c r="C147">
        <v>6.52</v>
      </c>
      <c r="D147">
        <v>2.48</v>
      </c>
      <c r="E147">
        <v>2.63</v>
      </c>
      <c r="F147">
        <v>1.02</v>
      </c>
      <c r="G147" s="1">
        <v>0.17</v>
      </c>
      <c r="H147" s="1">
        <v>6.5000000000000002E-2</v>
      </c>
      <c r="I147" s="1">
        <v>0.105</v>
      </c>
      <c r="J147">
        <v>0.26100000000000001</v>
      </c>
      <c r="K147">
        <v>1.31</v>
      </c>
      <c r="L147">
        <v>0.29499999999999998</v>
      </c>
      <c r="M147" s="1">
        <v>0.69199999999999995</v>
      </c>
      <c r="N147">
        <v>90</v>
      </c>
      <c r="O147">
        <v>93</v>
      </c>
      <c r="P147">
        <v>112</v>
      </c>
      <c r="Q147">
        <v>3.99</v>
      </c>
      <c r="R147">
        <v>4.1500000000000004</v>
      </c>
      <c r="S147">
        <v>-0.16</v>
      </c>
      <c r="T147">
        <v>5.1100000000000003</v>
      </c>
      <c r="U147">
        <v>5.08</v>
      </c>
      <c r="V147">
        <v>15467</v>
      </c>
    </row>
    <row r="148" spans="1:22" x14ac:dyDescent="0.3">
      <c r="A148" t="s">
        <v>85</v>
      </c>
      <c r="B148" t="s">
        <v>56</v>
      </c>
      <c r="C148">
        <v>9.36</v>
      </c>
      <c r="D148">
        <v>2.34</v>
      </c>
      <c r="E148">
        <v>4</v>
      </c>
      <c r="F148">
        <v>1.56</v>
      </c>
      <c r="G148" s="1">
        <v>0.26</v>
      </c>
      <c r="H148" s="1">
        <v>6.5000000000000002E-2</v>
      </c>
      <c r="I148" s="1">
        <v>0.19500000000000001</v>
      </c>
      <c r="J148">
        <v>0.218</v>
      </c>
      <c r="K148">
        <v>1.08</v>
      </c>
      <c r="L148">
        <v>0.253</v>
      </c>
      <c r="M148" s="1">
        <v>0.83299999999999996</v>
      </c>
      <c r="N148">
        <v>58</v>
      </c>
      <c r="O148">
        <v>91</v>
      </c>
      <c r="P148">
        <v>87</v>
      </c>
      <c r="Q148">
        <v>2.81</v>
      </c>
      <c r="R148">
        <v>4.17</v>
      </c>
      <c r="S148">
        <v>-1.36</v>
      </c>
      <c r="T148">
        <v>3.98</v>
      </c>
      <c r="U148">
        <v>3.67</v>
      </c>
      <c r="V148">
        <v>15594</v>
      </c>
    </row>
    <row r="149" spans="1:22" x14ac:dyDescent="0.3">
      <c r="A149" t="s">
        <v>220</v>
      </c>
      <c r="B149" t="s">
        <v>26</v>
      </c>
      <c r="C149">
        <v>8.69</v>
      </c>
      <c r="D149">
        <v>3.08</v>
      </c>
      <c r="E149">
        <v>2.82</v>
      </c>
      <c r="F149">
        <v>1.26</v>
      </c>
      <c r="G149" s="1">
        <v>0.23</v>
      </c>
      <c r="H149" s="1">
        <v>8.2000000000000003E-2</v>
      </c>
      <c r="I149" s="1">
        <v>0.14899999999999999</v>
      </c>
      <c r="J149">
        <v>0.22900000000000001</v>
      </c>
      <c r="K149">
        <v>1.22</v>
      </c>
      <c r="L149">
        <v>0.27100000000000002</v>
      </c>
      <c r="M149" s="1">
        <v>0.73</v>
      </c>
      <c r="N149">
        <v>98</v>
      </c>
      <c r="O149">
        <v>95</v>
      </c>
      <c r="P149">
        <v>98</v>
      </c>
      <c r="Q149">
        <v>4.18</v>
      </c>
      <c r="R149">
        <v>4.17</v>
      </c>
      <c r="S149">
        <v>0.01</v>
      </c>
      <c r="T149">
        <v>4.3600000000000003</v>
      </c>
      <c r="U149">
        <v>4.4800000000000004</v>
      </c>
      <c r="V149">
        <v>19320</v>
      </c>
    </row>
    <row r="150" spans="1:22" x14ac:dyDescent="0.3">
      <c r="A150" t="s">
        <v>189</v>
      </c>
      <c r="B150" t="s">
        <v>77</v>
      </c>
      <c r="C150">
        <v>11.54</v>
      </c>
      <c r="D150">
        <v>2.82</v>
      </c>
      <c r="E150">
        <v>4.09</v>
      </c>
      <c r="F150">
        <v>1.66</v>
      </c>
      <c r="G150" s="1">
        <v>0.313</v>
      </c>
      <c r="H150" s="1">
        <v>7.6999999999999999E-2</v>
      </c>
      <c r="I150" s="1">
        <v>0.23699999999999999</v>
      </c>
      <c r="J150">
        <v>0.21099999999999999</v>
      </c>
      <c r="K150">
        <v>1.1000000000000001</v>
      </c>
      <c r="L150">
        <v>0.26600000000000001</v>
      </c>
      <c r="M150" s="1">
        <v>0.77700000000000002</v>
      </c>
      <c r="N150">
        <v>91</v>
      </c>
      <c r="O150">
        <v>94</v>
      </c>
      <c r="P150">
        <v>76</v>
      </c>
      <c r="Q150">
        <v>3.98</v>
      </c>
      <c r="R150">
        <v>4.18</v>
      </c>
      <c r="S150">
        <v>-0.2</v>
      </c>
      <c r="T150">
        <v>3.39</v>
      </c>
      <c r="U150">
        <v>3.55</v>
      </c>
      <c r="V150">
        <v>13074</v>
      </c>
    </row>
    <row r="151" spans="1:22" x14ac:dyDescent="0.3">
      <c r="A151" t="s">
        <v>328</v>
      </c>
      <c r="B151" t="s">
        <v>71</v>
      </c>
      <c r="C151">
        <v>12.18</v>
      </c>
      <c r="D151">
        <v>3.92</v>
      </c>
      <c r="E151">
        <v>3.11</v>
      </c>
      <c r="F151">
        <v>1.59</v>
      </c>
      <c r="G151" s="1">
        <v>0.30099999999999999</v>
      </c>
      <c r="H151" s="1">
        <v>9.7000000000000003E-2</v>
      </c>
      <c r="I151" s="1">
        <v>0.20399999999999999</v>
      </c>
      <c r="J151">
        <v>0.254</v>
      </c>
      <c r="K151">
        <v>1.46</v>
      </c>
      <c r="L151">
        <v>0.33800000000000002</v>
      </c>
      <c r="M151" s="1">
        <v>0.64800000000000002</v>
      </c>
      <c r="N151">
        <v>119</v>
      </c>
      <c r="O151">
        <v>93</v>
      </c>
      <c r="P151">
        <v>94</v>
      </c>
      <c r="Q151">
        <v>5.29</v>
      </c>
      <c r="R151">
        <v>4.18</v>
      </c>
      <c r="S151">
        <v>1.1200000000000001</v>
      </c>
      <c r="T151">
        <v>4.1500000000000004</v>
      </c>
      <c r="U151">
        <v>3.8</v>
      </c>
      <c r="V151">
        <v>18679</v>
      </c>
    </row>
    <row r="152" spans="1:22" x14ac:dyDescent="0.3">
      <c r="A152" t="s">
        <v>332</v>
      </c>
      <c r="B152" t="s">
        <v>146</v>
      </c>
      <c r="C152">
        <v>4.88</v>
      </c>
      <c r="D152">
        <v>1.3</v>
      </c>
      <c r="E152">
        <v>3.75</v>
      </c>
      <c r="F152">
        <v>0.98</v>
      </c>
      <c r="G152" s="1">
        <v>0.128</v>
      </c>
      <c r="H152" s="1">
        <v>3.4000000000000002E-2</v>
      </c>
      <c r="I152" s="1">
        <v>9.4E-2</v>
      </c>
      <c r="J152">
        <v>0.29099999999999998</v>
      </c>
      <c r="K152">
        <v>1.32</v>
      </c>
      <c r="L152">
        <v>0.316</v>
      </c>
      <c r="M152" s="1">
        <v>0.627</v>
      </c>
      <c r="N152">
        <v>114</v>
      </c>
      <c r="O152">
        <v>88</v>
      </c>
      <c r="P152">
        <v>91</v>
      </c>
      <c r="Q152">
        <v>5.37</v>
      </c>
      <c r="R152">
        <v>4.1900000000000004</v>
      </c>
      <c r="S152">
        <v>1.18</v>
      </c>
      <c r="T152">
        <v>4.18</v>
      </c>
      <c r="U152">
        <v>3.98</v>
      </c>
      <c r="V152">
        <v>7803</v>
      </c>
    </row>
    <row r="153" spans="1:22" x14ac:dyDescent="0.3">
      <c r="A153" t="s">
        <v>122</v>
      </c>
      <c r="B153" t="s">
        <v>95</v>
      </c>
      <c r="C153">
        <v>7.78</v>
      </c>
      <c r="D153">
        <v>2.75</v>
      </c>
      <c r="E153">
        <v>2.83</v>
      </c>
      <c r="F153">
        <v>1.22</v>
      </c>
      <c r="G153" s="1">
        <v>0.2</v>
      </c>
      <c r="H153" s="1">
        <v>7.0999999999999994E-2</v>
      </c>
      <c r="I153" s="1">
        <v>0.129</v>
      </c>
      <c r="J153">
        <v>0.28000000000000003</v>
      </c>
      <c r="K153">
        <v>1.42</v>
      </c>
      <c r="L153">
        <v>0.32800000000000001</v>
      </c>
      <c r="M153" s="1">
        <v>0.81299999999999994</v>
      </c>
      <c r="N153">
        <v>76</v>
      </c>
      <c r="O153">
        <v>93</v>
      </c>
      <c r="P153">
        <v>93</v>
      </c>
      <c r="Q153">
        <v>3.36</v>
      </c>
      <c r="R153">
        <v>4.21</v>
      </c>
      <c r="S153">
        <v>-0.86</v>
      </c>
      <c r="T153">
        <v>4.1399999999999997</v>
      </c>
      <c r="U153">
        <v>4.17</v>
      </c>
      <c r="V153">
        <v>5358</v>
      </c>
    </row>
    <row r="154" spans="1:22" x14ac:dyDescent="0.3">
      <c r="A154" t="s">
        <v>347</v>
      </c>
      <c r="B154" t="s">
        <v>48</v>
      </c>
      <c r="C154">
        <v>11.05</v>
      </c>
      <c r="D154">
        <v>2.81</v>
      </c>
      <c r="E154">
        <v>3.94</v>
      </c>
      <c r="F154">
        <v>1.75</v>
      </c>
      <c r="G154" s="1">
        <v>0.28100000000000003</v>
      </c>
      <c r="H154" s="1">
        <v>7.0999999999999994E-2</v>
      </c>
      <c r="I154" s="1">
        <v>0.21</v>
      </c>
      <c r="J154">
        <v>0.26900000000000002</v>
      </c>
      <c r="K154">
        <v>1.4</v>
      </c>
      <c r="L154">
        <v>0.34100000000000003</v>
      </c>
      <c r="M154" s="1">
        <v>0.65500000000000003</v>
      </c>
      <c r="N154">
        <v>129</v>
      </c>
      <c r="O154">
        <v>95</v>
      </c>
      <c r="P154">
        <v>85</v>
      </c>
      <c r="Q154">
        <v>5.61</v>
      </c>
      <c r="R154">
        <v>4.2300000000000004</v>
      </c>
      <c r="S154">
        <v>1.38</v>
      </c>
      <c r="T154">
        <v>3.83</v>
      </c>
      <c r="U154">
        <v>3.59</v>
      </c>
      <c r="V154">
        <v>12804</v>
      </c>
    </row>
    <row r="155" spans="1:22" x14ac:dyDescent="0.3">
      <c r="A155" t="s">
        <v>246</v>
      </c>
      <c r="B155" t="s">
        <v>26</v>
      </c>
      <c r="C155">
        <v>8.3000000000000007</v>
      </c>
      <c r="D155">
        <v>3.07</v>
      </c>
      <c r="E155">
        <v>2.71</v>
      </c>
      <c r="F155">
        <v>1.2</v>
      </c>
      <c r="G155" s="1">
        <v>0.21199999999999999</v>
      </c>
      <c r="H155" s="1">
        <v>7.8E-2</v>
      </c>
      <c r="I155" s="1">
        <v>0.13400000000000001</v>
      </c>
      <c r="J155">
        <v>0.26600000000000001</v>
      </c>
      <c r="K155">
        <v>1.4</v>
      </c>
      <c r="L155">
        <v>0.316</v>
      </c>
      <c r="M155" s="1">
        <v>0.71</v>
      </c>
      <c r="N155">
        <v>104</v>
      </c>
      <c r="O155">
        <v>96</v>
      </c>
      <c r="P155">
        <v>108</v>
      </c>
      <c r="Q155">
        <v>4.45</v>
      </c>
      <c r="R155">
        <v>4.2300000000000004</v>
      </c>
      <c r="S155">
        <v>0.22</v>
      </c>
      <c r="T155">
        <v>4.7699999999999996</v>
      </c>
      <c r="U155">
        <v>4.72</v>
      </c>
      <c r="V155">
        <v>19316</v>
      </c>
    </row>
    <row r="156" spans="1:22" x14ac:dyDescent="0.3">
      <c r="A156" t="s">
        <v>106</v>
      </c>
      <c r="B156" t="s">
        <v>75</v>
      </c>
      <c r="C156">
        <v>8.56</v>
      </c>
      <c r="D156">
        <v>3.82</v>
      </c>
      <c r="E156">
        <v>2.2400000000000002</v>
      </c>
      <c r="F156">
        <v>1.05</v>
      </c>
      <c r="G156" s="1">
        <v>0.222</v>
      </c>
      <c r="H156" s="1">
        <v>9.9000000000000005E-2</v>
      </c>
      <c r="I156" s="1">
        <v>0.123</v>
      </c>
      <c r="J156">
        <v>0.23400000000000001</v>
      </c>
      <c r="K156">
        <v>1.32</v>
      </c>
      <c r="L156">
        <v>0.28199999999999997</v>
      </c>
      <c r="M156" s="1">
        <v>0.79500000000000004</v>
      </c>
      <c r="N156">
        <v>71</v>
      </c>
      <c r="O156">
        <v>97</v>
      </c>
      <c r="P156">
        <v>104</v>
      </c>
      <c r="Q156">
        <v>3.16</v>
      </c>
      <c r="R156">
        <v>4.24</v>
      </c>
      <c r="S156">
        <v>-1.08</v>
      </c>
      <c r="T156">
        <v>4.6100000000000003</v>
      </c>
      <c r="U156">
        <v>4.46</v>
      </c>
      <c r="V156">
        <v>16943</v>
      </c>
    </row>
    <row r="157" spans="1:22" x14ac:dyDescent="0.3">
      <c r="A157" t="s">
        <v>142</v>
      </c>
      <c r="B157" t="s">
        <v>143</v>
      </c>
      <c r="C157">
        <v>8.64</v>
      </c>
      <c r="D157">
        <v>2.94</v>
      </c>
      <c r="E157">
        <v>2.94</v>
      </c>
      <c r="F157">
        <v>1.3</v>
      </c>
      <c r="G157" s="1">
        <v>0.23200000000000001</v>
      </c>
      <c r="H157" s="1">
        <v>7.9000000000000001E-2</v>
      </c>
      <c r="I157" s="1">
        <v>0.153</v>
      </c>
      <c r="J157">
        <v>0.24099999999999999</v>
      </c>
      <c r="K157">
        <v>1.24</v>
      </c>
      <c r="L157">
        <v>0.28699999999999998</v>
      </c>
      <c r="M157" s="1">
        <v>0.80300000000000005</v>
      </c>
      <c r="N157">
        <v>71</v>
      </c>
      <c r="O157">
        <v>89</v>
      </c>
      <c r="P157">
        <v>100</v>
      </c>
      <c r="Q157">
        <v>3.59</v>
      </c>
      <c r="R157">
        <v>4.25</v>
      </c>
      <c r="S157">
        <v>-0.66</v>
      </c>
      <c r="T157">
        <v>4.5999999999999996</v>
      </c>
      <c r="U157">
        <v>4.51</v>
      </c>
      <c r="V157">
        <v>10021</v>
      </c>
    </row>
    <row r="158" spans="1:22" x14ac:dyDescent="0.3">
      <c r="A158" t="s">
        <v>202</v>
      </c>
      <c r="B158" t="s">
        <v>93</v>
      </c>
      <c r="C158">
        <v>9.9</v>
      </c>
      <c r="D158">
        <v>2.25</v>
      </c>
      <c r="E158">
        <v>4.4000000000000004</v>
      </c>
      <c r="F158">
        <v>1.65</v>
      </c>
      <c r="G158" s="1">
        <v>0.254</v>
      </c>
      <c r="H158" s="1">
        <v>5.8000000000000003E-2</v>
      </c>
      <c r="I158" s="1">
        <v>0.19600000000000001</v>
      </c>
      <c r="J158">
        <v>0.25900000000000001</v>
      </c>
      <c r="K158">
        <v>1.3</v>
      </c>
      <c r="L158">
        <v>0.313</v>
      </c>
      <c r="M158" s="1">
        <v>0.82</v>
      </c>
      <c r="N158">
        <v>90</v>
      </c>
      <c r="O158">
        <v>94</v>
      </c>
      <c r="P158">
        <v>115</v>
      </c>
      <c r="Q158">
        <v>4.05</v>
      </c>
      <c r="R158">
        <v>4.25</v>
      </c>
      <c r="S158">
        <v>-0.2</v>
      </c>
      <c r="T158">
        <v>5.08</v>
      </c>
      <c r="U158">
        <v>4.01</v>
      </c>
      <c r="V158">
        <v>1581</v>
      </c>
    </row>
    <row r="159" spans="1:22" x14ac:dyDescent="0.3">
      <c r="A159" t="s">
        <v>274</v>
      </c>
      <c r="B159" t="s">
        <v>48</v>
      </c>
      <c r="C159">
        <v>7.58</v>
      </c>
      <c r="D159">
        <v>2.2599999999999998</v>
      </c>
      <c r="E159">
        <v>3.35</v>
      </c>
      <c r="F159">
        <v>1.33</v>
      </c>
      <c r="G159" s="1">
        <v>0.19900000000000001</v>
      </c>
      <c r="H159" s="1">
        <v>5.8999999999999997E-2</v>
      </c>
      <c r="I159" s="1">
        <v>0.13900000000000001</v>
      </c>
      <c r="J159">
        <v>0.249</v>
      </c>
      <c r="K159">
        <v>1.24</v>
      </c>
      <c r="L159">
        <v>0.28199999999999997</v>
      </c>
      <c r="M159" s="1">
        <v>0.69</v>
      </c>
      <c r="N159">
        <v>103</v>
      </c>
      <c r="O159">
        <v>94</v>
      </c>
      <c r="P159">
        <v>117</v>
      </c>
      <c r="Q159">
        <v>4.66</v>
      </c>
      <c r="R159">
        <v>4.25</v>
      </c>
      <c r="S159">
        <v>0.41</v>
      </c>
      <c r="T159">
        <v>5.21</v>
      </c>
      <c r="U159">
        <v>4.46</v>
      </c>
      <c r="V159">
        <v>7407</v>
      </c>
    </row>
    <row r="160" spans="1:22" x14ac:dyDescent="0.3">
      <c r="A160" t="s">
        <v>248</v>
      </c>
      <c r="B160" t="s">
        <v>77</v>
      </c>
      <c r="C160">
        <v>8.65</v>
      </c>
      <c r="D160">
        <v>2.73</v>
      </c>
      <c r="E160">
        <v>3.17</v>
      </c>
      <c r="F160">
        <v>1.36</v>
      </c>
      <c r="G160" s="1">
        <v>0.216</v>
      </c>
      <c r="H160" s="1">
        <v>6.8000000000000005E-2</v>
      </c>
      <c r="I160" s="1">
        <v>0.14799999999999999</v>
      </c>
      <c r="J160">
        <v>0.28999999999999998</v>
      </c>
      <c r="K160">
        <v>1.5</v>
      </c>
      <c r="L160">
        <v>0.34699999999999998</v>
      </c>
      <c r="M160" s="1">
        <v>0.71399999999999997</v>
      </c>
      <c r="N160">
        <v>102</v>
      </c>
      <c r="O160">
        <v>96</v>
      </c>
      <c r="P160">
        <v>98</v>
      </c>
      <c r="Q160">
        <v>4.46</v>
      </c>
      <c r="R160">
        <v>4.26</v>
      </c>
      <c r="S160">
        <v>0.2</v>
      </c>
      <c r="T160">
        <v>4.3499999999999996</v>
      </c>
      <c r="U160">
        <v>4.49</v>
      </c>
      <c r="V160">
        <v>4930</v>
      </c>
    </row>
    <row r="161" spans="1:22" x14ac:dyDescent="0.3">
      <c r="A161" t="s">
        <v>206</v>
      </c>
      <c r="B161" t="s">
        <v>48</v>
      </c>
      <c r="C161">
        <v>7.64</v>
      </c>
      <c r="D161">
        <v>4.07</v>
      </c>
      <c r="E161">
        <v>1.88</v>
      </c>
      <c r="F161">
        <v>0.81</v>
      </c>
      <c r="G161" s="1">
        <v>0.19500000000000001</v>
      </c>
      <c r="H161" s="1">
        <v>0.104</v>
      </c>
      <c r="I161" s="1">
        <v>9.0999999999999998E-2</v>
      </c>
      <c r="J161">
        <v>0.25900000000000001</v>
      </c>
      <c r="K161">
        <v>1.45</v>
      </c>
      <c r="L161">
        <v>0.313</v>
      </c>
      <c r="M161" s="1">
        <v>0.76600000000000001</v>
      </c>
      <c r="N161">
        <v>91</v>
      </c>
      <c r="O161">
        <v>94</v>
      </c>
      <c r="P161">
        <v>108</v>
      </c>
      <c r="Q161">
        <v>4.07</v>
      </c>
      <c r="R161">
        <v>4.26</v>
      </c>
      <c r="S161">
        <v>-0.2</v>
      </c>
      <c r="T161">
        <v>4.96</v>
      </c>
      <c r="U161">
        <v>4.79</v>
      </c>
      <c r="V161">
        <v>7947</v>
      </c>
    </row>
    <row r="162" spans="1:22" x14ac:dyDescent="0.3">
      <c r="A162" t="s">
        <v>296</v>
      </c>
      <c r="B162" t="s">
        <v>66</v>
      </c>
      <c r="C162">
        <v>9</v>
      </c>
      <c r="D162">
        <v>3.15</v>
      </c>
      <c r="E162">
        <v>2.86</v>
      </c>
      <c r="F162">
        <v>1.29</v>
      </c>
      <c r="G162" s="1">
        <v>0.22700000000000001</v>
      </c>
      <c r="H162" s="1">
        <v>7.9000000000000001E-2</v>
      </c>
      <c r="I162" s="1">
        <v>0.14699999999999999</v>
      </c>
      <c r="J162">
        <v>0.27200000000000002</v>
      </c>
      <c r="K162">
        <v>1.44</v>
      </c>
      <c r="L162">
        <v>0.33</v>
      </c>
      <c r="M162" s="1">
        <v>0.67500000000000004</v>
      </c>
      <c r="N162">
        <v>104</v>
      </c>
      <c r="O162">
        <v>93</v>
      </c>
      <c r="P162">
        <v>83</v>
      </c>
      <c r="Q162">
        <v>4.84</v>
      </c>
      <c r="R162">
        <v>4.26</v>
      </c>
      <c r="S162">
        <v>0.56999999999999995</v>
      </c>
      <c r="T162">
        <v>3.8</v>
      </c>
      <c r="U162">
        <v>4.25</v>
      </c>
      <c r="V162">
        <v>10123</v>
      </c>
    </row>
    <row r="163" spans="1:22" x14ac:dyDescent="0.3">
      <c r="A163" t="s">
        <v>113</v>
      </c>
      <c r="B163" t="s">
        <v>48</v>
      </c>
      <c r="C163">
        <v>7.36</v>
      </c>
      <c r="D163">
        <v>2.62</v>
      </c>
      <c r="E163">
        <v>2.81</v>
      </c>
      <c r="F163">
        <v>1.1499999999999999</v>
      </c>
      <c r="G163" s="1">
        <v>0.19700000000000001</v>
      </c>
      <c r="H163" s="1">
        <v>7.0000000000000007E-2</v>
      </c>
      <c r="I163" s="1">
        <v>0.127</v>
      </c>
      <c r="J163">
        <v>0.22900000000000001</v>
      </c>
      <c r="K163">
        <v>1.1599999999999999</v>
      </c>
      <c r="L163">
        <v>0.25900000000000001</v>
      </c>
      <c r="M163" s="1">
        <v>0.78700000000000003</v>
      </c>
      <c r="N163">
        <v>74</v>
      </c>
      <c r="O163">
        <v>97</v>
      </c>
      <c r="P163">
        <v>82</v>
      </c>
      <c r="Q163">
        <v>3.27</v>
      </c>
      <c r="R163">
        <v>4.2699999999999996</v>
      </c>
      <c r="S163">
        <v>-1</v>
      </c>
      <c r="T163">
        <v>3.74</v>
      </c>
      <c r="U163">
        <v>3.58</v>
      </c>
      <c r="V163">
        <v>10843</v>
      </c>
    </row>
    <row r="164" spans="1:22" x14ac:dyDescent="0.3">
      <c r="A164" t="s">
        <v>247</v>
      </c>
      <c r="B164" t="s">
        <v>40</v>
      </c>
      <c r="C164">
        <v>7.37</v>
      </c>
      <c r="D164">
        <v>1.98</v>
      </c>
      <c r="E164">
        <v>3.73</v>
      </c>
      <c r="F164">
        <v>1.38</v>
      </c>
      <c r="G164" s="1">
        <v>0.19600000000000001</v>
      </c>
      <c r="H164" s="1">
        <v>5.2999999999999999E-2</v>
      </c>
      <c r="I164" s="1">
        <v>0.14399999999999999</v>
      </c>
      <c r="J164">
        <v>0.25900000000000001</v>
      </c>
      <c r="K164">
        <v>1.24</v>
      </c>
      <c r="L164">
        <v>0.29299999999999998</v>
      </c>
      <c r="M164" s="1">
        <v>0.70399999999999996</v>
      </c>
      <c r="N164">
        <v>97</v>
      </c>
      <c r="O164">
        <v>91</v>
      </c>
      <c r="P164">
        <v>94</v>
      </c>
      <c r="Q164">
        <v>4.45</v>
      </c>
      <c r="R164">
        <v>4.2699999999999996</v>
      </c>
      <c r="S164">
        <v>0.18</v>
      </c>
      <c r="T164">
        <v>4.29</v>
      </c>
      <c r="U164">
        <v>4.46</v>
      </c>
      <c r="V164">
        <v>15764</v>
      </c>
    </row>
    <row r="165" spans="1:22" x14ac:dyDescent="0.3">
      <c r="A165" t="s">
        <v>216</v>
      </c>
      <c r="B165" t="s">
        <v>50</v>
      </c>
      <c r="C165">
        <v>7.04</v>
      </c>
      <c r="D165">
        <v>1.57</v>
      </c>
      <c r="E165">
        <v>4.5</v>
      </c>
      <c r="F165">
        <v>1.32</v>
      </c>
      <c r="G165" s="1">
        <v>0.188</v>
      </c>
      <c r="H165" s="1">
        <v>4.2000000000000003E-2</v>
      </c>
      <c r="I165" s="1">
        <v>0.14699999999999999</v>
      </c>
      <c r="J165">
        <v>0.26800000000000002</v>
      </c>
      <c r="K165">
        <v>1.22</v>
      </c>
      <c r="L165">
        <v>0.30199999999999999</v>
      </c>
      <c r="M165" s="1">
        <v>0.73799999999999999</v>
      </c>
      <c r="N165">
        <v>98</v>
      </c>
      <c r="O165">
        <v>99</v>
      </c>
      <c r="P165">
        <v>94</v>
      </c>
      <c r="Q165">
        <v>4.16</v>
      </c>
      <c r="R165">
        <v>4.2699999999999996</v>
      </c>
      <c r="S165">
        <v>-0.12</v>
      </c>
      <c r="T165">
        <v>4.18</v>
      </c>
      <c r="U165">
        <v>4.3899999999999997</v>
      </c>
      <c r="V165">
        <v>9803</v>
      </c>
    </row>
    <row r="166" spans="1:22" x14ac:dyDescent="0.3">
      <c r="A166" t="s">
        <v>188</v>
      </c>
      <c r="B166" t="s">
        <v>48</v>
      </c>
      <c r="C166">
        <v>10.4</v>
      </c>
      <c r="D166">
        <v>4.5599999999999996</v>
      </c>
      <c r="E166">
        <v>2.2799999999999998</v>
      </c>
      <c r="F166">
        <v>1.29</v>
      </c>
      <c r="G166" s="1">
        <v>0.27200000000000002</v>
      </c>
      <c r="H166" s="1">
        <v>0.11899999999999999</v>
      </c>
      <c r="I166" s="1">
        <v>0.153</v>
      </c>
      <c r="J166">
        <v>0.21199999999999999</v>
      </c>
      <c r="K166">
        <v>1.3</v>
      </c>
      <c r="L166">
        <v>0.26600000000000001</v>
      </c>
      <c r="M166" s="1">
        <v>0.72099999999999997</v>
      </c>
      <c r="N166">
        <v>91</v>
      </c>
      <c r="O166">
        <v>98</v>
      </c>
      <c r="P166">
        <v>104</v>
      </c>
      <c r="Q166">
        <v>3.97</v>
      </c>
      <c r="R166">
        <v>4.28</v>
      </c>
      <c r="S166">
        <v>-0.3</v>
      </c>
      <c r="T166">
        <v>4.72</v>
      </c>
      <c r="U166">
        <v>4.47</v>
      </c>
      <c r="V166">
        <v>15947</v>
      </c>
    </row>
    <row r="167" spans="1:22" x14ac:dyDescent="0.3">
      <c r="A167" t="s">
        <v>320</v>
      </c>
      <c r="B167" t="s">
        <v>26</v>
      </c>
      <c r="C167">
        <v>7.78</v>
      </c>
      <c r="D167">
        <v>2.4500000000000002</v>
      </c>
      <c r="E167">
        <v>3.18</v>
      </c>
      <c r="F167">
        <v>1.31</v>
      </c>
      <c r="G167" s="1">
        <v>0.20100000000000001</v>
      </c>
      <c r="H167" s="1">
        <v>6.3E-2</v>
      </c>
      <c r="I167" s="1">
        <v>0.13800000000000001</v>
      </c>
      <c r="J167">
        <v>0.25700000000000001</v>
      </c>
      <c r="K167">
        <v>1.3</v>
      </c>
      <c r="L167">
        <v>0.29499999999999998</v>
      </c>
      <c r="M167" s="1">
        <v>0.65500000000000003</v>
      </c>
      <c r="N167">
        <v>121</v>
      </c>
      <c r="O167">
        <v>97</v>
      </c>
      <c r="P167">
        <v>102</v>
      </c>
      <c r="Q167">
        <v>5.16</v>
      </c>
      <c r="R167">
        <v>4.28</v>
      </c>
      <c r="S167">
        <v>0.87</v>
      </c>
      <c r="T167">
        <v>4.53</v>
      </c>
      <c r="U167">
        <v>4.58</v>
      </c>
      <c r="V167">
        <v>19312</v>
      </c>
    </row>
    <row r="168" spans="1:22" x14ac:dyDescent="0.3">
      <c r="A168" t="s">
        <v>316</v>
      </c>
      <c r="B168" t="s">
        <v>102</v>
      </c>
      <c r="C168">
        <v>7.68</v>
      </c>
      <c r="D168">
        <v>2.1800000000000002</v>
      </c>
      <c r="E168">
        <v>3.52</v>
      </c>
      <c r="F168">
        <v>1.21</v>
      </c>
      <c r="G168" s="1">
        <v>0.20300000000000001</v>
      </c>
      <c r="H168" s="1">
        <v>5.8000000000000003E-2</v>
      </c>
      <c r="I168" s="1">
        <v>0.14499999999999999</v>
      </c>
      <c r="J168">
        <v>0.25800000000000001</v>
      </c>
      <c r="K168">
        <v>1.24</v>
      </c>
      <c r="L168">
        <v>0.29899999999999999</v>
      </c>
      <c r="M168" s="1">
        <v>0.66400000000000003</v>
      </c>
      <c r="N168">
        <v>122</v>
      </c>
      <c r="O168">
        <v>99</v>
      </c>
      <c r="P168">
        <v>99</v>
      </c>
      <c r="Q168">
        <v>5.09</v>
      </c>
      <c r="R168">
        <v>4.28</v>
      </c>
      <c r="S168">
        <v>0.81</v>
      </c>
      <c r="T168">
        <v>4.37</v>
      </c>
      <c r="U168">
        <v>4.4400000000000004</v>
      </c>
      <c r="V168">
        <v>17085</v>
      </c>
    </row>
    <row r="169" spans="1:22" x14ac:dyDescent="0.3">
      <c r="A169" t="s">
        <v>163</v>
      </c>
      <c r="B169" t="s">
        <v>77</v>
      </c>
      <c r="C169">
        <v>8.69</v>
      </c>
      <c r="D169">
        <v>4.34</v>
      </c>
      <c r="E169">
        <v>2</v>
      </c>
      <c r="F169">
        <v>0.94</v>
      </c>
      <c r="G169" s="1">
        <v>0.22800000000000001</v>
      </c>
      <c r="H169" s="1">
        <v>0.114</v>
      </c>
      <c r="I169" s="1">
        <v>0.114</v>
      </c>
      <c r="J169">
        <v>0.23</v>
      </c>
      <c r="K169">
        <v>1.33</v>
      </c>
      <c r="L169">
        <v>0.28499999999999998</v>
      </c>
      <c r="M169" s="1">
        <v>0.77200000000000002</v>
      </c>
      <c r="N169">
        <v>86</v>
      </c>
      <c r="O169">
        <v>96</v>
      </c>
      <c r="P169">
        <v>89</v>
      </c>
      <c r="Q169">
        <v>3.76</v>
      </c>
      <c r="R169">
        <v>4.28</v>
      </c>
      <c r="S169">
        <v>-0.53</v>
      </c>
      <c r="T169">
        <v>3.96</v>
      </c>
      <c r="U169">
        <v>4.41</v>
      </c>
      <c r="V169">
        <v>4338</v>
      </c>
    </row>
    <row r="170" spans="1:22" x14ac:dyDescent="0.3">
      <c r="A170" t="s">
        <v>234</v>
      </c>
      <c r="B170" t="s">
        <v>98</v>
      </c>
      <c r="C170">
        <v>12.13</v>
      </c>
      <c r="D170">
        <v>4.34</v>
      </c>
      <c r="E170">
        <v>2.8</v>
      </c>
      <c r="F170">
        <v>1.55</v>
      </c>
      <c r="G170" s="1">
        <v>0.315</v>
      </c>
      <c r="H170" s="1">
        <v>0.112</v>
      </c>
      <c r="I170" s="1">
        <v>0.20200000000000001</v>
      </c>
      <c r="J170">
        <v>0.22800000000000001</v>
      </c>
      <c r="K170">
        <v>1.34</v>
      </c>
      <c r="L170">
        <v>0.30499999999999999</v>
      </c>
      <c r="M170" s="1">
        <v>0.751</v>
      </c>
      <c r="N170">
        <v>98</v>
      </c>
      <c r="O170">
        <v>98</v>
      </c>
      <c r="P170">
        <v>85</v>
      </c>
      <c r="Q170">
        <v>4.34</v>
      </c>
      <c r="R170">
        <v>4.29</v>
      </c>
      <c r="S170">
        <v>0.05</v>
      </c>
      <c r="T170">
        <v>3.76</v>
      </c>
      <c r="U170">
        <v>4.0199999999999996</v>
      </c>
      <c r="V170">
        <v>11486</v>
      </c>
    </row>
    <row r="171" spans="1:22" x14ac:dyDescent="0.3">
      <c r="A171" t="s">
        <v>64</v>
      </c>
      <c r="B171" t="s">
        <v>43</v>
      </c>
      <c r="C171">
        <v>7.28</v>
      </c>
      <c r="D171">
        <v>4.26</v>
      </c>
      <c r="E171">
        <v>1.71</v>
      </c>
      <c r="F171">
        <v>0.89</v>
      </c>
      <c r="G171" s="1">
        <v>0.19600000000000001</v>
      </c>
      <c r="H171" s="1">
        <v>0.115</v>
      </c>
      <c r="I171" s="1">
        <v>8.1000000000000003E-2</v>
      </c>
      <c r="J171">
        <v>0.22700000000000001</v>
      </c>
      <c r="K171">
        <v>1.3</v>
      </c>
      <c r="L171">
        <v>0.26600000000000001</v>
      </c>
      <c r="M171" s="1">
        <v>0.84699999999999998</v>
      </c>
      <c r="N171">
        <v>55</v>
      </c>
      <c r="O171">
        <v>93</v>
      </c>
      <c r="P171">
        <v>102</v>
      </c>
      <c r="Q171">
        <v>2.4900000000000002</v>
      </c>
      <c r="R171">
        <v>4.3</v>
      </c>
      <c r="S171">
        <v>-1.81</v>
      </c>
      <c r="T171">
        <v>4.67</v>
      </c>
      <c r="U171">
        <v>4.8099999999999996</v>
      </c>
      <c r="V171">
        <v>12297</v>
      </c>
    </row>
    <row r="172" spans="1:22" x14ac:dyDescent="0.3">
      <c r="A172" t="s">
        <v>263</v>
      </c>
      <c r="B172" t="s">
        <v>159</v>
      </c>
      <c r="C172">
        <v>11.56</v>
      </c>
      <c r="D172">
        <v>2.4300000000000002</v>
      </c>
      <c r="E172">
        <v>4.76</v>
      </c>
      <c r="F172">
        <v>1.89</v>
      </c>
      <c r="G172" s="1">
        <v>0.30199999999999999</v>
      </c>
      <c r="H172" s="1">
        <v>6.3E-2</v>
      </c>
      <c r="I172" s="1">
        <v>0.23899999999999999</v>
      </c>
      <c r="J172">
        <v>0.24399999999999999</v>
      </c>
      <c r="K172">
        <v>1.23</v>
      </c>
      <c r="L172">
        <v>0.307</v>
      </c>
      <c r="M172" s="1">
        <v>0.74399999999999999</v>
      </c>
      <c r="N172">
        <v>98</v>
      </c>
      <c r="O172">
        <v>93</v>
      </c>
      <c r="P172">
        <v>85</v>
      </c>
      <c r="Q172">
        <v>4.5599999999999996</v>
      </c>
      <c r="R172">
        <v>4.32</v>
      </c>
      <c r="S172">
        <v>0.24</v>
      </c>
      <c r="T172">
        <v>3.88</v>
      </c>
      <c r="U172">
        <v>3.61</v>
      </c>
      <c r="V172">
        <v>15440</v>
      </c>
    </row>
    <row r="173" spans="1:22" x14ac:dyDescent="0.3">
      <c r="A173" t="s">
        <v>251</v>
      </c>
      <c r="B173" t="s">
        <v>48</v>
      </c>
      <c r="C173">
        <v>10.69</v>
      </c>
      <c r="D173">
        <v>3.46</v>
      </c>
      <c r="E173">
        <v>3.09</v>
      </c>
      <c r="F173">
        <v>1.44</v>
      </c>
      <c r="G173" s="1">
        <v>0.27800000000000002</v>
      </c>
      <c r="H173" s="1">
        <v>0.09</v>
      </c>
      <c r="I173" s="1">
        <v>0.188</v>
      </c>
      <c r="J173">
        <v>0.22700000000000001</v>
      </c>
      <c r="K173">
        <v>1.25</v>
      </c>
      <c r="L173">
        <v>0.28699999999999998</v>
      </c>
      <c r="M173" s="1">
        <v>0.70299999999999996</v>
      </c>
      <c r="N173">
        <v>96</v>
      </c>
      <c r="O173">
        <v>95</v>
      </c>
      <c r="P173">
        <v>96</v>
      </c>
      <c r="Q173">
        <v>4.4800000000000004</v>
      </c>
      <c r="R173">
        <v>4.34</v>
      </c>
      <c r="S173">
        <v>0.14000000000000001</v>
      </c>
      <c r="T173">
        <v>4.33</v>
      </c>
      <c r="U173">
        <v>4.1399999999999997</v>
      </c>
      <c r="V173">
        <v>12703</v>
      </c>
    </row>
    <row r="174" spans="1:22" x14ac:dyDescent="0.3">
      <c r="A174" t="s">
        <v>221</v>
      </c>
      <c r="B174" t="s">
        <v>127</v>
      </c>
      <c r="C174">
        <v>6.64</v>
      </c>
      <c r="D174">
        <v>3.81</v>
      </c>
      <c r="E174">
        <v>1.74</v>
      </c>
      <c r="F174">
        <v>0.82</v>
      </c>
      <c r="G174" s="1">
        <v>0.17199999999999999</v>
      </c>
      <c r="H174" s="1">
        <v>9.9000000000000005E-2</v>
      </c>
      <c r="I174" s="1">
        <v>7.2999999999999995E-2</v>
      </c>
      <c r="J174">
        <v>0.24399999999999999</v>
      </c>
      <c r="K174">
        <v>1.35</v>
      </c>
      <c r="L174">
        <v>0.28199999999999997</v>
      </c>
      <c r="M174" s="1">
        <v>0.72199999999999998</v>
      </c>
      <c r="N174">
        <v>89</v>
      </c>
      <c r="O174">
        <v>97</v>
      </c>
      <c r="P174">
        <v>108</v>
      </c>
      <c r="Q174">
        <v>4.1900000000000004</v>
      </c>
      <c r="R174">
        <v>4.3499999999999996</v>
      </c>
      <c r="S174">
        <v>-0.16</v>
      </c>
      <c r="T174">
        <v>4.9400000000000004</v>
      </c>
      <c r="U174">
        <v>5.23</v>
      </c>
      <c r="V174">
        <v>15734</v>
      </c>
    </row>
    <row r="175" spans="1:22" x14ac:dyDescent="0.3">
      <c r="A175" t="s">
        <v>222</v>
      </c>
      <c r="B175" t="s">
        <v>50</v>
      </c>
      <c r="C175">
        <v>8.02</v>
      </c>
      <c r="D175">
        <v>3.36</v>
      </c>
      <c r="E175">
        <v>2.39</v>
      </c>
      <c r="F175">
        <v>1.1499999999999999</v>
      </c>
      <c r="G175" s="1">
        <v>0.20499999999999999</v>
      </c>
      <c r="H175" s="1">
        <v>8.5999999999999993E-2</v>
      </c>
      <c r="I175" s="1">
        <v>0.11899999999999999</v>
      </c>
      <c r="J175">
        <v>0.26900000000000002</v>
      </c>
      <c r="K175">
        <v>1.43</v>
      </c>
      <c r="L175">
        <v>0.31900000000000001</v>
      </c>
      <c r="M175" s="1">
        <v>0.76500000000000001</v>
      </c>
      <c r="N175">
        <v>99</v>
      </c>
      <c r="O175">
        <v>100</v>
      </c>
      <c r="P175">
        <v>99</v>
      </c>
      <c r="Q175">
        <v>4.1900000000000004</v>
      </c>
      <c r="R175">
        <v>4.3600000000000003</v>
      </c>
      <c r="S175">
        <v>-0.16</v>
      </c>
      <c r="T175">
        <v>4.3899999999999997</v>
      </c>
      <c r="U175">
        <v>4.7</v>
      </c>
      <c r="V175">
        <v>2233</v>
      </c>
    </row>
    <row r="176" spans="1:22" x14ac:dyDescent="0.3">
      <c r="A176" t="s">
        <v>245</v>
      </c>
      <c r="B176" t="s">
        <v>56</v>
      </c>
      <c r="C176">
        <v>6.51</v>
      </c>
      <c r="D176">
        <v>3.02</v>
      </c>
      <c r="E176">
        <v>2.16</v>
      </c>
      <c r="F176">
        <v>0.95</v>
      </c>
      <c r="G176" s="1">
        <v>0.16800000000000001</v>
      </c>
      <c r="H176" s="1">
        <v>7.8E-2</v>
      </c>
      <c r="I176" s="1">
        <v>0.09</v>
      </c>
      <c r="J176">
        <v>0.253</v>
      </c>
      <c r="K176">
        <v>1.32</v>
      </c>
      <c r="L176">
        <v>0.28699999999999998</v>
      </c>
      <c r="M176" s="1">
        <v>0.70799999999999996</v>
      </c>
      <c r="N176">
        <v>92</v>
      </c>
      <c r="O176">
        <v>95</v>
      </c>
      <c r="P176">
        <v>97</v>
      </c>
      <c r="Q176">
        <v>4.45</v>
      </c>
      <c r="R176">
        <v>4.3600000000000003</v>
      </c>
      <c r="S176">
        <v>0.09</v>
      </c>
      <c r="T176">
        <v>4.46</v>
      </c>
      <c r="U176">
        <v>4.3899999999999997</v>
      </c>
      <c r="V176">
        <v>15288</v>
      </c>
    </row>
    <row r="177" spans="1:22" x14ac:dyDescent="0.3">
      <c r="A177" t="s">
        <v>267</v>
      </c>
      <c r="B177" t="s">
        <v>62</v>
      </c>
      <c r="C177">
        <v>9.56</v>
      </c>
      <c r="D177">
        <v>2.99</v>
      </c>
      <c r="E177">
        <v>3.2</v>
      </c>
      <c r="F177">
        <v>1.39</v>
      </c>
      <c r="G177" s="1">
        <v>0.25</v>
      </c>
      <c r="H177" s="1">
        <v>7.8E-2</v>
      </c>
      <c r="I177" s="1">
        <v>0.17199999999999999</v>
      </c>
      <c r="J177">
        <v>0.23100000000000001</v>
      </c>
      <c r="K177">
        <v>1.22</v>
      </c>
      <c r="L177">
        <v>0.28000000000000003</v>
      </c>
      <c r="M177" s="1">
        <v>0.73199999999999998</v>
      </c>
      <c r="N177">
        <v>102</v>
      </c>
      <c r="O177">
        <v>95</v>
      </c>
      <c r="P177">
        <v>104</v>
      </c>
      <c r="Q177">
        <v>4.58</v>
      </c>
      <c r="R177">
        <v>4.37</v>
      </c>
      <c r="S177">
        <v>0.22</v>
      </c>
      <c r="T177">
        <v>4.75</v>
      </c>
      <c r="U177">
        <v>4.33</v>
      </c>
      <c r="V177">
        <v>19867</v>
      </c>
    </row>
    <row r="178" spans="1:22" x14ac:dyDescent="0.3">
      <c r="A178" t="s">
        <v>172</v>
      </c>
      <c r="B178" t="s">
        <v>34</v>
      </c>
      <c r="C178">
        <v>8.81</v>
      </c>
      <c r="D178">
        <v>2.94</v>
      </c>
      <c r="E178">
        <v>3</v>
      </c>
      <c r="F178">
        <v>1.31</v>
      </c>
      <c r="G178" s="1">
        <v>0.23</v>
      </c>
      <c r="H178" s="1">
        <v>7.6999999999999999E-2</v>
      </c>
      <c r="I178" s="1">
        <v>0.154</v>
      </c>
      <c r="J178">
        <v>0.22600000000000001</v>
      </c>
      <c r="K178">
        <v>1.19</v>
      </c>
      <c r="L178">
        <v>0.26700000000000002</v>
      </c>
      <c r="M178" s="1">
        <v>0.76500000000000001</v>
      </c>
      <c r="N178">
        <v>86</v>
      </c>
      <c r="O178">
        <v>99</v>
      </c>
      <c r="P178">
        <v>101</v>
      </c>
      <c r="Q178">
        <v>3.81</v>
      </c>
      <c r="R178">
        <v>4.4000000000000004</v>
      </c>
      <c r="S178">
        <v>-0.59</v>
      </c>
      <c r="T178">
        <v>4.6100000000000003</v>
      </c>
      <c r="U178">
        <v>4.47</v>
      </c>
      <c r="V178">
        <v>12304</v>
      </c>
    </row>
    <row r="179" spans="1:22" x14ac:dyDescent="0.3">
      <c r="A179" t="s">
        <v>298</v>
      </c>
      <c r="B179" t="s">
        <v>143</v>
      </c>
      <c r="C179">
        <v>8.31</v>
      </c>
      <c r="D179">
        <v>2.54</v>
      </c>
      <c r="E179">
        <v>3.27</v>
      </c>
      <c r="F179">
        <v>1.38</v>
      </c>
      <c r="G179" s="1">
        <v>0.214</v>
      </c>
      <c r="H179" s="1">
        <v>6.5000000000000002E-2</v>
      </c>
      <c r="I179" s="1">
        <v>0.14799999999999999</v>
      </c>
      <c r="J179">
        <v>0.26500000000000001</v>
      </c>
      <c r="K179">
        <v>1.33</v>
      </c>
      <c r="L179">
        <v>0.31</v>
      </c>
      <c r="M179" s="1">
        <v>0.66200000000000003</v>
      </c>
      <c r="N179">
        <v>96</v>
      </c>
      <c r="O179">
        <v>93</v>
      </c>
      <c r="P179">
        <v>98</v>
      </c>
      <c r="Q179">
        <v>4.8499999999999996</v>
      </c>
      <c r="R179">
        <v>4.41</v>
      </c>
      <c r="S179">
        <v>0.44</v>
      </c>
      <c r="T179">
        <v>4.47</v>
      </c>
      <c r="U179">
        <v>4.29</v>
      </c>
      <c r="V179">
        <v>5448</v>
      </c>
    </row>
    <row r="180" spans="1:22" x14ac:dyDescent="0.3">
      <c r="A180" t="s">
        <v>283</v>
      </c>
      <c r="B180" t="s">
        <v>26</v>
      </c>
      <c r="C180">
        <v>9.26</v>
      </c>
      <c r="D180">
        <v>1.73</v>
      </c>
      <c r="E180">
        <v>5.36</v>
      </c>
      <c r="F180">
        <v>1.73</v>
      </c>
      <c r="G180" s="1">
        <v>0.24199999999999999</v>
      </c>
      <c r="H180" s="1">
        <v>4.4999999999999998E-2</v>
      </c>
      <c r="I180" s="1">
        <v>0.19700000000000001</v>
      </c>
      <c r="J180">
        <v>0.26400000000000001</v>
      </c>
      <c r="K180">
        <v>1.25</v>
      </c>
      <c r="L180">
        <v>0.311</v>
      </c>
      <c r="M180" s="1">
        <v>0.747</v>
      </c>
      <c r="N180">
        <v>110</v>
      </c>
      <c r="O180">
        <v>100</v>
      </c>
      <c r="P180">
        <v>96</v>
      </c>
      <c r="Q180">
        <v>4.71</v>
      </c>
      <c r="R180">
        <v>4.41</v>
      </c>
      <c r="S180">
        <v>0.3</v>
      </c>
      <c r="T180">
        <v>4.2699999999999996</v>
      </c>
      <c r="U180">
        <v>3.95</v>
      </c>
      <c r="V180">
        <v>13799</v>
      </c>
    </row>
    <row r="181" spans="1:22" x14ac:dyDescent="0.3">
      <c r="A181" t="s">
        <v>232</v>
      </c>
      <c r="B181" t="s">
        <v>32</v>
      </c>
      <c r="C181">
        <v>7.68</v>
      </c>
      <c r="D181">
        <v>3.45</v>
      </c>
      <c r="E181">
        <v>2.23</v>
      </c>
      <c r="F181">
        <v>1.04</v>
      </c>
      <c r="G181" s="1">
        <v>0.192</v>
      </c>
      <c r="H181" s="1">
        <v>8.5999999999999993E-2</v>
      </c>
      <c r="I181" s="1">
        <v>0.106</v>
      </c>
      <c r="J181">
        <v>0.27700000000000002</v>
      </c>
      <c r="K181">
        <v>1.49</v>
      </c>
      <c r="L181">
        <v>0.32800000000000001</v>
      </c>
      <c r="M181" s="1">
        <v>0.73399999999999999</v>
      </c>
      <c r="N181">
        <v>97</v>
      </c>
      <c r="O181">
        <v>100</v>
      </c>
      <c r="P181">
        <v>105</v>
      </c>
      <c r="Q181">
        <v>4.3099999999999996</v>
      </c>
      <c r="R181">
        <v>4.41</v>
      </c>
      <c r="S181">
        <v>-0.1</v>
      </c>
      <c r="T181">
        <v>4.79</v>
      </c>
      <c r="U181">
        <v>4.6100000000000003</v>
      </c>
      <c r="V181">
        <v>17192</v>
      </c>
    </row>
    <row r="182" spans="1:22" x14ac:dyDescent="0.3">
      <c r="A182" t="s">
        <v>327</v>
      </c>
      <c r="B182" t="s">
        <v>56</v>
      </c>
      <c r="C182">
        <v>10.8</v>
      </c>
      <c r="D182">
        <v>1.8</v>
      </c>
      <c r="E182">
        <v>6</v>
      </c>
      <c r="F182">
        <v>2.0299999999999998</v>
      </c>
      <c r="G182" s="1">
        <v>0.28199999999999997</v>
      </c>
      <c r="H182" s="1">
        <v>4.7E-2</v>
      </c>
      <c r="I182" s="1">
        <v>0.23499999999999999</v>
      </c>
      <c r="J182">
        <v>0.28499999999999998</v>
      </c>
      <c r="K182">
        <v>1.35</v>
      </c>
      <c r="L182">
        <v>0.35399999999999998</v>
      </c>
      <c r="M182" s="1">
        <v>0.73099999999999998</v>
      </c>
      <c r="N182">
        <v>110</v>
      </c>
      <c r="O182">
        <v>96</v>
      </c>
      <c r="P182">
        <v>77</v>
      </c>
      <c r="Q182">
        <v>5.29</v>
      </c>
      <c r="R182">
        <v>4.41</v>
      </c>
      <c r="S182">
        <v>0.87</v>
      </c>
      <c r="T182">
        <v>3.5</v>
      </c>
      <c r="U182">
        <v>3.53</v>
      </c>
      <c r="V182">
        <v>6632</v>
      </c>
    </row>
    <row r="183" spans="1:22" x14ac:dyDescent="0.3">
      <c r="A183" t="s">
        <v>145</v>
      </c>
      <c r="B183" t="s">
        <v>146</v>
      </c>
      <c r="C183">
        <v>7.03</v>
      </c>
      <c r="D183">
        <v>2.21</v>
      </c>
      <c r="E183">
        <v>3.18</v>
      </c>
      <c r="F183">
        <v>1.34</v>
      </c>
      <c r="G183" s="1">
        <v>0.19</v>
      </c>
      <c r="H183" s="1">
        <v>0.06</v>
      </c>
      <c r="I183" s="1">
        <v>0.13</v>
      </c>
      <c r="J183">
        <v>0.23200000000000001</v>
      </c>
      <c r="K183">
        <v>1.1399999999999999</v>
      </c>
      <c r="L183">
        <v>0.25600000000000001</v>
      </c>
      <c r="M183" s="1">
        <v>0.75900000000000001</v>
      </c>
      <c r="N183">
        <v>77</v>
      </c>
      <c r="O183">
        <v>92</v>
      </c>
      <c r="P183">
        <v>119</v>
      </c>
      <c r="Q183">
        <v>3.6</v>
      </c>
      <c r="R183">
        <v>4.41</v>
      </c>
      <c r="S183">
        <v>-0.81</v>
      </c>
      <c r="T183">
        <v>5.48</v>
      </c>
      <c r="U183">
        <v>5.0199999999999996</v>
      </c>
      <c r="V183">
        <v>16269</v>
      </c>
    </row>
    <row r="184" spans="1:22" x14ac:dyDescent="0.3">
      <c r="A184" t="s">
        <v>300</v>
      </c>
      <c r="B184" t="s">
        <v>38</v>
      </c>
      <c r="C184">
        <v>9.86</v>
      </c>
      <c r="D184">
        <v>3.4</v>
      </c>
      <c r="E184">
        <v>2.9</v>
      </c>
      <c r="F184">
        <v>1.46</v>
      </c>
      <c r="G184" s="1">
        <v>0.253</v>
      </c>
      <c r="H184" s="1">
        <v>8.6999999999999994E-2</v>
      </c>
      <c r="I184" s="1">
        <v>0.16600000000000001</v>
      </c>
      <c r="J184">
        <v>0.23499999999999999</v>
      </c>
      <c r="K184">
        <v>1.29</v>
      </c>
      <c r="L184">
        <v>0.28599999999999998</v>
      </c>
      <c r="M184" s="1">
        <v>0.67300000000000004</v>
      </c>
      <c r="N184">
        <v>100</v>
      </c>
      <c r="O184">
        <v>98</v>
      </c>
      <c r="P184">
        <v>107</v>
      </c>
      <c r="Q184">
        <v>4.8499999999999996</v>
      </c>
      <c r="R184">
        <v>4.42</v>
      </c>
      <c r="S184">
        <v>0.43</v>
      </c>
      <c r="T184">
        <v>4.8899999999999997</v>
      </c>
      <c r="U184">
        <v>4.0999999999999996</v>
      </c>
      <c r="V184">
        <v>5615</v>
      </c>
    </row>
    <row r="185" spans="1:22" x14ac:dyDescent="0.3">
      <c r="A185" t="s">
        <v>212</v>
      </c>
      <c r="B185" t="s">
        <v>28</v>
      </c>
      <c r="C185">
        <v>9.43</v>
      </c>
      <c r="D185">
        <v>3.04</v>
      </c>
      <c r="E185">
        <v>3.1</v>
      </c>
      <c r="F185">
        <v>1.47</v>
      </c>
      <c r="G185" s="1">
        <v>0.251</v>
      </c>
      <c r="H185" s="1">
        <v>8.1000000000000003E-2</v>
      </c>
      <c r="I185" s="1">
        <v>0.17</v>
      </c>
      <c r="J185">
        <v>0.22500000000000001</v>
      </c>
      <c r="K185">
        <v>1.19</v>
      </c>
      <c r="L185">
        <v>0.26700000000000002</v>
      </c>
      <c r="M185" s="1">
        <v>0.76300000000000001</v>
      </c>
      <c r="N185">
        <v>92</v>
      </c>
      <c r="O185">
        <v>98</v>
      </c>
      <c r="P185">
        <v>101</v>
      </c>
      <c r="Q185">
        <v>4.12</v>
      </c>
      <c r="R185">
        <v>4.42</v>
      </c>
      <c r="S185">
        <v>-0.3</v>
      </c>
      <c r="T185">
        <v>4.6399999999999997</v>
      </c>
      <c r="U185">
        <v>4.3</v>
      </c>
      <c r="V185">
        <v>5401</v>
      </c>
    </row>
    <row r="186" spans="1:22" x14ac:dyDescent="0.3">
      <c r="A186" t="s">
        <v>183</v>
      </c>
      <c r="B186" t="s">
        <v>89</v>
      </c>
      <c r="C186">
        <v>9.02</v>
      </c>
      <c r="D186">
        <v>2.65</v>
      </c>
      <c r="E186">
        <v>3.41</v>
      </c>
      <c r="F186">
        <v>1.57</v>
      </c>
      <c r="G186" s="1">
        <v>0.24</v>
      </c>
      <c r="H186" s="1">
        <v>7.0000000000000007E-2</v>
      </c>
      <c r="I186" s="1">
        <v>0.17</v>
      </c>
      <c r="J186">
        <v>0.23499999999999999</v>
      </c>
      <c r="K186">
        <v>1.2</v>
      </c>
      <c r="L186">
        <v>0.27300000000000002</v>
      </c>
      <c r="M186" s="1">
        <v>0.77700000000000002</v>
      </c>
      <c r="N186">
        <v>86</v>
      </c>
      <c r="O186">
        <v>98</v>
      </c>
      <c r="P186">
        <v>97</v>
      </c>
      <c r="Q186">
        <v>3.89</v>
      </c>
      <c r="R186">
        <v>4.43</v>
      </c>
      <c r="S186">
        <v>-0.54</v>
      </c>
      <c r="T186">
        <v>4.3</v>
      </c>
      <c r="U186">
        <v>4.29</v>
      </c>
      <c r="V186">
        <v>13050</v>
      </c>
    </row>
    <row r="187" spans="1:22" x14ac:dyDescent="0.3">
      <c r="A187" t="s">
        <v>281</v>
      </c>
      <c r="B187" t="s">
        <v>28</v>
      </c>
      <c r="C187">
        <v>9.8800000000000008</v>
      </c>
      <c r="D187">
        <v>3.62</v>
      </c>
      <c r="E187">
        <v>2.73</v>
      </c>
      <c r="F187">
        <v>1.45</v>
      </c>
      <c r="G187" s="1">
        <v>0.25900000000000001</v>
      </c>
      <c r="H187" s="1">
        <v>9.5000000000000001E-2</v>
      </c>
      <c r="I187" s="1">
        <v>0.16400000000000001</v>
      </c>
      <c r="J187">
        <v>0.218</v>
      </c>
      <c r="K187">
        <v>1.23</v>
      </c>
      <c r="L187">
        <v>0.26300000000000001</v>
      </c>
      <c r="M187" s="1">
        <v>0.69099999999999995</v>
      </c>
      <c r="N187">
        <v>105</v>
      </c>
      <c r="O187">
        <v>98</v>
      </c>
      <c r="P187">
        <v>95</v>
      </c>
      <c r="Q187">
        <v>4.7</v>
      </c>
      <c r="R187">
        <v>4.43</v>
      </c>
      <c r="S187">
        <v>0.27</v>
      </c>
      <c r="T187">
        <v>4.34</v>
      </c>
      <c r="U187">
        <v>4.2300000000000004</v>
      </c>
      <c r="V187">
        <v>7531</v>
      </c>
    </row>
    <row r="188" spans="1:22" x14ac:dyDescent="0.3">
      <c r="A188" t="s">
        <v>179</v>
      </c>
      <c r="B188" t="s">
        <v>93</v>
      </c>
      <c r="C188">
        <v>7.27</v>
      </c>
      <c r="D188">
        <v>3.14</v>
      </c>
      <c r="E188">
        <v>2.31</v>
      </c>
      <c r="F188">
        <v>1.19</v>
      </c>
      <c r="G188" s="1">
        <v>0.188</v>
      </c>
      <c r="H188" s="1">
        <v>8.1000000000000003E-2</v>
      </c>
      <c r="I188" s="1">
        <v>0.107</v>
      </c>
      <c r="J188">
        <v>0.23499999999999999</v>
      </c>
      <c r="K188">
        <v>1.27</v>
      </c>
      <c r="L188">
        <v>0.26500000000000001</v>
      </c>
      <c r="M188" s="1">
        <v>0.749</v>
      </c>
      <c r="N188">
        <v>86</v>
      </c>
      <c r="O188">
        <v>98</v>
      </c>
      <c r="P188">
        <v>115</v>
      </c>
      <c r="Q188">
        <v>3.85</v>
      </c>
      <c r="R188">
        <v>4.4400000000000004</v>
      </c>
      <c r="S188">
        <v>-0.59</v>
      </c>
      <c r="T188">
        <v>5.0999999999999996</v>
      </c>
      <c r="U188">
        <v>5.07</v>
      </c>
      <c r="V188">
        <v>3284</v>
      </c>
    </row>
    <row r="189" spans="1:22" x14ac:dyDescent="0.3">
      <c r="A189" t="s">
        <v>178</v>
      </c>
      <c r="B189" t="s">
        <v>32</v>
      </c>
      <c r="C189">
        <v>7.7</v>
      </c>
      <c r="D189">
        <v>1.89</v>
      </c>
      <c r="E189">
        <v>4.07</v>
      </c>
      <c r="F189">
        <v>1.55</v>
      </c>
      <c r="G189" s="1">
        <v>0.215</v>
      </c>
      <c r="H189" s="1">
        <v>5.2999999999999999E-2</v>
      </c>
      <c r="I189" s="1">
        <v>0.16200000000000001</v>
      </c>
      <c r="J189">
        <v>0.224</v>
      </c>
      <c r="K189">
        <v>1.05</v>
      </c>
      <c r="L189">
        <v>0.246</v>
      </c>
      <c r="M189" s="1">
        <v>0.74</v>
      </c>
      <c r="N189">
        <v>86</v>
      </c>
      <c r="O189">
        <v>101</v>
      </c>
      <c r="P189">
        <v>90</v>
      </c>
      <c r="Q189">
        <v>3.85</v>
      </c>
      <c r="R189">
        <v>4.4400000000000004</v>
      </c>
      <c r="S189">
        <v>-0.6</v>
      </c>
      <c r="T189">
        <v>4.0999999999999996</v>
      </c>
      <c r="U189">
        <v>4.25</v>
      </c>
      <c r="V189">
        <v>16401</v>
      </c>
    </row>
    <row r="190" spans="1:22" x14ac:dyDescent="0.3">
      <c r="A190" t="s">
        <v>293</v>
      </c>
      <c r="B190" t="s">
        <v>98</v>
      </c>
      <c r="C190">
        <v>5.63</v>
      </c>
      <c r="D190">
        <v>3.21</v>
      </c>
      <c r="E190">
        <v>1.75</v>
      </c>
      <c r="F190">
        <v>0.96</v>
      </c>
      <c r="G190" s="1">
        <v>0.14000000000000001</v>
      </c>
      <c r="H190" s="1">
        <v>0.08</v>
      </c>
      <c r="I190" s="1">
        <v>0.06</v>
      </c>
      <c r="J190">
        <v>0.31</v>
      </c>
      <c r="K190">
        <v>1.63</v>
      </c>
      <c r="L190">
        <v>0.34599999999999997</v>
      </c>
      <c r="M190" s="1">
        <v>0.68200000000000005</v>
      </c>
      <c r="N190">
        <v>109</v>
      </c>
      <c r="O190">
        <v>102</v>
      </c>
      <c r="P190">
        <v>98</v>
      </c>
      <c r="Q190">
        <v>4.82</v>
      </c>
      <c r="R190">
        <v>4.4800000000000004</v>
      </c>
      <c r="S190">
        <v>0.34</v>
      </c>
      <c r="T190">
        <v>4.33</v>
      </c>
      <c r="U190">
        <v>4.3899999999999997</v>
      </c>
      <c r="V190">
        <v>3237</v>
      </c>
    </row>
    <row r="191" spans="1:22" x14ac:dyDescent="0.3">
      <c r="A191" t="s">
        <v>166</v>
      </c>
      <c r="B191" t="s">
        <v>50</v>
      </c>
      <c r="C191">
        <v>7.85</v>
      </c>
      <c r="D191">
        <v>3.76</v>
      </c>
      <c r="E191">
        <v>2.09</v>
      </c>
      <c r="F191">
        <v>1.1499999999999999</v>
      </c>
      <c r="G191" s="1">
        <v>0.217</v>
      </c>
      <c r="H191" s="1">
        <v>0.104</v>
      </c>
      <c r="I191" s="1">
        <v>0.113</v>
      </c>
      <c r="J191">
        <v>0.16800000000000001</v>
      </c>
      <c r="K191">
        <v>1.02</v>
      </c>
      <c r="L191">
        <v>0.184</v>
      </c>
      <c r="M191" s="1">
        <v>0.72599999999999998</v>
      </c>
      <c r="N191">
        <v>89</v>
      </c>
      <c r="O191">
        <v>103</v>
      </c>
      <c r="P191">
        <v>110</v>
      </c>
      <c r="Q191">
        <v>3.76</v>
      </c>
      <c r="R191">
        <v>4.49</v>
      </c>
      <c r="S191">
        <v>-0.72</v>
      </c>
      <c r="T191">
        <v>4.8899999999999997</v>
      </c>
      <c r="U191">
        <v>4.62</v>
      </c>
      <c r="V191">
        <v>14974</v>
      </c>
    </row>
    <row r="192" spans="1:22" x14ac:dyDescent="0.3">
      <c r="A192" t="s">
        <v>160</v>
      </c>
      <c r="B192" t="s">
        <v>75</v>
      </c>
      <c r="C192">
        <v>5.79</v>
      </c>
      <c r="D192">
        <v>0.79</v>
      </c>
      <c r="E192">
        <v>7.29</v>
      </c>
      <c r="F192">
        <v>1.59</v>
      </c>
      <c r="G192" s="1">
        <v>0.159</v>
      </c>
      <c r="H192" s="1">
        <v>2.1999999999999999E-2</v>
      </c>
      <c r="I192" s="1">
        <v>0.13800000000000001</v>
      </c>
      <c r="J192">
        <v>0.26200000000000001</v>
      </c>
      <c r="K192">
        <v>1.1200000000000001</v>
      </c>
      <c r="L192">
        <v>0.27400000000000002</v>
      </c>
      <c r="M192" s="1">
        <v>0.77800000000000002</v>
      </c>
      <c r="N192">
        <v>84</v>
      </c>
      <c r="O192">
        <v>102</v>
      </c>
      <c r="P192">
        <v>112</v>
      </c>
      <c r="Q192">
        <v>3.74</v>
      </c>
      <c r="R192">
        <v>4.49</v>
      </c>
      <c r="S192">
        <v>-0.74</v>
      </c>
      <c r="T192">
        <v>4.95</v>
      </c>
      <c r="U192">
        <v>4.58</v>
      </c>
      <c r="V192">
        <v>9388</v>
      </c>
    </row>
    <row r="193" spans="1:22" x14ac:dyDescent="0.3">
      <c r="A193" t="s">
        <v>264</v>
      </c>
      <c r="B193" t="s">
        <v>146</v>
      </c>
      <c r="C193">
        <v>12.29</v>
      </c>
      <c r="D193">
        <v>3.71</v>
      </c>
      <c r="E193">
        <v>3.31</v>
      </c>
      <c r="F193">
        <v>1.86</v>
      </c>
      <c r="G193" s="1">
        <v>0.33100000000000002</v>
      </c>
      <c r="H193" s="1">
        <v>0.1</v>
      </c>
      <c r="I193" s="1">
        <v>0.23100000000000001</v>
      </c>
      <c r="J193">
        <v>0.21099999999999999</v>
      </c>
      <c r="K193">
        <v>1.19</v>
      </c>
      <c r="L193">
        <v>0.27100000000000002</v>
      </c>
      <c r="M193" s="1">
        <v>0.71399999999999997</v>
      </c>
      <c r="N193">
        <v>97</v>
      </c>
      <c r="O193">
        <v>94</v>
      </c>
      <c r="P193">
        <v>79</v>
      </c>
      <c r="Q193">
        <v>4.57</v>
      </c>
      <c r="R193">
        <v>4.5</v>
      </c>
      <c r="S193">
        <v>7.0000000000000007E-2</v>
      </c>
      <c r="T193">
        <v>3.62</v>
      </c>
      <c r="U193">
        <v>3.34</v>
      </c>
      <c r="V193">
        <v>10430</v>
      </c>
    </row>
    <row r="194" spans="1:22" x14ac:dyDescent="0.3">
      <c r="A194" t="s">
        <v>207</v>
      </c>
      <c r="B194" t="s">
        <v>159</v>
      </c>
      <c r="C194">
        <v>8.36</v>
      </c>
      <c r="D194">
        <v>3.95</v>
      </c>
      <c r="E194">
        <v>2.11</v>
      </c>
      <c r="F194">
        <v>1.24</v>
      </c>
      <c r="G194" s="1">
        <v>0.21299999999999999</v>
      </c>
      <c r="H194" s="1">
        <v>0.10100000000000001</v>
      </c>
      <c r="I194" s="1">
        <v>0.112</v>
      </c>
      <c r="J194">
        <v>0.24399999999999999</v>
      </c>
      <c r="K194">
        <v>1.39</v>
      </c>
      <c r="L194">
        <v>0.28599999999999998</v>
      </c>
      <c r="M194" s="1">
        <v>0.69399999999999995</v>
      </c>
      <c r="N194">
        <v>87</v>
      </c>
      <c r="O194">
        <v>97</v>
      </c>
      <c r="P194">
        <v>102</v>
      </c>
      <c r="Q194">
        <v>4.07</v>
      </c>
      <c r="R194">
        <v>4.51</v>
      </c>
      <c r="S194">
        <v>-0.44</v>
      </c>
      <c r="T194">
        <v>4.68</v>
      </c>
      <c r="U194">
        <v>4.54</v>
      </c>
      <c r="V194">
        <v>12575</v>
      </c>
    </row>
    <row r="195" spans="1:22" x14ac:dyDescent="0.3">
      <c r="A195" t="s">
        <v>346</v>
      </c>
      <c r="B195" t="s">
        <v>58</v>
      </c>
      <c r="C195">
        <v>15.36</v>
      </c>
      <c r="D195">
        <v>3.41</v>
      </c>
      <c r="E195">
        <v>4.5</v>
      </c>
      <c r="F195">
        <v>2.33</v>
      </c>
      <c r="G195" s="1">
        <v>0.39</v>
      </c>
      <c r="H195" s="1">
        <v>8.6999999999999994E-2</v>
      </c>
      <c r="I195" s="1">
        <v>0.30299999999999999</v>
      </c>
      <c r="J195">
        <v>0.254</v>
      </c>
      <c r="K195">
        <v>1.38</v>
      </c>
      <c r="L195">
        <v>0.377</v>
      </c>
      <c r="M195" s="1">
        <v>0.76200000000000001</v>
      </c>
      <c r="N195">
        <v>135</v>
      </c>
      <c r="O195">
        <v>104</v>
      </c>
      <c r="P195">
        <v>69</v>
      </c>
      <c r="Q195">
        <v>5.59</v>
      </c>
      <c r="R195">
        <v>4.51</v>
      </c>
      <c r="S195">
        <v>1.08</v>
      </c>
      <c r="T195">
        <v>3.07</v>
      </c>
      <c r="U195">
        <v>2.63</v>
      </c>
      <c r="V195">
        <v>14710</v>
      </c>
    </row>
    <row r="196" spans="1:22" x14ac:dyDescent="0.3">
      <c r="A196" t="s">
        <v>249</v>
      </c>
      <c r="B196" t="s">
        <v>102</v>
      </c>
      <c r="C196">
        <v>9.3800000000000008</v>
      </c>
      <c r="D196">
        <v>4.12</v>
      </c>
      <c r="E196">
        <v>2.2799999999999998</v>
      </c>
      <c r="F196">
        <v>1.26</v>
      </c>
      <c r="G196" s="1">
        <v>0.252</v>
      </c>
      <c r="H196" s="1">
        <v>0.111</v>
      </c>
      <c r="I196" s="1">
        <v>0.14199999999999999</v>
      </c>
      <c r="J196">
        <v>0.19</v>
      </c>
      <c r="K196">
        <v>1.1399999999999999</v>
      </c>
      <c r="L196">
        <v>0.22500000000000001</v>
      </c>
      <c r="M196" s="1">
        <v>0.66600000000000004</v>
      </c>
      <c r="N196">
        <v>107</v>
      </c>
      <c r="O196">
        <v>105</v>
      </c>
      <c r="P196">
        <v>110</v>
      </c>
      <c r="Q196">
        <v>4.46</v>
      </c>
      <c r="R196">
        <v>4.51</v>
      </c>
      <c r="S196">
        <v>-0.05</v>
      </c>
      <c r="T196">
        <v>4.8899999999999997</v>
      </c>
      <c r="U196">
        <v>4.71</v>
      </c>
      <c r="V196">
        <v>17585</v>
      </c>
    </row>
    <row r="197" spans="1:22" x14ac:dyDescent="0.3">
      <c r="A197" t="s">
        <v>190</v>
      </c>
      <c r="B197" t="s">
        <v>28</v>
      </c>
      <c r="C197">
        <v>7.53</v>
      </c>
      <c r="D197">
        <v>3.28</v>
      </c>
      <c r="E197">
        <v>2.2999999999999998</v>
      </c>
      <c r="F197">
        <v>1.24</v>
      </c>
      <c r="G197" s="1">
        <v>0.19400000000000001</v>
      </c>
      <c r="H197" s="1">
        <v>8.5000000000000006E-2</v>
      </c>
      <c r="I197" s="1">
        <v>0.11</v>
      </c>
      <c r="J197">
        <v>0.251</v>
      </c>
      <c r="K197">
        <v>1.34</v>
      </c>
      <c r="L197">
        <v>0.28699999999999998</v>
      </c>
      <c r="M197" s="1">
        <v>0.74299999999999999</v>
      </c>
      <c r="N197">
        <v>89</v>
      </c>
      <c r="O197">
        <v>100</v>
      </c>
      <c r="P197">
        <v>99</v>
      </c>
      <c r="Q197">
        <v>3.98</v>
      </c>
      <c r="R197">
        <v>4.51</v>
      </c>
      <c r="S197">
        <v>-0.53</v>
      </c>
      <c r="T197">
        <v>4.5199999999999996</v>
      </c>
      <c r="U197">
        <v>4.8</v>
      </c>
      <c r="V197">
        <v>8779</v>
      </c>
    </row>
    <row r="198" spans="1:22" x14ac:dyDescent="0.3">
      <c r="A198" t="s">
        <v>241</v>
      </c>
      <c r="B198" t="s">
        <v>98</v>
      </c>
      <c r="C198">
        <v>7.76</v>
      </c>
      <c r="D198">
        <v>2.8</v>
      </c>
      <c r="E198">
        <v>2.77</v>
      </c>
      <c r="F198">
        <v>1.42</v>
      </c>
      <c r="G198" s="1">
        <v>0.20300000000000001</v>
      </c>
      <c r="H198" s="1">
        <v>7.2999999999999995E-2</v>
      </c>
      <c r="I198" s="1">
        <v>0.13</v>
      </c>
      <c r="J198">
        <v>0.25600000000000001</v>
      </c>
      <c r="K198">
        <v>1.31</v>
      </c>
      <c r="L198">
        <v>0.29199999999999998</v>
      </c>
      <c r="M198" s="1">
        <v>0.73099999999999998</v>
      </c>
      <c r="N198">
        <v>100</v>
      </c>
      <c r="O198">
        <v>103</v>
      </c>
      <c r="P198">
        <v>103</v>
      </c>
      <c r="Q198">
        <v>4.42</v>
      </c>
      <c r="R198">
        <v>4.51</v>
      </c>
      <c r="S198">
        <v>-0.09</v>
      </c>
      <c r="T198">
        <v>4.58</v>
      </c>
      <c r="U198">
        <v>4.7300000000000004</v>
      </c>
      <c r="V198">
        <v>11156</v>
      </c>
    </row>
    <row r="199" spans="1:22" x14ac:dyDescent="0.3">
      <c r="A199" t="s">
        <v>203</v>
      </c>
      <c r="B199" t="s">
        <v>48</v>
      </c>
      <c r="C199">
        <v>8.4499999999999993</v>
      </c>
      <c r="D199">
        <v>3.72</v>
      </c>
      <c r="E199">
        <v>2.27</v>
      </c>
      <c r="F199">
        <v>1.26</v>
      </c>
      <c r="G199" s="1">
        <v>0.219</v>
      </c>
      <c r="H199" s="1">
        <v>9.7000000000000003E-2</v>
      </c>
      <c r="I199" s="1">
        <v>0.122</v>
      </c>
      <c r="J199">
        <v>0.245</v>
      </c>
      <c r="K199">
        <v>1.35</v>
      </c>
      <c r="L199">
        <v>0.28999999999999998</v>
      </c>
      <c r="M199" s="1">
        <v>0.77400000000000002</v>
      </c>
      <c r="N199">
        <v>96</v>
      </c>
      <c r="O199">
        <v>104</v>
      </c>
      <c r="P199">
        <v>114</v>
      </c>
      <c r="Q199">
        <v>4.0599999999999996</v>
      </c>
      <c r="R199">
        <v>4.51</v>
      </c>
      <c r="S199">
        <v>-0.46</v>
      </c>
      <c r="T199">
        <v>5.09</v>
      </c>
      <c r="U199">
        <v>4.8899999999999997</v>
      </c>
      <c r="V199">
        <v>19309</v>
      </c>
    </row>
    <row r="200" spans="1:22" x14ac:dyDescent="0.3">
      <c r="A200" t="s">
        <v>139</v>
      </c>
      <c r="B200" t="s">
        <v>71</v>
      </c>
      <c r="C200">
        <v>8.2799999999999994</v>
      </c>
      <c r="D200">
        <v>3.87</v>
      </c>
      <c r="E200">
        <v>2.14</v>
      </c>
      <c r="F200">
        <v>1.18</v>
      </c>
      <c r="G200" s="1">
        <v>0.224</v>
      </c>
      <c r="H200" s="1">
        <v>0.105</v>
      </c>
      <c r="I200" s="1">
        <v>0.11899999999999999</v>
      </c>
      <c r="J200">
        <v>0.191</v>
      </c>
      <c r="K200">
        <v>1.1200000000000001</v>
      </c>
      <c r="L200">
        <v>0.218</v>
      </c>
      <c r="M200" s="1">
        <v>0.76300000000000001</v>
      </c>
      <c r="N200">
        <v>80</v>
      </c>
      <c r="O200">
        <v>101</v>
      </c>
      <c r="P200">
        <v>109</v>
      </c>
      <c r="Q200">
        <v>3.55</v>
      </c>
      <c r="R200">
        <v>4.5199999999999996</v>
      </c>
      <c r="S200">
        <v>-0.97</v>
      </c>
      <c r="T200">
        <v>4.83</v>
      </c>
      <c r="U200">
        <v>4.53</v>
      </c>
      <c r="V200">
        <v>5702</v>
      </c>
    </row>
    <row r="201" spans="1:22" x14ac:dyDescent="0.3">
      <c r="A201" t="s">
        <v>266</v>
      </c>
      <c r="B201" t="s">
        <v>62</v>
      </c>
      <c r="C201">
        <v>9.44</v>
      </c>
      <c r="D201">
        <v>3.18</v>
      </c>
      <c r="E201">
        <v>2.97</v>
      </c>
      <c r="F201">
        <v>1.49</v>
      </c>
      <c r="G201" s="1">
        <v>0.248</v>
      </c>
      <c r="H201" s="1">
        <v>8.4000000000000005E-2</v>
      </c>
      <c r="I201" s="1">
        <v>0.16500000000000001</v>
      </c>
      <c r="J201">
        <v>0.218</v>
      </c>
      <c r="K201">
        <v>1.18</v>
      </c>
      <c r="L201">
        <v>0.25600000000000001</v>
      </c>
      <c r="M201" s="1">
        <v>0.65600000000000003</v>
      </c>
      <c r="N201">
        <v>102</v>
      </c>
      <c r="O201">
        <v>99</v>
      </c>
      <c r="P201">
        <v>94</v>
      </c>
      <c r="Q201">
        <v>4.58</v>
      </c>
      <c r="R201">
        <v>4.5199999999999996</v>
      </c>
      <c r="S201">
        <v>0.06</v>
      </c>
      <c r="T201">
        <v>4.28</v>
      </c>
      <c r="U201">
        <v>4.08</v>
      </c>
      <c r="V201">
        <v>13403</v>
      </c>
    </row>
    <row r="202" spans="1:22" x14ac:dyDescent="0.3">
      <c r="A202" t="s">
        <v>132</v>
      </c>
      <c r="B202" t="s">
        <v>30</v>
      </c>
      <c r="C202">
        <v>8.1</v>
      </c>
      <c r="D202">
        <v>4.5</v>
      </c>
      <c r="E202">
        <v>1.8</v>
      </c>
      <c r="F202">
        <v>1.03</v>
      </c>
      <c r="G202" s="1">
        <v>0.20899999999999999</v>
      </c>
      <c r="H202" s="1">
        <v>0.11600000000000001</v>
      </c>
      <c r="I202" s="1">
        <v>9.2999999999999999E-2</v>
      </c>
      <c r="J202">
        <v>0.22800000000000001</v>
      </c>
      <c r="K202">
        <v>1.36</v>
      </c>
      <c r="L202">
        <v>0.27100000000000002</v>
      </c>
      <c r="M202" s="1">
        <v>0.76</v>
      </c>
      <c r="N202">
        <v>80</v>
      </c>
      <c r="O202">
        <v>102</v>
      </c>
      <c r="P202">
        <v>111</v>
      </c>
      <c r="Q202">
        <v>3.47</v>
      </c>
      <c r="R202">
        <v>4.53</v>
      </c>
      <c r="S202">
        <v>-1.06</v>
      </c>
      <c r="T202">
        <v>4.92</v>
      </c>
      <c r="U202">
        <v>4.76</v>
      </c>
      <c r="V202">
        <v>3201</v>
      </c>
    </row>
    <row r="203" spans="1:22" x14ac:dyDescent="0.3">
      <c r="A203" t="s">
        <v>325</v>
      </c>
      <c r="B203" t="s">
        <v>34</v>
      </c>
      <c r="C203">
        <v>8.5500000000000007</v>
      </c>
      <c r="D203">
        <v>4.6500000000000004</v>
      </c>
      <c r="E203">
        <v>1.84</v>
      </c>
      <c r="F203">
        <v>1.05</v>
      </c>
      <c r="G203" s="1">
        <v>0.21199999999999999</v>
      </c>
      <c r="H203" s="1">
        <v>0.115</v>
      </c>
      <c r="I203" s="1">
        <v>9.7000000000000003E-2</v>
      </c>
      <c r="J203">
        <v>0.26</v>
      </c>
      <c r="K203">
        <v>1.53</v>
      </c>
      <c r="L203">
        <v>0.316</v>
      </c>
      <c r="M203" s="1">
        <v>0.64600000000000002</v>
      </c>
      <c r="N203">
        <v>118</v>
      </c>
      <c r="O203">
        <v>101</v>
      </c>
      <c r="P203">
        <v>115</v>
      </c>
      <c r="Q203">
        <v>5.25</v>
      </c>
      <c r="R203">
        <v>4.53</v>
      </c>
      <c r="S203">
        <v>0.72</v>
      </c>
      <c r="T203">
        <v>5.27</v>
      </c>
      <c r="U203">
        <v>4.8099999999999996</v>
      </c>
      <c r="V203">
        <v>15043</v>
      </c>
    </row>
    <row r="204" spans="1:22" x14ac:dyDescent="0.3">
      <c r="A204" t="s">
        <v>358</v>
      </c>
      <c r="B204" t="s">
        <v>48</v>
      </c>
      <c r="C204">
        <v>9.7799999999999994</v>
      </c>
      <c r="D204">
        <v>4.5</v>
      </c>
      <c r="E204">
        <v>2.17</v>
      </c>
      <c r="F204">
        <v>1.24</v>
      </c>
      <c r="G204" s="1">
        <v>0.23200000000000001</v>
      </c>
      <c r="H204" s="1">
        <v>0.107</v>
      </c>
      <c r="I204" s="1">
        <v>0.125</v>
      </c>
      <c r="J204">
        <v>0.27700000000000002</v>
      </c>
      <c r="K204">
        <v>1.64</v>
      </c>
      <c r="L204">
        <v>0.34699999999999998</v>
      </c>
      <c r="M204" s="1">
        <v>0.69499999999999995</v>
      </c>
      <c r="N204">
        <v>123</v>
      </c>
      <c r="O204">
        <v>96</v>
      </c>
      <c r="P204">
        <v>118</v>
      </c>
      <c r="Q204">
        <v>5.74</v>
      </c>
      <c r="R204">
        <v>4.54</v>
      </c>
      <c r="S204">
        <v>1.2</v>
      </c>
      <c r="T204">
        <v>5.42</v>
      </c>
      <c r="U204">
        <v>4.5999999999999996</v>
      </c>
      <c r="V204">
        <v>12857</v>
      </c>
    </row>
    <row r="205" spans="1:22" x14ac:dyDescent="0.3">
      <c r="A205" t="s">
        <v>100</v>
      </c>
      <c r="B205" t="s">
        <v>77</v>
      </c>
      <c r="C205">
        <v>8.02</v>
      </c>
      <c r="D205">
        <v>4.08</v>
      </c>
      <c r="E205">
        <v>1.97</v>
      </c>
      <c r="F205">
        <v>0.98</v>
      </c>
      <c r="G205" s="1">
        <v>0.21299999999999999</v>
      </c>
      <c r="H205" s="1">
        <v>0.109</v>
      </c>
      <c r="I205" s="1">
        <v>0.105</v>
      </c>
      <c r="J205">
        <v>0.20799999999999999</v>
      </c>
      <c r="K205">
        <v>1.2</v>
      </c>
      <c r="L205">
        <v>0.246</v>
      </c>
      <c r="M205" s="1">
        <v>0.83599999999999997</v>
      </c>
      <c r="N205">
        <v>67</v>
      </c>
      <c r="O205">
        <v>102</v>
      </c>
      <c r="P205">
        <v>112</v>
      </c>
      <c r="Q205">
        <v>2.95</v>
      </c>
      <c r="R205">
        <v>4.54</v>
      </c>
      <c r="S205">
        <v>-1.59</v>
      </c>
      <c r="T205">
        <v>4.95</v>
      </c>
      <c r="U205">
        <v>4.6100000000000003</v>
      </c>
      <c r="V205">
        <v>6483</v>
      </c>
    </row>
    <row r="206" spans="1:22" x14ac:dyDescent="0.3">
      <c r="A206" t="s">
        <v>181</v>
      </c>
      <c r="B206" t="s">
        <v>102</v>
      </c>
      <c r="C206">
        <v>6.89</v>
      </c>
      <c r="D206">
        <v>3.69</v>
      </c>
      <c r="E206">
        <v>1.86</v>
      </c>
      <c r="F206">
        <v>1.05</v>
      </c>
      <c r="G206" s="1">
        <v>0.18</v>
      </c>
      <c r="H206" s="1">
        <v>9.7000000000000003E-2</v>
      </c>
      <c r="I206" s="1">
        <v>8.4000000000000005E-2</v>
      </c>
      <c r="J206">
        <v>0.23899999999999999</v>
      </c>
      <c r="K206">
        <v>1.32</v>
      </c>
      <c r="L206">
        <v>0.27100000000000002</v>
      </c>
      <c r="M206" s="1">
        <v>0.73799999999999999</v>
      </c>
      <c r="N206">
        <v>93</v>
      </c>
      <c r="O206">
        <v>106</v>
      </c>
      <c r="P206">
        <v>117</v>
      </c>
      <c r="Q206">
        <v>3.88</v>
      </c>
      <c r="R206">
        <v>4.55</v>
      </c>
      <c r="S206">
        <v>-0.68</v>
      </c>
      <c r="T206">
        <v>5.17</v>
      </c>
      <c r="U206">
        <v>5.28</v>
      </c>
      <c r="V206">
        <v>18684</v>
      </c>
    </row>
    <row r="207" spans="1:22" x14ac:dyDescent="0.3">
      <c r="A207" t="s">
        <v>271</v>
      </c>
      <c r="B207" t="s">
        <v>48</v>
      </c>
      <c r="C207">
        <v>4.62</v>
      </c>
      <c r="D207">
        <v>1.78</v>
      </c>
      <c r="E207">
        <v>2.6</v>
      </c>
      <c r="F207">
        <v>1.07</v>
      </c>
      <c r="G207" s="1">
        <v>0.124</v>
      </c>
      <c r="H207" s="1">
        <v>4.8000000000000001E-2</v>
      </c>
      <c r="I207" s="1">
        <v>7.5999999999999998E-2</v>
      </c>
      <c r="J207">
        <v>0.23499999999999999</v>
      </c>
      <c r="K207">
        <v>1.1100000000000001</v>
      </c>
      <c r="L207">
        <v>0.24399999999999999</v>
      </c>
      <c r="M207" s="1">
        <v>0.60099999999999998</v>
      </c>
      <c r="N207">
        <v>103</v>
      </c>
      <c r="O207">
        <v>100</v>
      </c>
      <c r="P207">
        <v>121</v>
      </c>
      <c r="Q207">
        <v>4.62</v>
      </c>
      <c r="R207">
        <v>4.5599999999999996</v>
      </c>
      <c r="S207">
        <v>0.06</v>
      </c>
      <c r="T207">
        <v>5.41</v>
      </c>
      <c r="U207">
        <v>5.0999999999999996</v>
      </c>
      <c r="V207">
        <v>13442</v>
      </c>
    </row>
    <row r="208" spans="1:22" x14ac:dyDescent="0.3">
      <c r="A208" t="s">
        <v>140</v>
      </c>
      <c r="B208" t="s">
        <v>71</v>
      </c>
      <c r="C208">
        <v>5.75</v>
      </c>
      <c r="D208">
        <v>2.87</v>
      </c>
      <c r="E208">
        <v>2</v>
      </c>
      <c r="F208">
        <v>1.1299999999999999</v>
      </c>
      <c r="G208" s="1">
        <v>0.152</v>
      </c>
      <c r="H208" s="1">
        <v>7.5999999999999998E-2</v>
      </c>
      <c r="I208" s="1">
        <v>7.5999999999999998E-2</v>
      </c>
      <c r="J208">
        <v>0.25</v>
      </c>
      <c r="K208">
        <v>1.29</v>
      </c>
      <c r="L208">
        <v>0.27200000000000002</v>
      </c>
      <c r="M208" s="1">
        <v>0.75</v>
      </c>
      <c r="N208">
        <v>80</v>
      </c>
      <c r="O208">
        <v>102</v>
      </c>
      <c r="P208">
        <v>117</v>
      </c>
      <c r="Q208">
        <v>3.55</v>
      </c>
      <c r="R208">
        <v>4.5599999999999996</v>
      </c>
      <c r="S208">
        <v>-1.01</v>
      </c>
      <c r="T208">
        <v>5.2</v>
      </c>
      <c r="U208">
        <v>5.43</v>
      </c>
      <c r="V208">
        <v>13183</v>
      </c>
    </row>
    <row r="209" spans="1:22" x14ac:dyDescent="0.3">
      <c r="A209" t="s">
        <v>182</v>
      </c>
      <c r="B209" t="s">
        <v>34</v>
      </c>
      <c r="C209">
        <v>4.5999999999999996</v>
      </c>
      <c r="D209">
        <v>2.5099999999999998</v>
      </c>
      <c r="E209">
        <v>1.84</v>
      </c>
      <c r="F209">
        <v>1.02</v>
      </c>
      <c r="G209" s="1">
        <v>0.121</v>
      </c>
      <c r="H209" s="1">
        <v>6.6000000000000003E-2</v>
      </c>
      <c r="I209" s="1">
        <v>5.5E-2</v>
      </c>
      <c r="J209">
        <v>0.26200000000000001</v>
      </c>
      <c r="K209">
        <v>1.31</v>
      </c>
      <c r="L209">
        <v>0.27800000000000002</v>
      </c>
      <c r="M209" s="1">
        <v>0.748</v>
      </c>
      <c r="N209">
        <v>87</v>
      </c>
      <c r="O209">
        <v>102</v>
      </c>
      <c r="P209">
        <v>105</v>
      </c>
      <c r="Q209">
        <v>3.89</v>
      </c>
      <c r="R209">
        <v>4.57</v>
      </c>
      <c r="S209">
        <v>-0.69</v>
      </c>
      <c r="T209">
        <v>4.79</v>
      </c>
      <c r="U209">
        <v>5.17</v>
      </c>
      <c r="V209">
        <v>8223</v>
      </c>
    </row>
    <row r="210" spans="1:22" x14ac:dyDescent="0.3">
      <c r="A210" t="s">
        <v>374</v>
      </c>
      <c r="B210" t="s">
        <v>43</v>
      </c>
      <c r="C210">
        <v>9.2899999999999991</v>
      </c>
      <c r="D210">
        <v>4.03</v>
      </c>
      <c r="E210">
        <v>2.2999999999999998</v>
      </c>
      <c r="F210">
        <v>1.4</v>
      </c>
      <c r="G210" s="1">
        <v>0.22600000000000001</v>
      </c>
      <c r="H210" s="1">
        <v>9.8000000000000004E-2</v>
      </c>
      <c r="I210" s="1">
        <v>0.128</v>
      </c>
      <c r="J210">
        <v>0.28399999999999997</v>
      </c>
      <c r="K210">
        <v>1.62</v>
      </c>
      <c r="L210">
        <v>0.34699999999999998</v>
      </c>
      <c r="M210" s="1">
        <v>0.65900000000000003</v>
      </c>
      <c r="N210">
        <v>136</v>
      </c>
      <c r="O210">
        <v>99</v>
      </c>
      <c r="P210">
        <v>106</v>
      </c>
      <c r="Q210">
        <v>6.14</v>
      </c>
      <c r="R210">
        <v>4.58</v>
      </c>
      <c r="S210">
        <v>1.56</v>
      </c>
      <c r="T210">
        <v>4.84</v>
      </c>
      <c r="U210">
        <v>4.46</v>
      </c>
      <c r="V210">
        <v>6033</v>
      </c>
    </row>
    <row r="211" spans="1:22" x14ac:dyDescent="0.3">
      <c r="A211" t="s">
        <v>137</v>
      </c>
      <c r="B211" t="s">
        <v>83</v>
      </c>
      <c r="C211">
        <v>6.95</v>
      </c>
      <c r="D211">
        <v>2.4300000000000002</v>
      </c>
      <c r="E211">
        <v>2.86</v>
      </c>
      <c r="F211">
        <v>1.39</v>
      </c>
      <c r="G211" s="1">
        <v>0.189</v>
      </c>
      <c r="H211" s="1">
        <v>6.6000000000000003E-2</v>
      </c>
      <c r="I211" s="1">
        <v>0.123</v>
      </c>
      <c r="J211">
        <v>0.222</v>
      </c>
      <c r="K211">
        <v>1.1100000000000001</v>
      </c>
      <c r="L211">
        <v>0.24</v>
      </c>
      <c r="M211" s="1">
        <v>0.76900000000000002</v>
      </c>
      <c r="N211">
        <v>84</v>
      </c>
      <c r="O211">
        <v>110</v>
      </c>
      <c r="P211">
        <v>113</v>
      </c>
      <c r="Q211">
        <v>3.52</v>
      </c>
      <c r="R211">
        <v>4.59</v>
      </c>
      <c r="S211">
        <v>-1.06</v>
      </c>
      <c r="T211">
        <v>5.0199999999999996</v>
      </c>
      <c r="U211">
        <v>4.92</v>
      </c>
      <c r="V211">
        <v>3254</v>
      </c>
    </row>
    <row r="212" spans="1:22" x14ac:dyDescent="0.3">
      <c r="A212" t="s">
        <v>297</v>
      </c>
      <c r="B212" t="s">
        <v>36</v>
      </c>
      <c r="C212">
        <v>8.69</v>
      </c>
      <c r="D212">
        <v>3.56</v>
      </c>
      <c r="E212">
        <v>2.44</v>
      </c>
      <c r="F212">
        <v>1.4</v>
      </c>
      <c r="G212" s="1">
        <v>0.22</v>
      </c>
      <c r="H212" s="1">
        <v>0.09</v>
      </c>
      <c r="I212" s="1">
        <v>0.13</v>
      </c>
      <c r="J212">
        <v>0.255</v>
      </c>
      <c r="K212">
        <v>1.41</v>
      </c>
      <c r="L212">
        <v>0.30099999999999999</v>
      </c>
      <c r="M212" s="1">
        <v>0.71699999999999997</v>
      </c>
      <c r="N212">
        <v>105</v>
      </c>
      <c r="O212">
        <v>99</v>
      </c>
      <c r="P212">
        <v>108</v>
      </c>
      <c r="Q212">
        <v>4.84</v>
      </c>
      <c r="R212">
        <v>4.59</v>
      </c>
      <c r="S212">
        <v>0.25</v>
      </c>
      <c r="T212">
        <v>4.9400000000000004</v>
      </c>
      <c r="U212">
        <v>4.8</v>
      </c>
      <c r="V212">
        <v>17948</v>
      </c>
    </row>
    <row r="213" spans="1:22" x14ac:dyDescent="0.3">
      <c r="A213" t="s">
        <v>342</v>
      </c>
      <c r="B213" t="s">
        <v>93</v>
      </c>
      <c r="C213">
        <v>8.02</v>
      </c>
      <c r="D213">
        <v>4.6399999999999997</v>
      </c>
      <c r="E213">
        <v>1.73</v>
      </c>
      <c r="F213">
        <v>0.98</v>
      </c>
      <c r="G213" s="1">
        <v>0.193</v>
      </c>
      <c r="H213" s="1">
        <v>0.112</v>
      </c>
      <c r="I213" s="1">
        <v>8.1000000000000003E-2</v>
      </c>
      <c r="J213">
        <v>0.28699999999999998</v>
      </c>
      <c r="K213">
        <v>1.67</v>
      </c>
      <c r="L213">
        <v>0.34499999999999997</v>
      </c>
      <c r="M213" s="1">
        <v>0.69199999999999995</v>
      </c>
      <c r="N213">
        <v>122</v>
      </c>
      <c r="O213">
        <v>101</v>
      </c>
      <c r="P213">
        <v>115</v>
      </c>
      <c r="Q213">
        <v>5.48</v>
      </c>
      <c r="R213">
        <v>4.59</v>
      </c>
      <c r="S213">
        <v>0.9</v>
      </c>
      <c r="T213">
        <v>5.09</v>
      </c>
      <c r="U213">
        <v>5.17</v>
      </c>
      <c r="V213">
        <v>12972</v>
      </c>
    </row>
    <row r="214" spans="1:22" x14ac:dyDescent="0.3">
      <c r="A214" t="s">
        <v>299</v>
      </c>
      <c r="B214" t="s">
        <v>48</v>
      </c>
      <c r="C214">
        <v>11.86</v>
      </c>
      <c r="D214">
        <v>3.81</v>
      </c>
      <c r="E214">
        <v>3.11</v>
      </c>
      <c r="F214">
        <v>1.82</v>
      </c>
      <c r="G214" s="1">
        <v>0.30099999999999999</v>
      </c>
      <c r="H214" s="1">
        <v>9.7000000000000003E-2</v>
      </c>
      <c r="I214" s="1">
        <v>0.20399999999999999</v>
      </c>
      <c r="J214">
        <v>0.25800000000000001</v>
      </c>
      <c r="K214">
        <v>1.43</v>
      </c>
      <c r="L214">
        <v>0.33700000000000002</v>
      </c>
      <c r="M214" s="1">
        <v>0.76900000000000002</v>
      </c>
      <c r="N214">
        <v>115</v>
      </c>
      <c r="O214">
        <v>109</v>
      </c>
      <c r="P214">
        <v>87</v>
      </c>
      <c r="Q214">
        <v>4.8499999999999996</v>
      </c>
      <c r="R214">
        <v>4.59</v>
      </c>
      <c r="S214">
        <v>0.26</v>
      </c>
      <c r="T214">
        <v>3.88</v>
      </c>
      <c r="U214">
        <v>3.86</v>
      </c>
      <c r="V214">
        <v>11426</v>
      </c>
    </row>
    <row r="215" spans="1:22" x14ac:dyDescent="0.3">
      <c r="A215" t="s">
        <v>224</v>
      </c>
      <c r="B215" t="s">
        <v>58</v>
      </c>
      <c r="C215">
        <v>8.59</v>
      </c>
      <c r="D215">
        <v>2.92</v>
      </c>
      <c r="E215">
        <v>2.94</v>
      </c>
      <c r="F215">
        <v>1.52</v>
      </c>
      <c r="G215" s="1">
        <v>0.221</v>
      </c>
      <c r="H215" s="1">
        <v>7.4999999999999997E-2</v>
      </c>
      <c r="I215" s="1">
        <v>0.14599999999999999</v>
      </c>
      <c r="J215">
        <v>0.25800000000000001</v>
      </c>
      <c r="K215">
        <v>1.34</v>
      </c>
      <c r="L215">
        <v>0.30099999999999999</v>
      </c>
      <c r="M215" s="1">
        <v>0.755</v>
      </c>
      <c r="N215">
        <v>102</v>
      </c>
      <c r="O215">
        <v>106</v>
      </c>
      <c r="P215">
        <v>98</v>
      </c>
      <c r="Q215">
        <v>4.21</v>
      </c>
      <c r="R215">
        <v>4.5999999999999996</v>
      </c>
      <c r="S215">
        <v>-0.39</v>
      </c>
      <c r="T215">
        <v>4.33</v>
      </c>
      <c r="U215">
        <v>4.47</v>
      </c>
      <c r="V215">
        <v>13361</v>
      </c>
    </row>
    <row r="216" spans="1:22" x14ac:dyDescent="0.3">
      <c r="A216" t="s">
        <v>253</v>
      </c>
      <c r="B216" t="s">
        <v>159</v>
      </c>
      <c r="C216">
        <v>7.79</v>
      </c>
      <c r="D216">
        <v>2.37</v>
      </c>
      <c r="E216">
        <v>3.29</v>
      </c>
      <c r="F216">
        <v>1.56</v>
      </c>
      <c r="G216" s="1">
        <v>0.20499999999999999</v>
      </c>
      <c r="H216" s="1">
        <v>6.2E-2</v>
      </c>
      <c r="I216" s="1">
        <v>0.14299999999999999</v>
      </c>
      <c r="J216">
        <v>0.27100000000000002</v>
      </c>
      <c r="K216">
        <v>1.33</v>
      </c>
      <c r="L216">
        <v>0.309</v>
      </c>
      <c r="M216" s="1">
        <v>0.752</v>
      </c>
      <c r="N216">
        <v>96</v>
      </c>
      <c r="O216">
        <v>99</v>
      </c>
      <c r="P216">
        <v>99</v>
      </c>
      <c r="Q216">
        <v>4.49</v>
      </c>
      <c r="R216">
        <v>4.6100000000000003</v>
      </c>
      <c r="S216">
        <v>-0.12</v>
      </c>
      <c r="T216">
        <v>4.55</v>
      </c>
      <c r="U216">
        <v>4.57</v>
      </c>
      <c r="V216">
        <v>13475</v>
      </c>
    </row>
    <row r="217" spans="1:22" x14ac:dyDescent="0.3">
      <c r="A217" t="s">
        <v>294</v>
      </c>
      <c r="B217" t="s">
        <v>28</v>
      </c>
      <c r="C217">
        <v>9.39</v>
      </c>
      <c r="D217">
        <v>2.74</v>
      </c>
      <c r="E217">
        <v>3.43</v>
      </c>
      <c r="F217">
        <v>1.7</v>
      </c>
      <c r="G217" s="1">
        <v>0.24199999999999999</v>
      </c>
      <c r="H217" s="1">
        <v>7.0000000000000007E-2</v>
      </c>
      <c r="I217" s="1">
        <v>0.17100000000000001</v>
      </c>
      <c r="J217">
        <v>0.252</v>
      </c>
      <c r="K217">
        <v>1.3</v>
      </c>
      <c r="L217">
        <v>0.29599999999999999</v>
      </c>
      <c r="M217" s="1">
        <v>0.72199999999999998</v>
      </c>
      <c r="N217">
        <v>108</v>
      </c>
      <c r="O217">
        <v>102</v>
      </c>
      <c r="P217">
        <v>106</v>
      </c>
      <c r="Q217">
        <v>4.83</v>
      </c>
      <c r="R217">
        <v>4.62</v>
      </c>
      <c r="S217">
        <v>0.21</v>
      </c>
      <c r="T217">
        <v>4.8499999999999996</v>
      </c>
      <c r="U217">
        <v>4.0599999999999996</v>
      </c>
      <c r="V217">
        <v>12763</v>
      </c>
    </row>
    <row r="218" spans="1:22" x14ac:dyDescent="0.3">
      <c r="A218" t="s">
        <v>305</v>
      </c>
      <c r="B218" t="s">
        <v>62</v>
      </c>
      <c r="C218">
        <v>11.14</v>
      </c>
      <c r="D218">
        <v>2.83</v>
      </c>
      <c r="E218">
        <v>3.93</v>
      </c>
      <c r="F218">
        <v>1.89</v>
      </c>
      <c r="G218" s="1">
        <v>0.28899999999999998</v>
      </c>
      <c r="H218" s="1">
        <v>7.2999999999999995E-2</v>
      </c>
      <c r="I218" s="1">
        <v>0.215</v>
      </c>
      <c r="J218">
        <v>0.25</v>
      </c>
      <c r="K218">
        <v>1.29</v>
      </c>
      <c r="L218">
        <v>0.312</v>
      </c>
      <c r="M218" s="1">
        <v>0.755</v>
      </c>
      <c r="N218">
        <v>109</v>
      </c>
      <c r="O218">
        <v>101</v>
      </c>
      <c r="P218">
        <v>91</v>
      </c>
      <c r="Q218">
        <v>4.91</v>
      </c>
      <c r="R218">
        <v>4.63</v>
      </c>
      <c r="S218">
        <v>0.28000000000000003</v>
      </c>
      <c r="T218">
        <v>4.18</v>
      </c>
      <c r="U218">
        <v>3.87</v>
      </c>
      <c r="V218">
        <v>15423</v>
      </c>
    </row>
    <row r="219" spans="1:22" x14ac:dyDescent="0.3">
      <c r="A219" t="s">
        <v>269</v>
      </c>
      <c r="B219" t="s">
        <v>36</v>
      </c>
      <c r="C219">
        <v>8.2799999999999994</v>
      </c>
      <c r="D219">
        <v>2.0699999999999998</v>
      </c>
      <c r="E219">
        <v>4</v>
      </c>
      <c r="F219">
        <v>1.69</v>
      </c>
      <c r="G219" s="1">
        <v>0.224</v>
      </c>
      <c r="H219" s="1">
        <v>5.6000000000000001E-2</v>
      </c>
      <c r="I219" s="1">
        <v>0.16800000000000001</v>
      </c>
      <c r="J219">
        <v>0.23200000000000001</v>
      </c>
      <c r="K219">
        <v>1.1200000000000001</v>
      </c>
      <c r="L219">
        <v>0.25800000000000001</v>
      </c>
      <c r="M219" s="1">
        <v>0.69899999999999995</v>
      </c>
      <c r="N219">
        <v>100</v>
      </c>
      <c r="O219">
        <v>100</v>
      </c>
      <c r="P219">
        <v>94</v>
      </c>
      <c r="Q219">
        <v>4.6100000000000003</v>
      </c>
      <c r="R219">
        <v>4.6399999999999997</v>
      </c>
      <c r="S219">
        <v>-0.03</v>
      </c>
      <c r="T219">
        <v>4.3099999999999996</v>
      </c>
      <c r="U219">
        <v>3.88</v>
      </c>
      <c r="V219">
        <v>12778</v>
      </c>
    </row>
    <row r="220" spans="1:22" x14ac:dyDescent="0.3">
      <c r="A220" t="s">
        <v>215</v>
      </c>
      <c r="B220" t="s">
        <v>48</v>
      </c>
      <c r="C220">
        <v>9.32</v>
      </c>
      <c r="D220">
        <v>3.51</v>
      </c>
      <c r="E220">
        <v>2.65</v>
      </c>
      <c r="F220">
        <v>1.6</v>
      </c>
      <c r="G220" s="1">
        <v>0.24399999999999999</v>
      </c>
      <c r="H220" s="1">
        <v>9.1999999999999998E-2</v>
      </c>
      <c r="I220" s="1">
        <v>0.152</v>
      </c>
      <c r="J220">
        <v>0.24099999999999999</v>
      </c>
      <c r="K220">
        <v>1.32</v>
      </c>
      <c r="L220">
        <v>0.28499999999999998</v>
      </c>
      <c r="M220" s="1">
        <v>0.75700000000000001</v>
      </c>
      <c r="N220">
        <v>96</v>
      </c>
      <c r="O220">
        <v>104</v>
      </c>
      <c r="P220">
        <v>104</v>
      </c>
      <c r="Q220">
        <v>4.1500000000000004</v>
      </c>
      <c r="R220">
        <v>4.6399999999999997</v>
      </c>
      <c r="S220">
        <v>-0.49</v>
      </c>
      <c r="T220">
        <v>4.6100000000000003</v>
      </c>
      <c r="U220">
        <v>4.53</v>
      </c>
      <c r="V220">
        <v>7593</v>
      </c>
    </row>
    <row r="221" spans="1:22" x14ac:dyDescent="0.3">
      <c r="A221" t="s">
        <v>238</v>
      </c>
      <c r="B221" t="s">
        <v>159</v>
      </c>
      <c r="C221">
        <v>12.37</v>
      </c>
      <c r="D221">
        <v>3.47</v>
      </c>
      <c r="E221">
        <v>3.57</v>
      </c>
      <c r="F221">
        <v>1.96</v>
      </c>
      <c r="G221" s="1">
        <v>0.31900000000000001</v>
      </c>
      <c r="H221" s="1">
        <v>8.8999999999999996E-2</v>
      </c>
      <c r="I221" s="1">
        <v>0.23</v>
      </c>
      <c r="J221">
        <v>0.24299999999999999</v>
      </c>
      <c r="K221">
        <v>1.32</v>
      </c>
      <c r="L221">
        <v>0.31900000000000001</v>
      </c>
      <c r="M221" s="1">
        <v>0.77200000000000002</v>
      </c>
      <c r="N221">
        <v>94</v>
      </c>
      <c r="O221">
        <v>100</v>
      </c>
      <c r="P221">
        <v>92</v>
      </c>
      <c r="Q221">
        <v>4.37</v>
      </c>
      <c r="R221">
        <v>4.66</v>
      </c>
      <c r="S221">
        <v>-0.28000000000000003</v>
      </c>
      <c r="T221">
        <v>4.1900000000000004</v>
      </c>
      <c r="U221">
        <v>3.41</v>
      </c>
      <c r="V221">
        <v>15761</v>
      </c>
    </row>
    <row r="222" spans="1:22" x14ac:dyDescent="0.3">
      <c r="A222" t="s">
        <v>318</v>
      </c>
      <c r="B222" t="s">
        <v>71</v>
      </c>
      <c r="C222">
        <v>8.6</v>
      </c>
      <c r="D222">
        <v>4.37</v>
      </c>
      <c r="E222">
        <v>1.97</v>
      </c>
      <c r="F222">
        <v>1.21</v>
      </c>
      <c r="G222" s="1">
        <v>0.221</v>
      </c>
      <c r="H222" s="1">
        <v>0.112</v>
      </c>
      <c r="I222" s="1">
        <v>0.109</v>
      </c>
      <c r="J222">
        <v>0.23499999999999999</v>
      </c>
      <c r="K222">
        <v>1.37</v>
      </c>
      <c r="L222">
        <v>0.28000000000000003</v>
      </c>
      <c r="M222" s="1">
        <v>0.69099999999999995</v>
      </c>
      <c r="N222">
        <v>116</v>
      </c>
      <c r="O222">
        <v>104</v>
      </c>
      <c r="P222">
        <v>103</v>
      </c>
      <c r="Q222">
        <v>5.13</v>
      </c>
      <c r="R222">
        <v>4.66</v>
      </c>
      <c r="S222">
        <v>0.47</v>
      </c>
      <c r="T222">
        <v>4.55</v>
      </c>
      <c r="U222">
        <v>4.5199999999999996</v>
      </c>
      <c r="V222">
        <v>4300</v>
      </c>
    </row>
    <row r="223" spans="1:22" x14ac:dyDescent="0.3">
      <c r="A223" t="s">
        <v>319</v>
      </c>
      <c r="B223" t="s">
        <v>89</v>
      </c>
      <c r="C223">
        <v>8.9499999999999993</v>
      </c>
      <c r="D223">
        <v>2.36</v>
      </c>
      <c r="E223">
        <v>3.79</v>
      </c>
      <c r="F223">
        <v>1.74</v>
      </c>
      <c r="G223" s="1">
        <v>0.23200000000000001</v>
      </c>
      <c r="H223" s="1">
        <v>6.0999999999999999E-2</v>
      </c>
      <c r="I223" s="1">
        <v>0.17100000000000001</v>
      </c>
      <c r="J223">
        <v>0.26400000000000001</v>
      </c>
      <c r="K223">
        <v>1.31</v>
      </c>
      <c r="L223">
        <v>0.307</v>
      </c>
      <c r="M223" s="1">
        <v>0.66700000000000004</v>
      </c>
      <c r="N223">
        <v>114</v>
      </c>
      <c r="O223">
        <v>103</v>
      </c>
      <c r="P223">
        <v>90</v>
      </c>
      <c r="Q223">
        <v>5.14</v>
      </c>
      <c r="R223">
        <v>4.66</v>
      </c>
      <c r="S223">
        <v>0.48</v>
      </c>
      <c r="T223">
        <v>3.99</v>
      </c>
      <c r="U223">
        <v>4.16</v>
      </c>
      <c r="V223">
        <v>16358</v>
      </c>
    </row>
    <row r="224" spans="1:22" x14ac:dyDescent="0.3">
      <c r="A224" t="s">
        <v>317</v>
      </c>
      <c r="B224" t="s">
        <v>66</v>
      </c>
      <c r="C224">
        <v>7.35</v>
      </c>
      <c r="D224">
        <v>3.65</v>
      </c>
      <c r="E224">
        <v>2.0099999999999998</v>
      </c>
      <c r="F224">
        <v>1.25</v>
      </c>
      <c r="G224" s="1">
        <v>0.183</v>
      </c>
      <c r="H224" s="1">
        <v>9.0999999999999998E-2</v>
      </c>
      <c r="I224" s="1">
        <v>9.1999999999999998E-2</v>
      </c>
      <c r="J224">
        <v>0.27600000000000002</v>
      </c>
      <c r="K224">
        <v>1.52</v>
      </c>
      <c r="L224">
        <v>0.316</v>
      </c>
      <c r="M224" s="1">
        <v>0.67600000000000005</v>
      </c>
      <c r="N224">
        <v>110</v>
      </c>
      <c r="O224">
        <v>101</v>
      </c>
      <c r="P224">
        <v>103</v>
      </c>
      <c r="Q224">
        <v>5.12</v>
      </c>
      <c r="R224">
        <v>4.66</v>
      </c>
      <c r="S224">
        <v>0.46</v>
      </c>
      <c r="T224">
        <v>4.6900000000000004</v>
      </c>
      <c r="U224">
        <v>5.01</v>
      </c>
      <c r="V224">
        <v>6902</v>
      </c>
    </row>
    <row r="225" spans="1:22" x14ac:dyDescent="0.3">
      <c r="A225" t="s">
        <v>278</v>
      </c>
      <c r="B225" t="s">
        <v>48</v>
      </c>
      <c r="C225">
        <v>6.48</v>
      </c>
      <c r="D225">
        <v>3.48</v>
      </c>
      <c r="E225">
        <v>1.86</v>
      </c>
      <c r="F225">
        <v>1.1399999999999999</v>
      </c>
      <c r="G225" s="1">
        <v>0.17</v>
      </c>
      <c r="H225" s="1">
        <v>9.0999999999999998E-2</v>
      </c>
      <c r="I225" s="1">
        <v>7.9000000000000001E-2</v>
      </c>
      <c r="J225">
        <v>0.251</v>
      </c>
      <c r="K225">
        <v>1.35</v>
      </c>
      <c r="L225">
        <v>0.28000000000000003</v>
      </c>
      <c r="M225" s="1">
        <v>0.68</v>
      </c>
      <c r="N225">
        <v>98</v>
      </c>
      <c r="O225">
        <v>100</v>
      </c>
      <c r="P225">
        <v>112</v>
      </c>
      <c r="Q225">
        <v>4.68</v>
      </c>
      <c r="R225">
        <v>4.66</v>
      </c>
      <c r="S225">
        <v>0.02</v>
      </c>
      <c r="T225">
        <v>5.1100000000000003</v>
      </c>
      <c r="U225">
        <v>5.2</v>
      </c>
      <c r="V225">
        <v>8782</v>
      </c>
    </row>
    <row r="226" spans="1:22" x14ac:dyDescent="0.3">
      <c r="A226" t="s">
        <v>174</v>
      </c>
      <c r="B226" t="s">
        <v>75</v>
      </c>
      <c r="C226">
        <v>8.35</v>
      </c>
      <c r="D226">
        <v>4.28</v>
      </c>
      <c r="E226">
        <v>1.95</v>
      </c>
      <c r="F226">
        <v>1.1299999999999999</v>
      </c>
      <c r="G226" s="1">
        <v>0.215</v>
      </c>
      <c r="H226" s="1">
        <v>0.11</v>
      </c>
      <c r="I226" s="1">
        <v>0.105</v>
      </c>
      <c r="J226">
        <v>0.22500000000000001</v>
      </c>
      <c r="K226">
        <v>1.32</v>
      </c>
      <c r="L226">
        <v>0.26600000000000001</v>
      </c>
      <c r="M226" s="1">
        <v>0.76600000000000001</v>
      </c>
      <c r="N226">
        <v>86</v>
      </c>
      <c r="O226">
        <v>106</v>
      </c>
      <c r="P226">
        <v>119</v>
      </c>
      <c r="Q226">
        <v>3.81</v>
      </c>
      <c r="R226">
        <v>4.66</v>
      </c>
      <c r="S226">
        <v>-0.85</v>
      </c>
      <c r="T226">
        <v>5.26</v>
      </c>
      <c r="U226">
        <v>5.1100000000000003</v>
      </c>
      <c r="V226">
        <v>6797</v>
      </c>
    </row>
    <row r="227" spans="1:22" x14ac:dyDescent="0.3">
      <c r="A227" t="s">
        <v>236</v>
      </c>
      <c r="B227" t="s">
        <v>48</v>
      </c>
      <c r="C227">
        <v>8.6</v>
      </c>
      <c r="D227">
        <v>2.78</v>
      </c>
      <c r="E227">
        <v>3.1</v>
      </c>
      <c r="F227">
        <v>1.52</v>
      </c>
      <c r="G227" s="1">
        <v>0.219</v>
      </c>
      <c r="H227" s="1">
        <v>7.0999999999999994E-2</v>
      </c>
      <c r="I227" s="1">
        <v>0.14799999999999999</v>
      </c>
      <c r="J227">
        <v>0.27400000000000002</v>
      </c>
      <c r="K227">
        <v>1.4</v>
      </c>
      <c r="L227">
        <v>0.32200000000000001</v>
      </c>
      <c r="M227" s="1">
        <v>0.78100000000000003</v>
      </c>
      <c r="N227">
        <v>97</v>
      </c>
      <c r="O227">
        <v>103</v>
      </c>
      <c r="P227">
        <v>104</v>
      </c>
      <c r="Q227">
        <v>4.3499999999999996</v>
      </c>
      <c r="R227">
        <v>4.67</v>
      </c>
      <c r="S227">
        <v>-0.31</v>
      </c>
      <c r="T227">
        <v>4.6399999999999997</v>
      </c>
      <c r="U227">
        <v>4.57</v>
      </c>
      <c r="V227">
        <v>8753</v>
      </c>
    </row>
    <row r="228" spans="1:22" x14ac:dyDescent="0.3">
      <c r="A228" t="s">
        <v>295</v>
      </c>
      <c r="B228" t="s">
        <v>34</v>
      </c>
      <c r="C228">
        <v>6.34</v>
      </c>
      <c r="D228">
        <v>4.07</v>
      </c>
      <c r="E228">
        <v>1.56</v>
      </c>
      <c r="F228">
        <v>1.06</v>
      </c>
      <c r="G228" s="1">
        <v>0.16200000000000001</v>
      </c>
      <c r="H228" s="1">
        <v>0.104</v>
      </c>
      <c r="I228" s="1">
        <v>5.8000000000000003E-2</v>
      </c>
      <c r="J228">
        <v>0.253</v>
      </c>
      <c r="K228">
        <v>1.44</v>
      </c>
      <c r="L228">
        <v>0.28299999999999997</v>
      </c>
      <c r="M228" s="1">
        <v>0.70899999999999996</v>
      </c>
      <c r="N228">
        <v>108</v>
      </c>
      <c r="O228">
        <v>105</v>
      </c>
      <c r="P228">
        <v>125</v>
      </c>
      <c r="Q228">
        <v>4.83</v>
      </c>
      <c r="R228">
        <v>4.6900000000000004</v>
      </c>
      <c r="S228">
        <v>0.14000000000000001</v>
      </c>
      <c r="T228">
        <v>5.73</v>
      </c>
      <c r="U228">
        <v>5.66</v>
      </c>
      <c r="V228">
        <v>16980</v>
      </c>
    </row>
    <row r="229" spans="1:22" x14ac:dyDescent="0.3">
      <c r="A229" t="s">
        <v>195</v>
      </c>
      <c r="B229" t="s">
        <v>30</v>
      </c>
      <c r="C229">
        <v>11.66</v>
      </c>
      <c r="D229">
        <v>4.3099999999999996</v>
      </c>
      <c r="E229">
        <v>2.7</v>
      </c>
      <c r="F229">
        <v>1.76</v>
      </c>
      <c r="G229" s="1">
        <v>0.30499999999999999</v>
      </c>
      <c r="H229" s="1">
        <v>0.113</v>
      </c>
      <c r="I229" s="1">
        <v>0.192</v>
      </c>
      <c r="J229">
        <v>0.21</v>
      </c>
      <c r="K229">
        <v>1.26</v>
      </c>
      <c r="L229">
        <v>0.26200000000000001</v>
      </c>
      <c r="M229" s="1">
        <v>0.79900000000000004</v>
      </c>
      <c r="N229">
        <v>93</v>
      </c>
      <c r="O229">
        <v>106</v>
      </c>
      <c r="P229">
        <v>97</v>
      </c>
      <c r="Q229">
        <v>3.99</v>
      </c>
      <c r="R229">
        <v>4.71</v>
      </c>
      <c r="S229">
        <v>-0.71</v>
      </c>
      <c r="T229">
        <v>4.29</v>
      </c>
      <c r="U229">
        <v>3.79</v>
      </c>
      <c r="V229">
        <v>11903</v>
      </c>
    </row>
    <row r="230" spans="1:22" x14ac:dyDescent="0.3">
      <c r="A230" t="s">
        <v>211</v>
      </c>
      <c r="B230" t="s">
        <v>38</v>
      </c>
      <c r="C230">
        <v>8.56</v>
      </c>
      <c r="D230">
        <v>5.6</v>
      </c>
      <c r="E230">
        <v>1.53</v>
      </c>
      <c r="F230">
        <v>0.99</v>
      </c>
      <c r="G230" s="1">
        <v>0.20599999999999999</v>
      </c>
      <c r="H230" s="1">
        <v>0.13400000000000001</v>
      </c>
      <c r="I230" s="1">
        <v>7.0999999999999994E-2</v>
      </c>
      <c r="J230">
        <v>0.27200000000000002</v>
      </c>
      <c r="K230">
        <v>1.7</v>
      </c>
      <c r="L230">
        <v>0.33300000000000002</v>
      </c>
      <c r="M230" s="1">
        <v>0.79700000000000004</v>
      </c>
      <c r="N230">
        <v>85</v>
      </c>
      <c r="O230">
        <v>104</v>
      </c>
      <c r="P230">
        <v>106</v>
      </c>
      <c r="Q230">
        <v>4.12</v>
      </c>
      <c r="R230">
        <v>4.71</v>
      </c>
      <c r="S230">
        <v>-0.6</v>
      </c>
      <c r="T230">
        <v>4.8499999999999996</v>
      </c>
      <c r="U230">
        <v>4.9800000000000004</v>
      </c>
      <c r="V230">
        <v>12997</v>
      </c>
    </row>
    <row r="231" spans="1:22" x14ac:dyDescent="0.3">
      <c r="A231" t="s">
        <v>330</v>
      </c>
      <c r="B231" t="s">
        <v>146</v>
      </c>
      <c r="C231">
        <v>8.6300000000000008</v>
      </c>
      <c r="D231">
        <v>4.55</v>
      </c>
      <c r="E231">
        <v>1.9</v>
      </c>
      <c r="F231">
        <v>1.1000000000000001</v>
      </c>
      <c r="G231" s="1">
        <v>0.216</v>
      </c>
      <c r="H231" s="1">
        <v>0.114</v>
      </c>
      <c r="I231" s="1">
        <v>0.10199999999999999</v>
      </c>
      <c r="J231">
        <v>0.245</v>
      </c>
      <c r="K231">
        <v>1.45</v>
      </c>
      <c r="L231">
        <v>0.29699999999999999</v>
      </c>
      <c r="M231" s="1">
        <v>0.63100000000000001</v>
      </c>
      <c r="N231">
        <v>114</v>
      </c>
      <c r="O231">
        <v>99</v>
      </c>
      <c r="P231">
        <v>96</v>
      </c>
      <c r="Q231">
        <v>5.34</v>
      </c>
      <c r="R231">
        <v>4.71</v>
      </c>
      <c r="S231">
        <v>0.62</v>
      </c>
      <c r="T231">
        <v>4.41</v>
      </c>
      <c r="U231">
        <v>4.38</v>
      </c>
      <c r="V231">
        <v>15832</v>
      </c>
    </row>
    <row r="232" spans="1:22" x14ac:dyDescent="0.3">
      <c r="A232" t="s">
        <v>252</v>
      </c>
      <c r="B232" t="s">
        <v>48</v>
      </c>
      <c r="C232">
        <v>10.14</v>
      </c>
      <c r="D232">
        <v>3.09</v>
      </c>
      <c r="E232">
        <v>3.28</v>
      </c>
      <c r="F232">
        <v>1.81</v>
      </c>
      <c r="G232" s="1">
        <v>0.26700000000000002</v>
      </c>
      <c r="H232" s="1">
        <v>8.1000000000000003E-2</v>
      </c>
      <c r="I232" s="1">
        <v>0.185</v>
      </c>
      <c r="J232">
        <v>0.24099999999999999</v>
      </c>
      <c r="K232">
        <v>1.27</v>
      </c>
      <c r="L232">
        <v>0.28799999999999998</v>
      </c>
      <c r="M232" s="1">
        <v>0.78900000000000003</v>
      </c>
      <c r="N232">
        <v>102</v>
      </c>
      <c r="O232">
        <v>106</v>
      </c>
      <c r="P232">
        <v>101</v>
      </c>
      <c r="Q232">
        <v>4.4800000000000004</v>
      </c>
      <c r="R232">
        <v>4.72</v>
      </c>
      <c r="S232">
        <v>-0.24</v>
      </c>
      <c r="T232">
        <v>4.53</v>
      </c>
      <c r="U232">
        <v>3.97</v>
      </c>
      <c r="V232">
        <v>5257</v>
      </c>
    </row>
    <row r="233" spans="1:22" x14ac:dyDescent="0.3">
      <c r="A233" t="s">
        <v>162</v>
      </c>
      <c r="B233" t="s">
        <v>75</v>
      </c>
      <c r="C233">
        <v>7.27</v>
      </c>
      <c r="D233">
        <v>3.12</v>
      </c>
      <c r="E233">
        <v>2.33</v>
      </c>
      <c r="F233">
        <v>1.28</v>
      </c>
      <c r="G233" s="1">
        <v>0.187</v>
      </c>
      <c r="H233" s="1">
        <v>0.08</v>
      </c>
      <c r="I233" s="1">
        <v>0.107</v>
      </c>
      <c r="J233">
        <v>0.26200000000000001</v>
      </c>
      <c r="K233">
        <v>1.37</v>
      </c>
      <c r="L233">
        <v>0.29799999999999999</v>
      </c>
      <c r="M233" s="1">
        <v>0.80400000000000005</v>
      </c>
      <c r="N233">
        <v>85</v>
      </c>
      <c r="O233">
        <v>108</v>
      </c>
      <c r="P233">
        <v>91</v>
      </c>
      <c r="Q233">
        <v>3.75</v>
      </c>
      <c r="R233">
        <v>4.72</v>
      </c>
      <c r="S233">
        <v>-0.97</v>
      </c>
      <c r="T233">
        <v>4.0599999999999996</v>
      </c>
      <c r="U233">
        <v>4.3899999999999997</v>
      </c>
      <c r="V233">
        <v>9434</v>
      </c>
    </row>
    <row r="234" spans="1:22" x14ac:dyDescent="0.3">
      <c r="A234" t="s">
        <v>199</v>
      </c>
      <c r="B234" t="s">
        <v>40</v>
      </c>
      <c r="C234">
        <v>9.6300000000000008</v>
      </c>
      <c r="D234">
        <v>2.4500000000000002</v>
      </c>
      <c r="E234">
        <v>3.92</v>
      </c>
      <c r="F234">
        <v>1.89</v>
      </c>
      <c r="G234" s="1">
        <v>0.25800000000000001</v>
      </c>
      <c r="H234" s="1">
        <v>6.6000000000000003E-2</v>
      </c>
      <c r="I234" s="1">
        <v>0.192</v>
      </c>
      <c r="J234">
        <v>0.22700000000000001</v>
      </c>
      <c r="K234">
        <v>1.1499999999999999</v>
      </c>
      <c r="L234">
        <v>0.25900000000000001</v>
      </c>
      <c r="M234" s="1">
        <v>0.78700000000000003</v>
      </c>
      <c r="N234">
        <v>87</v>
      </c>
      <c r="O234">
        <v>101</v>
      </c>
      <c r="P234">
        <v>92</v>
      </c>
      <c r="Q234">
        <v>4.03</v>
      </c>
      <c r="R234">
        <v>4.72</v>
      </c>
      <c r="S234">
        <v>-0.7</v>
      </c>
      <c r="T234">
        <v>4.22</v>
      </c>
      <c r="U234">
        <v>4.0599999999999996</v>
      </c>
      <c r="V234">
        <v>17149</v>
      </c>
    </row>
    <row r="235" spans="1:22" x14ac:dyDescent="0.3">
      <c r="A235" t="s">
        <v>276</v>
      </c>
      <c r="B235" t="s">
        <v>146</v>
      </c>
      <c r="C235">
        <v>8.7100000000000009</v>
      </c>
      <c r="D235">
        <v>5.03</v>
      </c>
      <c r="E235">
        <v>1.73</v>
      </c>
      <c r="F235">
        <v>1.23</v>
      </c>
      <c r="G235" s="1">
        <v>0.223</v>
      </c>
      <c r="H235" s="1">
        <v>0.129</v>
      </c>
      <c r="I235" s="1">
        <v>9.4E-2</v>
      </c>
      <c r="J235">
        <v>0.22700000000000001</v>
      </c>
      <c r="K235">
        <v>1.42</v>
      </c>
      <c r="L235">
        <v>0.26900000000000002</v>
      </c>
      <c r="M235" s="1">
        <v>0.68899999999999995</v>
      </c>
      <c r="N235">
        <v>99</v>
      </c>
      <c r="O235">
        <v>99</v>
      </c>
      <c r="P235">
        <v>106</v>
      </c>
      <c r="Q235">
        <v>4.66</v>
      </c>
      <c r="R235">
        <v>4.7300000000000004</v>
      </c>
      <c r="S235">
        <v>-0.06</v>
      </c>
      <c r="T235">
        <v>4.8499999999999996</v>
      </c>
      <c r="U235">
        <v>4.8</v>
      </c>
      <c r="V235">
        <v>15684</v>
      </c>
    </row>
    <row r="236" spans="1:22" x14ac:dyDescent="0.3">
      <c r="A236" t="s">
        <v>292</v>
      </c>
      <c r="B236" t="s">
        <v>146</v>
      </c>
      <c r="C236">
        <v>9.02</v>
      </c>
      <c r="D236">
        <v>3.23</v>
      </c>
      <c r="E236">
        <v>2.79</v>
      </c>
      <c r="F236">
        <v>1.61</v>
      </c>
      <c r="G236" s="1">
        <v>0.23100000000000001</v>
      </c>
      <c r="H236" s="1">
        <v>8.3000000000000004E-2</v>
      </c>
      <c r="I236" s="1">
        <v>0.14899999999999999</v>
      </c>
      <c r="J236">
        <v>0.253</v>
      </c>
      <c r="K236">
        <v>1.35</v>
      </c>
      <c r="L236">
        <v>0.29699999999999999</v>
      </c>
      <c r="M236" s="1">
        <v>0.70499999999999996</v>
      </c>
      <c r="N236">
        <v>102</v>
      </c>
      <c r="O236">
        <v>99</v>
      </c>
      <c r="P236">
        <v>100</v>
      </c>
      <c r="Q236">
        <v>4.79</v>
      </c>
      <c r="R236">
        <v>4.7300000000000004</v>
      </c>
      <c r="S236">
        <v>0.06</v>
      </c>
      <c r="T236">
        <v>4.58</v>
      </c>
      <c r="U236">
        <v>4.54</v>
      </c>
      <c r="V236">
        <v>12917</v>
      </c>
    </row>
    <row r="237" spans="1:22" x14ac:dyDescent="0.3">
      <c r="A237" t="s">
        <v>309</v>
      </c>
      <c r="B237" t="s">
        <v>36</v>
      </c>
      <c r="C237">
        <v>9.64</v>
      </c>
      <c r="D237">
        <v>4.7300000000000004</v>
      </c>
      <c r="E237">
        <v>2.04</v>
      </c>
      <c r="F237">
        <v>1.4</v>
      </c>
      <c r="G237" s="1">
        <v>0.24199999999999999</v>
      </c>
      <c r="H237" s="1">
        <v>0.11899999999999999</v>
      </c>
      <c r="I237" s="1">
        <v>0.123</v>
      </c>
      <c r="J237">
        <v>0.22600000000000001</v>
      </c>
      <c r="K237">
        <v>1.4</v>
      </c>
      <c r="L237">
        <v>0.27200000000000002</v>
      </c>
      <c r="M237" s="1">
        <v>0.71199999999999997</v>
      </c>
      <c r="N237">
        <v>107</v>
      </c>
      <c r="O237">
        <v>102</v>
      </c>
      <c r="P237">
        <v>90</v>
      </c>
      <c r="Q237">
        <v>4.91</v>
      </c>
      <c r="R237">
        <v>4.7300000000000004</v>
      </c>
      <c r="S237">
        <v>0.18</v>
      </c>
      <c r="T237">
        <v>4.0999999999999996</v>
      </c>
      <c r="U237">
        <v>4.3</v>
      </c>
      <c r="V237">
        <v>15042</v>
      </c>
    </row>
    <row r="238" spans="1:22" x14ac:dyDescent="0.3">
      <c r="A238" t="s">
        <v>323</v>
      </c>
      <c r="B238" t="s">
        <v>102</v>
      </c>
      <c r="C238">
        <v>6.59</v>
      </c>
      <c r="D238">
        <v>2.76</v>
      </c>
      <c r="E238">
        <v>2.38</v>
      </c>
      <c r="F238">
        <v>1.38</v>
      </c>
      <c r="G238" s="1">
        <v>0.16800000000000001</v>
      </c>
      <c r="H238" s="1">
        <v>7.0000000000000007E-2</v>
      </c>
      <c r="I238" s="1">
        <v>9.8000000000000004E-2</v>
      </c>
      <c r="J238">
        <v>0.28999999999999998</v>
      </c>
      <c r="K238">
        <v>1.48</v>
      </c>
      <c r="L238">
        <v>0.32300000000000001</v>
      </c>
      <c r="M238" s="1">
        <v>0.68</v>
      </c>
      <c r="N238">
        <v>124</v>
      </c>
      <c r="O238">
        <v>110</v>
      </c>
      <c r="P238">
        <v>104</v>
      </c>
      <c r="Q238">
        <v>5.21</v>
      </c>
      <c r="R238">
        <v>4.74</v>
      </c>
      <c r="S238">
        <v>0.47</v>
      </c>
      <c r="T238">
        <v>4.5999999999999996</v>
      </c>
      <c r="U238">
        <v>4.84</v>
      </c>
      <c r="V238">
        <v>11589</v>
      </c>
    </row>
    <row r="239" spans="1:22" x14ac:dyDescent="0.3">
      <c r="A239" t="s">
        <v>338</v>
      </c>
      <c r="B239" t="s">
        <v>38</v>
      </c>
      <c r="C239">
        <v>7.83</v>
      </c>
      <c r="D239">
        <v>4.47</v>
      </c>
      <c r="E239">
        <v>1.75</v>
      </c>
      <c r="F239">
        <v>1.1200000000000001</v>
      </c>
      <c r="G239" s="1">
        <v>0.19900000000000001</v>
      </c>
      <c r="H239" s="1">
        <v>0.114</v>
      </c>
      <c r="I239" s="1">
        <v>8.5000000000000006E-2</v>
      </c>
      <c r="J239">
        <v>0.27</v>
      </c>
      <c r="K239">
        <v>1.53</v>
      </c>
      <c r="L239">
        <v>0.32100000000000001</v>
      </c>
      <c r="M239" s="1">
        <v>0.61899999999999999</v>
      </c>
      <c r="N239">
        <v>113</v>
      </c>
      <c r="O239">
        <v>105</v>
      </c>
      <c r="P239">
        <v>119</v>
      </c>
      <c r="Q239">
        <v>5.43</v>
      </c>
      <c r="R239">
        <v>4.74</v>
      </c>
      <c r="S239">
        <v>0.69</v>
      </c>
      <c r="T239">
        <v>5.46</v>
      </c>
      <c r="U239">
        <v>5.13</v>
      </c>
      <c r="V239">
        <v>19341</v>
      </c>
    </row>
    <row r="240" spans="1:22" x14ac:dyDescent="0.3">
      <c r="A240" t="s">
        <v>321</v>
      </c>
      <c r="B240" t="s">
        <v>30</v>
      </c>
      <c r="C240">
        <v>7.94</v>
      </c>
      <c r="D240">
        <v>4.21</v>
      </c>
      <c r="E240">
        <v>1.89</v>
      </c>
      <c r="F240">
        <v>1.19</v>
      </c>
      <c r="G240" s="1">
        <v>0.19800000000000001</v>
      </c>
      <c r="H240" s="1">
        <v>0.105</v>
      </c>
      <c r="I240" s="1">
        <v>9.2999999999999999E-2</v>
      </c>
      <c r="J240">
        <v>0.26300000000000001</v>
      </c>
      <c r="K240">
        <v>1.5</v>
      </c>
      <c r="L240">
        <v>0.309</v>
      </c>
      <c r="M240" s="1">
        <v>0.69199999999999995</v>
      </c>
      <c r="N240">
        <v>120</v>
      </c>
      <c r="O240">
        <v>108</v>
      </c>
      <c r="P240">
        <v>114</v>
      </c>
      <c r="Q240">
        <v>5.16</v>
      </c>
      <c r="R240">
        <v>4.76</v>
      </c>
      <c r="S240">
        <v>0.4</v>
      </c>
      <c r="T240">
        <v>5.04</v>
      </c>
      <c r="U240">
        <v>5.0999999999999996</v>
      </c>
      <c r="V240">
        <v>15291</v>
      </c>
    </row>
    <row r="241" spans="1:22" x14ac:dyDescent="0.3">
      <c r="A241" t="s">
        <v>343</v>
      </c>
      <c r="B241" t="s">
        <v>38</v>
      </c>
      <c r="C241">
        <v>7.38</v>
      </c>
      <c r="D241">
        <v>2.3199999999999998</v>
      </c>
      <c r="E241">
        <v>3.18</v>
      </c>
      <c r="F241">
        <v>1.6</v>
      </c>
      <c r="G241" s="1">
        <v>0.186</v>
      </c>
      <c r="H241" s="1">
        <v>5.8999999999999997E-2</v>
      </c>
      <c r="I241" s="1">
        <v>0.128</v>
      </c>
      <c r="J241">
        <v>0.27600000000000002</v>
      </c>
      <c r="K241">
        <v>1.39</v>
      </c>
      <c r="L241">
        <v>0.308</v>
      </c>
      <c r="M241" s="1">
        <v>0.65700000000000003</v>
      </c>
      <c r="N241">
        <v>114</v>
      </c>
      <c r="O241">
        <v>105</v>
      </c>
      <c r="P241">
        <v>112</v>
      </c>
      <c r="Q241">
        <v>5.52</v>
      </c>
      <c r="R241">
        <v>4.76</v>
      </c>
      <c r="S241">
        <v>0.76</v>
      </c>
      <c r="T241">
        <v>5.14</v>
      </c>
      <c r="U241">
        <v>4.8600000000000003</v>
      </c>
      <c r="V241">
        <v>2717</v>
      </c>
    </row>
    <row r="242" spans="1:22" x14ac:dyDescent="0.3">
      <c r="A242" t="s">
        <v>255</v>
      </c>
      <c r="B242" t="s">
        <v>48</v>
      </c>
      <c r="C242">
        <v>7.46</v>
      </c>
      <c r="D242">
        <v>3.79</v>
      </c>
      <c r="E242">
        <v>1.97</v>
      </c>
      <c r="F242">
        <v>1.26</v>
      </c>
      <c r="G242" s="1">
        <v>0.191</v>
      </c>
      <c r="H242" s="1">
        <v>9.7000000000000003E-2</v>
      </c>
      <c r="I242" s="1">
        <v>9.4E-2</v>
      </c>
      <c r="J242">
        <v>0.24299999999999999</v>
      </c>
      <c r="K242">
        <v>1.36</v>
      </c>
      <c r="L242">
        <v>0.27600000000000002</v>
      </c>
      <c r="M242" s="1">
        <v>0.69799999999999995</v>
      </c>
      <c r="N242">
        <v>106</v>
      </c>
      <c r="O242">
        <v>108</v>
      </c>
      <c r="P242">
        <v>123</v>
      </c>
      <c r="Q242">
        <v>4.51</v>
      </c>
      <c r="R242">
        <v>4.76</v>
      </c>
      <c r="S242">
        <v>-0.25</v>
      </c>
      <c r="T242">
        <v>5.44</v>
      </c>
      <c r="U242">
        <v>5.25</v>
      </c>
      <c r="V242">
        <v>8044</v>
      </c>
    </row>
    <row r="243" spans="1:22" x14ac:dyDescent="0.3">
      <c r="A243" t="s">
        <v>339</v>
      </c>
      <c r="B243" t="s">
        <v>83</v>
      </c>
      <c r="C243">
        <v>6.56</v>
      </c>
      <c r="D243">
        <v>3.56</v>
      </c>
      <c r="E243">
        <v>1.84</v>
      </c>
      <c r="F243">
        <v>1.22</v>
      </c>
      <c r="G243" s="1">
        <v>0.16400000000000001</v>
      </c>
      <c r="H243" s="1">
        <v>8.8999999999999996E-2</v>
      </c>
      <c r="I243" s="1">
        <v>7.4999999999999997E-2</v>
      </c>
      <c r="J243">
        <v>0.28699999999999998</v>
      </c>
      <c r="K243">
        <v>1.55</v>
      </c>
      <c r="L243">
        <v>0.32200000000000001</v>
      </c>
      <c r="M243" s="1">
        <v>0.67800000000000005</v>
      </c>
      <c r="N243">
        <v>129</v>
      </c>
      <c r="O243">
        <v>114</v>
      </c>
      <c r="P243">
        <v>112</v>
      </c>
      <c r="Q243">
        <v>5.44</v>
      </c>
      <c r="R243">
        <v>4.7699999999999996</v>
      </c>
      <c r="S243">
        <v>0.67</v>
      </c>
      <c r="T243">
        <v>4.95</v>
      </c>
      <c r="U243">
        <v>5.31</v>
      </c>
      <c r="V243">
        <v>19453</v>
      </c>
    </row>
    <row r="244" spans="1:22" x14ac:dyDescent="0.3">
      <c r="A244" t="s">
        <v>235</v>
      </c>
      <c r="B244" t="s">
        <v>127</v>
      </c>
      <c r="C244">
        <v>7.92</v>
      </c>
      <c r="D244">
        <v>3.17</v>
      </c>
      <c r="E244">
        <v>2.5</v>
      </c>
      <c r="F244">
        <v>1.45</v>
      </c>
      <c r="G244" s="1">
        <v>0.20699999999999999</v>
      </c>
      <c r="H244" s="1">
        <v>8.3000000000000004E-2</v>
      </c>
      <c r="I244" s="1">
        <v>0.124</v>
      </c>
      <c r="J244">
        <v>0.25</v>
      </c>
      <c r="K244">
        <v>1.31</v>
      </c>
      <c r="L244">
        <v>0.28499999999999998</v>
      </c>
      <c r="M244" s="1">
        <v>0.73499999999999999</v>
      </c>
      <c r="N244">
        <v>92</v>
      </c>
      <c r="O244">
        <v>107</v>
      </c>
      <c r="P244">
        <v>112</v>
      </c>
      <c r="Q244">
        <v>4.34</v>
      </c>
      <c r="R244">
        <v>4.78</v>
      </c>
      <c r="S244">
        <v>-0.44</v>
      </c>
      <c r="T244">
        <v>5.14</v>
      </c>
      <c r="U244">
        <v>4.8899999999999997</v>
      </c>
      <c r="V244">
        <v>3542</v>
      </c>
    </row>
    <row r="245" spans="1:22" x14ac:dyDescent="0.3">
      <c r="A245" t="s">
        <v>388</v>
      </c>
      <c r="B245" t="s">
        <v>159</v>
      </c>
      <c r="C245">
        <v>6.59</v>
      </c>
      <c r="D245">
        <v>2.0099999999999998</v>
      </c>
      <c r="E245">
        <v>3.28</v>
      </c>
      <c r="F245">
        <v>1.53</v>
      </c>
      <c r="G245" s="1">
        <v>0.16300000000000001</v>
      </c>
      <c r="H245" s="1">
        <v>0.05</v>
      </c>
      <c r="I245" s="1">
        <v>0.113</v>
      </c>
      <c r="J245">
        <v>0.307</v>
      </c>
      <c r="K245">
        <v>1.52</v>
      </c>
      <c r="L245">
        <v>0.33900000000000002</v>
      </c>
      <c r="M245" s="1">
        <v>0.58199999999999996</v>
      </c>
      <c r="N245">
        <v>148</v>
      </c>
      <c r="O245">
        <v>103</v>
      </c>
      <c r="P245">
        <v>106</v>
      </c>
      <c r="Q245">
        <v>6.91</v>
      </c>
      <c r="R245">
        <v>4.79</v>
      </c>
      <c r="S245">
        <v>2.13</v>
      </c>
      <c r="T245">
        <v>4.87</v>
      </c>
      <c r="U245">
        <v>4.93</v>
      </c>
      <c r="V245">
        <v>4505</v>
      </c>
    </row>
    <row r="246" spans="1:22" x14ac:dyDescent="0.3">
      <c r="A246" t="s">
        <v>218</v>
      </c>
      <c r="B246" t="s">
        <v>83</v>
      </c>
      <c r="C246">
        <v>6.83</v>
      </c>
      <c r="D246">
        <v>2</v>
      </c>
      <c r="E246">
        <v>3.42</v>
      </c>
      <c r="F246">
        <v>1.5</v>
      </c>
      <c r="G246" s="1">
        <v>0.17699999999999999</v>
      </c>
      <c r="H246" s="1">
        <v>5.1999999999999998E-2</v>
      </c>
      <c r="I246" s="1">
        <v>0.126</v>
      </c>
      <c r="J246">
        <v>0.26200000000000001</v>
      </c>
      <c r="K246">
        <v>1.26</v>
      </c>
      <c r="L246">
        <v>0.28699999999999998</v>
      </c>
      <c r="M246" s="1">
        <v>0.77800000000000002</v>
      </c>
      <c r="N246">
        <v>99</v>
      </c>
      <c r="O246">
        <v>115</v>
      </c>
      <c r="P246">
        <v>110</v>
      </c>
      <c r="Q246">
        <v>4.17</v>
      </c>
      <c r="R246">
        <v>4.8099999999999996</v>
      </c>
      <c r="S246">
        <v>-0.64</v>
      </c>
      <c r="T246">
        <v>4.8899999999999997</v>
      </c>
      <c r="U246">
        <v>4.41</v>
      </c>
      <c r="V246">
        <v>3132</v>
      </c>
    </row>
    <row r="247" spans="1:22" x14ac:dyDescent="0.3">
      <c r="A247" t="s">
        <v>141</v>
      </c>
      <c r="B247" t="s">
        <v>98</v>
      </c>
      <c r="C247">
        <v>7.67</v>
      </c>
      <c r="D247">
        <v>2.92</v>
      </c>
      <c r="E247">
        <v>2.63</v>
      </c>
      <c r="F247">
        <v>1.51</v>
      </c>
      <c r="G247" s="1">
        <v>0.20300000000000001</v>
      </c>
      <c r="H247" s="1">
        <v>7.6999999999999999E-2</v>
      </c>
      <c r="I247" s="1">
        <v>0.126</v>
      </c>
      <c r="J247">
        <v>0.22600000000000001</v>
      </c>
      <c r="K247">
        <v>1.19</v>
      </c>
      <c r="L247">
        <v>0.249</v>
      </c>
      <c r="M247" s="1">
        <v>0.755</v>
      </c>
      <c r="N247">
        <v>81</v>
      </c>
      <c r="O247">
        <v>110</v>
      </c>
      <c r="P247">
        <v>105</v>
      </c>
      <c r="Q247">
        <v>3.56</v>
      </c>
      <c r="R247">
        <v>4.8099999999999996</v>
      </c>
      <c r="S247">
        <v>-1.25</v>
      </c>
      <c r="T247">
        <v>4.6500000000000004</v>
      </c>
      <c r="U247">
        <v>4.68</v>
      </c>
      <c r="V247">
        <v>18333</v>
      </c>
    </row>
    <row r="248" spans="1:22" x14ac:dyDescent="0.3">
      <c r="A248" t="s">
        <v>324</v>
      </c>
      <c r="B248" t="s">
        <v>127</v>
      </c>
      <c r="C248">
        <v>8.42</v>
      </c>
      <c r="D248">
        <v>2.98</v>
      </c>
      <c r="E248">
        <v>2.83</v>
      </c>
      <c r="F248">
        <v>1.59</v>
      </c>
      <c r="G248" s="1">
        <v>0.21299999999999999</v>
      </c>
      <c r="H248" s="1">
        <v>7.4999999999999997E-2</v>
      </c>
      <c r="I248" s="1">
        <v>0.13700000000000001</v>
      </c>
      <c r="J248">
        <v>0.27400000000000002</v>
      </c>
      <c r="K248">
        <v>1.43</v>
      </c>
      <c r="L248">
        <v>0.318</v>
      </c>
      <c r="M248" s="1">
        <v>0.70299999999999996</v>
      </c>
      <c r="N248">
        <v>111</v>
      </c>
      <c r="O248">
        <v>107</v>
      </c>
      <c r="P248">
        <v>101</v>
      </c>
      <c r="Q248">
        <v>5.24</v>
      </c>
      <c r="R248">
        <v>4.82</v>
      </c>
      <c r="S248">
        <v>0.41</v>
      </c>
      <c r="T248">
        <v>4.63</v>
      </c>
      <c r="U248">
        <v>4.63</v>
      </c>
      <c r="V248">
        <v>13619</v>
      </c>
    </row>
    <row r="249" spans="1:22" x14ac:dyDescent="0.3">
      <c r="A249" t="s">
        <v>223</v>
      </c>
      <c r="B249" t="s">
        <v>71</v>
      </c>
      <c r="C249">
        <v>8.0299999999999994</v>
      </c>
      <c r="D249">
        <v>3.24</v>
      </c>
      <c r="E249">
        <v>2.48</v>
      </c>
      <c r="F249">
        <v>1.49</v>
      </c>
      <c r="G249" s="1">
        <v>0.20899999999999999</v>
      </c>
      <c r="H249" s="1">
        <v>8.4000000000000005E-2</v>
      </c>
      <c r="I249" s="1">
        <v>0.125</v>
      </c>
      <c r="J249">
        <v>0.23599999999999999</v>
      </c>
      <c r="K249">
        <v>1.27</v>
      </c>
      <c r="L249">
        <v>0.26600000000000001</v>
      </c>
      <c r="M249" s="1">
        <v>0.77100000000000002</v>
      </c>
      <c r="N249">
        <v>95</v>
      </c>
      <c r="O249">
        <v>108</v>
      </c>
      <c r="P249">
        <v>119</v>
      </c>
      <c r="Q249">
        <v>4.21</v>
      </c>
      <c r="R249">
        <v>4.83</v>
      </c>
      <c r="S249">
        <v>-0.62</v>
      </c>
      <c r="T249">
        <v>5.26</v>
      </c>
      <c r="U249">
        <v>4.8899999999999997</v>
      </c>
      <c r="V249">
        <v>6895</v>
      </c>
    </row>
    <row r="250" spans="1:22" x14ac:dyDescent="0.3">
      <c r="A250" t="s">
        <v>303</v>
      </c>
      <c r="B250" t="s">
        <v>36</v>
      </c>
      <c r="C250">
        <v>9.94</v>
      </c>
      <c r="D250">
        <v>5.93</v>
      </c>
      <c r="E250">
        <v>1.68</v>
      </c>
      <c r="F250">
        <v>1.19</v>
      </c>
      <c r="G250" s="1">
        <v>0.23499999999999999</v>
      </c>
      <c r="H250" s="1">
        <v>0.14000000000000001</v>
      </c>
      <c r="I250" s="1">
        <v>9.5000000000000001E-2</v>
      </c>
      <c r="J250">
        <v>0.252</v>
      </c>
      <c r="K250">
        <v>1.66</v>
      </c>
      <c r="L250">
        <v>0.317</v>
      </c>
      <c r="M250" s="1">
        <v>0.73299999999999998</v>
      </c>
      <c r="N250">
        <v>106</v>
      </c>
      <c r="O250">
        <v>104</v>
      </c>
      <c r="P250">
        <v>105</v>
      </c>
      <c r="Q250">
        <v>4.9000000000000004</v>
      </c>
      <c r="R250">
        <v>4.8499999999999996</v>
      </c>
      <c r="S250">
        <v>0.05</v>
      </c>
      <c r="T250">
        <v>4.8</v>
      </c>
      <c r="U250">
        <v>4.82</v>
      </c>
      <c r="V250">
        <v>13133</v>
      </c>
    </row>
    <row r="251" spans="1:22" x14ac:dyDescent="0.3">
      <c r="A251" t="s">
        <v>214</v>
      </c>
      <c r="B251" t="s">
        <v>95</v>
      </c>
      <c r="C251">
        <v>7.11</v>
      </c>
      <c r="D251">
        <v>2.64</v>
      </c>
      <c r="E251">
        <v>2.69</v>
      </c>
      <c r="F251">
        <v>1.54</v>
      </c>
      <c r="G251" s="1">
        <v>0.183</v>
      </c>
      <c r="H251" s="1">
        <v>6.8000000000000005E-2</v>
      </c>
      <c r="I251" s="1">
        <v>0.115</v>
      </c>
      <c r="J251">
        <v>0.26400000000000001</v>
      </c>
      <c r="K251">
        <v>1.35</v>
      </c>
      <c r="L251">
        <v>0.29099999999999998</v>
      </c>
      <c r="M251" s="1">
        <v>0.73899999999999999</v>
      </c>
      <c r="N251">
        <v>94</v>
      </c>
      <c r="O251">
        <v>107</v>
      </c>
      <c r="P251">
        <v>107</v>
      </c>
      <c r="Q251">
        <v>4.13</v>
      </c>
      <c r="R251">
        <v>4.8499999999999996</v>
      </c>
      <c r="S251">
        <v>-0.72</v>
      </c>
      <c r="T251">
        <v>4.76</v>
      </c>
      <c r="U251">
        <v>4.8600000000000003</v>
      </c>
      <c r="V251">
        <v>13774</v>
      </c>
    </row>
    <row r="252" spans="1:22" x14ac:dyDescent="0.3">
      <c r="A252" t="s">
        <v>210</v>
      </c>
      <c r="B252" t="s">
        <v>40</v>
      </c>
      <c r="C252">
        <v>8.33</v>
      </c>
      <c r="D252">
        <v>3.44</v>
      </c>
      <c r="E252">
        <v>2.42</v>
      </c>
      <c r="F252">
        <v>1.56</v>
      </c>
      <c r="G252" s="1">
        <v>0.219</v>
      </c>
      <c r="H252" s="1">
        <v>0.09</v>
      </c>
      <c r="I252" s="1">
        <v>0.128</v>
      </c>
      <c r="J252">
        <v>0.24299999999999999</v>
      </c>
      <c r="K252">
        <v>1.31</v>
      </c>
      <c r="L252">
        <v>0.27700000000000002</v>
      </c>
      <c r="M252" s="1">
        <v>0.749</v>
      </c>
      <c r="N252">
        <v>89</v>
      </c>
      <c r="O252">
        <v>104</v>
      </c>
      <c r="P252">
        <v>99</v>
      </c>
      <c r="Q252">
        <v>4.1100000000000003</v>
      </c>
      <c r="R252">
        <v>4.87</v>
      </c>
      <c r="S252">
        <v>-0.76</v>
      </c>
      <c r="T252">
        <v>4.51</v>
      </c>
      <c r="U252">
        <v>4.3</v>
      </c>
      <c r="V252">
        <v>13345</v>
      </c>
    </row>
    <row r="253" spans="1:22" x14ac:dyDescent="0.3">
      <c r="A253" t="s">
        <v>365</v>
      </c>
      <c r="B253" t="s">
        <v>159</v>
      </c>
      <c r="C253">
        <v>7.91</v>
      </c>
      <c r="D253">
        <v>3.57</v>
      </c>
      <c r="E253">
        <v>2.2200000000000002</v>
      </c>
      <c r="F253">
        <v>1.4</v>
      </c>
      <c r="G253" s="1">
        <v>0.19800000000000001</v>
      </c>
      <c r="H253" s="1">
        <v>8.8999999999999996E-2</v>
      </c>
      <c r="I253" s="1">
        <v>0.109</v>
      </c>
      <c r="J253">
        <v>0.30299999999999999</v>
      </c>
      <c r="K253">
        <v>1.6</v>
      </c>
      <c r="L253">
        <v>0.35699999999999998</v>
      </c>
      <c r="M253" s="1">
        <v>0.67500000000000004</v>
      </c>
      <c r="N253">
        <v>126</v>
      </c>
      <c r="O253">
        <v>105</v>
      </c>
      <c r="P253">
        <v>102</v>
      </c>
      <c r="Q253">
        <v>5.9</v>
      </c>
      <c r="R253">
        <v>4.87</v>
      </c>
      <c r="S253">
        <v>1.03</v>
      </c>
      <c r="T253">
        <v>4.67</v>
      </c>
      <c r="U253">
        <v>4.55</v>
      </c>
      <c r="V253">
        <v>13424</v>
      </c>
    </row>
    <row r="254" spans="1:22" x14ac:dyDescent="0.3">
      <c r="A254" t="s">
        <v>353</v>
      </c>
      <c r="B254" t="s">
        <v>58</v>
      </c>
      <c r="C254">
        <v>9.4499999999999993</v>
      </c>
      <c r="D254">
        <v>6.3</v>
      </c>
      <c r="E254">
        <v>1.5</v>
      </c>
      <c r="F254">
        <v>1.05</v>
      </c>
      <c r="G254" s="1">
        <v>0.23</v>
      </c>
      <c r="H254" s="1">
        <v>0.153</v>
      </c>
      <c r="I254" s="1">
        <v>7.6999999999999999E-2</v>
      </c>
      <c r="J254">
        <v>0.27100000000000002</v>
      </c>
      <c r="K254">
        <v>1.73</v>
      </c>
      <c r="L254">
        <v>0.34599999999999997</v>
      </c>
      <c r="M254" s="1">
        <v>0.7</v>
      </c>
      <c r="N254">
        <v>138</v>
      </c>
      <c r="O254">
        <v>112</v>
      </c>
      <c r="P254">
        <v>113</v>
      </c>
      <c r="Q254">
        <v>5.7</v>
      </c>
      <c r="R254">
        <v>4.88</v>
      </c>
      <c r="S254">
        <v>0.82</v>
      </c>
      <c r="T254">
        <v>4.99</v>
      </c>
      <c r="U254">
        <v>5.05</v>
      </c>
      <c r="V254">
        <v>5114</v>
      </c>
    </row>
    <row r="255" spans="1:22" x14ac:dyDescent="0.3">
      <c r="A255" t="s">
        <v>272</v>
      </c>
      <c r="B255" t="s">
        <v>95</v>
      </c>
      <c r="C255">
        <v>7.3</v>
      </c>
      <c r="D255">
        <v>3.38</v>
      </c>
      <c r="E255">
        <v>2.16</v>
      </c>
      <c r="F255">
        <v>1.39</v>
      </c>
      <c r="G255" s="1">
        <v>0.185</v>
      </c>
      <c r="H255" s="1">
        <v>8.5999999999999993E-2</v>
      </c>
      <c r="I255" s="1">
        <v>9.9000000000000005E-2</v>
      </c>
      <c r="J255">
        <v>0.27800000000000002</v>
      </c>
      <c r="K255">
        <v>1.47</v>
      </c>
      <c r="L255">
        <v>0.316</v>
      </c>
      <c r="M255" s="1">
        <v>0.73799999999999999</v>
      </c>
      <c r="N255">
        <v>105</v>
      </c>
      <c r="O255">
        <v>108</v>
      </c>
      <c r="P255">
        <v>101</v>
      </c>
      <c r="Q255">
        <v>4.6399999999999997</v>
      </c>
      <c r="R255">
        <v>4.8899999999999997</v>
      </c>
      <c r="S255">
        <v>-0.24</v>
      </c>
      <c r="T255">
        <v>4.46</v>
      </c>
      <c r="U255">
        <v>4.82</v>
      </c>
      <c r="V255">
        <v>4153</v>
      </c>
    </row>
    <row r="256" spans="1:22" x14ac:dyDescent="0.3">
      <c r="A256" t="s">
        <v>286</v>
      </c>
      <c r="B256" t="s">
        <v>43</v>
      </c>
      <c r="C256">
        <v>11.13</v>
      </c>
      <c r="D256">
        <v>7.04</v>
      </c>
      <c r="E256">
        <v>1.58</v>
      </c>
      <c r="F256">
        <v>1.1499999999999999</v>
      </c>
      <c r="G256" s="1">
        <v>0.27100000000000002</v>
      </c>
      <c r="H256" s="1">
        <v>0.17100000000000001</v>
      </c>
      <c r="I256" s="1">
        <v>0.1</v>
      </c>
      <c r="J256">
        <v>0.215</v>
      </c>
      <c r="K256">
        <v>1.58</v>
      </c>
      <c r="L256">
        <v>0.28499999999999998</v>
      </c>
      <c r="M256" s="1">
        <v>0.71099999999999997</v>
      </c>
      <c r="N256">
        <v>105</v>
      </c>
      <c r="O256">
        <v>106</v>
      </c>
      <c r="P256">
        <v>96</v>
      </c>
      <c r="Q256">
        <v>4.75</v>
      </c>
      <c r="R256">
        <v>4.9000000000000004</v>
      </c>
      <c r="S256">
        <v>-0.16</v>
      </c>
      <c r="T256">
        <v>4.41</v>
      </c>
      <c r="U256">
        <v>4.8099999999999996</v>
      </c>
      <c r="V256">
        <v>16159</v>
      </c>
    </row>
    <row r="257" spans="1:22" x14ac:dyDescent="0.3">
      <c r="A257" t="s">
        <v>239</v>
      </c>
      <c r="B257" t="s">
        <v>36</v>
      </c>
      <c r="C257">
        <v>7.27</v>
      </c>
      <c r="D257">
        <v>3.35</v>
      </c>
      <c r="E257">
        <v>2.17</v>
      </c>
      <c r="F257">
        <v>1.38</v>
      </c>
      <c r="G257" s="1">
        <v>0.188</v>
      </c>
      <c r="H257" s="1">
        <v>8.6999999999999994E-2</v>
      </c>
      <c r="I257" s="1">
        <v>0.10100000000000001</v>
      </c>
      <c r="J257">
        <v>0.249</v>
      </c>
      <c r="K257">
        <v>1.33</v>
      </c>
      <c r="L257">
        <v>0.27900000000000003</v>
      </c>
      <c r="M257" s="1">
        <v>0.71599999999999997</v>
      </c>
      <c r="N257">
        <v>95</v>
      </c>
      <c r="O257">
        <v>106</v>
      </c>
      <c r="P257">
        <v>114</v>
      </c>
      <c r="Q257">
        <v>4.38</v>
      </c>
      <c r="R257">
        <v>4.91</v>
      </c>
      <c r="S257">
        <v>-0.52</v>
      </c>
      <c r="T257">
        <v>5.2</v>
      </c>
      <c r="U257">
        <v>5.05</v>
      </c>
      <c r="V257">
        <v>18318</v>
      </c>
    </row>
    <row r="258" spans="1:22" x14ac:dyDescent="0.3">
      <c r="A258" t="s">
        <v>205</v>
      </c>
      <c r="B258" t="s">
        <v>71</v>
      </c>
      <c r="C258">
        <v>6.39</v>
      </c>
      <c r="D258">
        <v>3.48</v>
      </c>
      <c r="E258">
        <v>1.83</v>
      </c>
      <c r="F258">
        <v>1.1599999999999999</v>
      </c>
      <c r="G258" s="1">
        <v>0.16500000000000001</v>
      </c>
      <c r="H258" s="1">
        <v>0.09</v>
      </c>
      <c r="I258" s="1">
        <v>7.4999999999999997E-2</v>
      </c>
      <c r="J258">
        <v>0.24099999999999999</v>
      </c>
      <c r="K258">
        <v>1.31</v>
      </c>
      <c r="L258">
        <v>0.26500000000000001</v>
      </c>
      <c r="M258" s="1">
        <v>0.76500000000000001</v>
      </c>
      <c r="N258">
        <v>92</v>
      </c>
      <c r="O258">
        <v>110</v>
      </c>
      <c r="P258">
        <v>104</v>
      </c>
      <c r="Q258">
        <v>4.0599999999999996</v>
      </c>
      <c r="R258">
        <v>4.92</v>
      </c>
      <c r="S258">
        <v>-0.86</v>
      </c>
      <c r="T258">
        <v>4.59</v>
      </c>
      <c r="U258">
        <v>4.54</v>
      </c>
      <c r="V258">
        <v>12890</v>
      </c>
    </row>
    <row r="259" spans="1:22" x14ac:dyDescent="0.3">
      <c r="A259" t="s">
        <v>344</v>
      </c>
      <c r="B259" t="s">
        <v>48</v>
      </c>
      <c r="C259">
        <v>8.17</v>
      </c>
      <c r="D259">
        <v>3.91</v>
      </c>
      <c r="E259">
        <v>2.09</v>
      </c>
      <c r="F259">
        <v>1.54</v>
      </c>
      <c r="G259" s="1">
        <v>0.20100000000000001</v>
      </c>
      <c r="H259" s="1">
        <v>9.6000000000000002E-2</v>
      </c>
      <c r="I259" s="1">
        <v>0.105</v>
      </c>
      <c r="J259">
        <v>0.29899999999999999</v>
      </c>
      <c r="K259">
        <v>1.66</v>
      </c>
      <c r="L259">
        <v>0.34899999999999998</v>
      </c>
      <c r="M259" s="1">
        <v>0.70499999999999996</v>
      </c>
      <c r="N259">
        <v>126</v>
      </c>
      <c r="O259">
        <v>109</v>
      </c>
      <c r="P259">
        <v>107</v>
      </c>
      <c r="Q259">
        <v>5.57</v>
      </c>
      <c r="R259">
        <v>4.92</v>
      </c>
      <c r="S259">
        <v>0.64</v>
      </c>
      <c r="T259">
        <v>4.82</v>
      </c>
      <c r="U259">
        <v>4.79</v>
      </c>
      <c r="V259">
        <v>13761</v>
      </c>
    </row>
    <row r="260" spans="1:22" x14ac:dyDescent="0.3">
      <c r="A260" t="s">
        <v>121</v>
      </c>
      <c r="B260" t="s">
        <v>50</v>
      </c>
      <c r="C260">
        <v>7.01</v>
      </c>
      <c r="D260">
        <v>4.43</v>
      </c>
      <c r="E260">
        <v>1.58</v>
      </c>
      <c r="F260">
        <v>1.1299999999999999</v>
      </c>
      <c r="G260" s="1">
        <v>0.18</v>
      </c>
      <c r="H260" s="1">
        <v>0.114</v>
      </c>
      <c r="I260" s="1">
        <v>6.6000000000000003E-2</v>
      </c>
      <c r="J260">
        <v>0.24199999999999999</v>
      </c>
      <c r="K260">
        <v>1.41</v>
      </c>
      <c r="L260">
        <v>0.27400000000000002</v>
      </c>
      <c r="M260" s="1">
        <v>0.78100000000000003</v>
      </c>
      <c r="N260">
        <v>79</v>
      </c>
      <c r="O260">
        <v>114</v>
      </c>
      <c r="P260">
        <v>103</v>
      </c>
      <c r="Q260">
        <v>3.35</v>
      </c>
      <c r="R260">
        <v>4.93</v>
      </c>
      <c r="S260">
        <v>-1.58</v>
      </c>
      <c r="T260">
        <v>4.55</v>
      </c>
      <c r="U260">
        <v>5.08</v>
      </c>
      <c r="V260">
        <v>19206</v>
      </c>
    </row>
    <row r="261" spans="1:22" x14ac:dyDescent="0.3">
      <c r="A261" t="s">
        <v>173</v>
      </c>
      <c r="B261" t="s">
        <v>56</v>
      </c>
      <c r="C261">
        <v>6.85</v>
      </c>
      <c r="D261">
        <v>3.11</v>
      </c>
      <c r="E261">
        <v>2.2000000000000002</v>
      </c>
      <c r="F261">
        <v>1.48</v>
      </c>
      <c r="G261" s="1">
        <v>0.185</v>
      </c>
      <c r="H261" s="1">
        <v>8.4000000000000005E-2</v>
      </c>
      <c r="I261" s="1">
        <v>0.10100000000000001</v>
      </c>
      <c r="J261">
        <v>0.23599999999999999</v>
      </c>
      <c r="K261">
        <v>1.23</v>
      </c>
      <c r="L261">
        <v>0.255</v>
      </c>
      <c r="M261" s="1">
        <v>0.78500000000000003</v>
      </c>
      <c r="N261">
        <v>79</v>
      </c>
      <c r="O261">
        <v>108</v>
      </c>
      <c r="P261">
        <v>110</v>
      </c>
      <c r="Q261">
        <v>3.81</v>
      </c>
      <c r="R261">
        <v>4.9400000000000004</v>
      </c>
      <c r="S261">
        <v>-1.1299999999999999</v>
      </c>
      <c r="T261">
        <v>5.0599999999999996</v>
      </c>
      <c r="U261">
        <v>5.13</v>
      </c>
      <c r="V261">
        <v>19979</v>
      </c>
    </row>
    <row r="262" spans="1:22" x14ac:dyDescent="0.3">
      <c r="A262" t="s">
        <v>275</v>
      </c>
      <c r="B262" t="s">
        <v>43</v>
      </c>
      <c r="C262">
        <v>8.11</v>
      </c>
      <c r="D262">
        <v>2</v>
      </c>
      <c r="E262">
        <v>4.07</v>
      </c>
      <c r="F262">
        <v>2</v>
      </c>
      <c r="G262" s="1">
        <v>0.224</v>
      </c>
      <c r="H262" s="1">
        <v>5.5E-2</v>
      </c>
      <c r="I262" s="1">
        <v>0.16900000000000001</v>
      </c>
      <c r="J262">
        <v>0.24099999999999999</v>
      </c>
      <c r="K262">
        <v>1.1399999999999999</v>
      </c>
      <c r="L262">
        <v>0.26</v>
      </c>
      <c r="M262" s="1">
        <v>0.69599999999999995</v>
      </c>
      <c r="N262">
        <v>103</v>
      </c>
      <c r="O262">
        <v>107</v>
      </c>
      <c r="P262">
        <v>91</v>
      </c>
      <c r="Q262">
        <v>4.66</v>
      </c>
      <c r="R262">
        <v>4.96</v>
      </c>
      <c r="S262">
        <v>-0.3</v>
      </c>
      <c r="T262">
        <v>4.16</v>
      </c>
      <c r="U262">
        <v>3.93</v>
      </c>
      <c r="V262">
        <v>11528</v>
      </c>
    </row>
    <row r="263" spans="1:22" x14ac:dyDescent="0.3">
      <c r="A263" t="s">
        <v>154</v>
      </c>
      <c r="B263" t="s">
        <v>28</v>
      </c>
      <c r="C263">
        <v>7.12</v>
      </c>
      <c r="D263">
        <v>2.97</v>
      </c>
      <c r="E263">
        <v>2.4</v>
      </c>
      <c r="F263">
        <v>1.48</v>
      </c>
      <c r="G263" s="1">
        <v>0.187</v>
      </c>
      <c r="H263" s="1">
        <v>7.8E-2</v>
      </c>
      <c r="I263" s="1">
        <v>0.109</v>
      </c>
      <c r="J263">
        <v>0.24</v>
      </c>
      <c r="K263">
        <v>1.25</v>
      </c>
      <c r="L263">
        <v>0.26300000000000001</v>
      </c>
      <c r="M263" s="1">
        <v>0.83299999999999996</v>
      </c>
      <c r="N263">
        <v>83</v>
      </c>
      <c r="O263">
        <v>110</v>
      </c>
      <c r="P263">
        <v>106</v>
      </c>
      <c r="Q263">
        <v>3.71</v>
      </c>
      <c r="R263">
        <v>4.96</v>
      </c>
      <c r="S263">
        <v>-1.25</v>
      </c>
      <c r="T263">
        <v>4.8499999999999996</v>
      </c>
      <c r="U263">
        <v>4.49</v>
      </c>
      <c r="V263">
        <v>2391</v>
      </c>
    </row>
    <row r="264" spans="1:22" x14ac:dyDescent="0.3">
      <c r="A264" t="s">
        <v>184</v>
      </c>
      <c r="B264" t="s">
        <v>34</v>
      </c>
      <c r="C264">
        <v>6.14</v>
      </c>
      <c r="D264">
        <v>2.58</v>
      </c>
      <c r="E264">
        <v>2.38</v>
      </c>
      <c r="F264">
        <v>1.46</v>
      </c>
      <c r="G264" s="1">
        <v>0.16700000000000001</v>
      </c>
      <c r="H264" s="1">
        <v>7.0000000000000007E-2</v>
      </c>
      <c r="I264" s="1">
        <v>9.7000000000000003E-2</v>
      </c>
      <c r="J264">
        <v>0.24</v>
      </c>
      <c r="K264">
        <v>1.19</v>
      </c>
      <c r="L264">
        <v>0.254</v>
      </c>
      <c r="M264" s="1">
        <v>0.78500000000000003</v>
      </c>
      <c r="N264">
        <v>87</v>
      </c>
      <c r="O264">
        <v>111</v>
      </c>
      <c r="P264">
        <v>113</v>
      </c>
      <c r="Q264">
        <v>3.9</v>
      </c>
      <c r="R264">
        <v>4.97</v>
      </c>
      <c r="S264">
        <v>-1.07</v>
      </c>
      <c r="T264">
        <v>5.19</v>
      </c>
      <c r="U264">
        <v>5.19</v>
      </c>
      <c r="V264">
        <v>7754</v>
      </c>
    </row>
    <row r="265" spans="1:22" x14ac:dyDescent="0.3">
      <c r="A265" t="s">
        <v>345</v>
      </c>
      <c r="B265" t="s">
        <v>30</v>
      </c>
      <c r="C265">
        <v>10.08</v>
      </c>
      <c r="D265">
        <v>6.48</v>
      </c>
      <c r="E265">
        <v>1.56</v>
      </c>
      <c r="F265">
        <v>0.9</v>
      </c>
      <c r="G265" s="1">
        <v>0.23300000000000001</v>
      </c>
      <c r="H265" s="1">
        <v>0.15</v>
      </c>
      <c r="I265" s="1">
        <v>8.3000000000000004E-2</v>
      </c>
      <c r="J265">
        <v>0.23100000000000001</v>
      </c>
      <c r="K265">
        <v>1.62</v>
      </c>
      <c r="L265">
        <v>0.29899999999999999</v>
      </c>
      <c r="M265" s="1">
        <v>0.65100000000000002</v>
      </c>
      <c r="N265">
        <v>129</v>
      </c>
      <c r="O265">
        <v>112</v>
      </c>
      <c r="P265">
        <v>110</v>
      </c>
      <c r="Q265">
        <v>5.58</v>
      </c>
      <c r="R265">
        <v>4.97</v>
      </c>
      <c r="S265">
        <v>0.61</v>
      </c>
      <c r="T265">
        <v>4.87</v>
      </c>
      <c r="U265">
        <v>4.7699999999999996</v>
      </c>
      <c r="V265">
        <v>13649</v>
      </c>
    </row>
    <row r="266" spans="1:22" x14ac:dyDescent="0.3">
      <c r="A266" t="s">
        <v>258</v>
      </c>
      <c r="B266" t="s">
        <v>75</v>
      </c>
      <c r="C266">
        <v>8.08</v>
      </c>
      <c r="D266">
        <v>2.85</v>
      </c>
      <c r="E266">
        <v>2.84</v>
      </c>
      <c r="F266">
        <v>1.77</v>
      </c>
      <c r="G266" s="1">
        <v>0.214</v>
      </c>
      <c r="H266" s="1">
        <v>7.4999999999999997E-2</v>
      </c>
      <c r="I266" s="1">
        <v>0.13800000000000001</v>
      </c>
      <c r="J266">
        <v>0.24099999999999999</v>
      </c>
      <c r="K266">
        <v>1.25</v>
      </c>
      <c r="L266">
        <v>0.26500000000000001</v>
      </c>
      <c r="M266" s="1">
        <v>0.71699999999999997</v>
      </c>
      <c r="N266">
        <v>102</v>
      </c>
      <c r="O266">
        <v>114</v>
      </c>
      <c r="P266">
        <v>107</v>
      </c>
      <c r="Q266">
        <v>4.54</v>
      </c>
      <c r="R266">
        <v>4.97</v>
      </c>
      <c r="S266">
        <v>-0.44</v>
      </c>
      <c r="T266">
        <v>4.7300000000000004</v>
      </c>
      <c r="U266">
        <v>4.71</v>
      </c>
      <c r="V266">
        <v>10811</v>
      </c>
    </row>
    <row r="267" spans="1:22" x14ac:dyDescent="0.3">
      <c r="A267" t="s">
        <v>285</v>
      </c>
      <c r="B267" t="s">
        <v>43</v>
      </c>
      <c r="C267">
        <v>5.49</v>
      </c>
      <c r="D267">
        <v>2.2599999999999998</v>
      </c>
      <c r="E267">
        <v>2.4300000000000002</v>
      </c>
      <c r="F267">
        <v>1.44</v>
      </c>
      <c r="G267" s="1">
        <v>0.14099999999999999</v>
      </c>
      <c r="H267" s="1">
        <v>5.8000000000000003E-2</v>
      </c>
      <c r="I267" s="1">
        <v>8.3000000000000004E-2</v>
      </c>
      <c r="J267">
        <v>0.3</v>
      </c>
      <c r="K267">
        <v>1.45</v>
      </c>
      <c r="L267">
        <v>0.32200000000000001</v>
      </c>
      <c r="M267" s="1">
        <v>0.72799999999999998</v>
      </c>
      <c r="N267">
        <v>104</v>
      </c>
      <c r="O267">
        <v>107</v>
      </c>
      <c r="P267">
        <v>107</v>
      </c>
      <c r="Q267">
        <v>4.72</v>
      </c>
      <c r="R267">
        <v>4.9800000000000004</v>
      </c>
      <c r="S267">
        <v>-0.26</v>
      </c>
      <c r="T267">
        <v>4.91</v>
      </c>
      <c r="U267">
        <v>5.16</v>
      </c>
      <c r="V267">
        <v>1994</v>
      </c>
    </row>
    <row r="268" spans="1:22" x14ac:dyDescent="0.3">
      <c r="A268" t="s">
        <v>362</v>
      </c>
      <c r="B268" t="s">
        <v>28</v>
      </c>
      <c r="C268">
        <v>8.66</v>
      </c>
      <c r="D268">
        <v>5.6</v>
      </c>
      <c r="E268">
        <v>1.55</v>
      </c>
      <c r="F268">
        <v>1.1499999999999999</v>
      </c>
      <c r="G268" s="1">
        <v>0.20699999999999999</v>
      </c>
      <c r="H268" s="1">
        <v>0.13400000000000001</v>
      </c>
      <c r="I268" s="1">
        <v>7.2999999999999995E-2</v>
      </c>
      <c r="J268">
        <v>0.26300000000000001</v>
      </c>
      <c r="K268">
        <v>1.67</v>
      </c>
      <c r="L268">
        <v>0.31900000000000001</v>
      </c>
      <c r="M268" s="1">
        <v>0.64900000000000002</v>
      </c>
      <c r="N268">
        <v>131</v>
      </c>
      <c r="O268">
        <v>110</v>
      </c>
      <c r="P268">
        <v>94</v>
      </c>
      <c r="Q268">
        <v>5.86</v>
      </c>
      <c r="R268">
        <v>4.9800000000000004</v>
      </c>
      <c r="S268">
        <v>0.88</v>
      </c>
      <c r="T268">
        <v>4.3099999999999996</v>
      </c>
      <c r="U268">
        <v>4.75</v>
      </c>
      <c r="V268">
        <v>17295</v>
      </c>
    </row>
    <row r="269" spans="1:22" x14ac:dyDescent="0.3">
      <c r="A269" t="s">
        <v>288</v>
      </c>
      <c r="B269" t="s">
        <v>193</v>
      </c>
      <c r="C269">
        <v>7.58</v>
      </c>
      <c r="D269">
        <v>1.85</v>
      </c>
      <c r="E269">
        <v>4.09</v>
      </c>
      <c r="F269">
        <v>1.93</v>
      </c>
      <c r="G269" s="1">
        <v>0.20799999999999999</v>
      </c>
      <c r="H269" s="1">
        <v>5.0999999999999997E-2</v>
      </c>
      <c r="I269" s="1">
        <v>0.157</v>
      </c>
      <c r="J269">
        <v>0.23799999999999999</v>
      </c>
      <c r="K269">
        <v>1.1200000000000001</v>
      </c>
      <c r="L269">
        <v>0.252</v>
      </c>
      <c r="M269" s="1">
        <v>0.70699999999999996</v>
      </c>
      <c r="N269">
        <v>107</v>
      </c>
      <c r="O269">
        <v>111</v>
      </c>
      <c r="P269">
        <v>106</v>
      </c>
      <c r="Q269">
        <v>4.76</v>
      </c>
      <c r="R269">
        <v>5</v>
      </c>
      <c r="S269">
        <v>-0.24</v>
      </c>
      <c r="T269">
        <v>4.84</v>
      </c>
      <c r="U269">
        <v>4.3</v>
      </c>
      <c r="V269">
        <v>7608</v>
      </c>
    </row>
    <row r="270" spans="1:22" x14ac:dyDescent="0.3">
      <c r="A270" t="s">
        <v>322</v>
      </c>
      <c r="B270" t="s">
        <v>30</v>
      </c>
      <c r="C270">
        <v>10.75</v>
      </c>
      <c r="D270">
        <v>4.1399999999999997</v>
      </c>
      <c r="E270">
        <v>2.6</v>
      </c>
      <c r="F270">
        <v>1.88</v>
      </c>
      <c r="G270" s="1">
        <v>0.27200000000000002</v>
      </c>
      <c r="H270" s="1">
        <v>0.105</v>
      </c>
      <c r="I270" s="1">
        <v>0.16700000000000001</v>
      </c>
      <c r="J270">
        <v>0.24399999999999999</v>
      </c>
      <c r="K270">
        <v>1.41</v>
      </c>
      <c r="L270">
        <v>0.29799999999999999</v>
      </c>
      <c r="M270" s="1">
        <v>0.72499999999999998</v>
      </c>
      <c r="N270">
        <v>120</v>
      </c>
      <c r="O270">
        <v>113</v>
      </c>
      <c r="P270">
        <v>98</v>
      </c>
      <c r="Q270">
        <v>5.19</v>
      </c>
      <c r="R270">
        <v>5.0199999999999996</v>
      </c>
      <c r="S270">
        <v>0.17</v>
      </c>
      <c r="T270">
        <v>4.3600000000000003</v>
      </c>
      <c r="U270">
        <v>4.38</v>
      </c>
      <c r="V270">
        <v>6345</v>
      </c>
    </row>
    <row r="271" spans="1:22" x14ac:dyDescent="0.3">
      <c r="A271" t="s">
        <v>128</v>
      </c>
      <c r="B271" t="s">
        <v>98</v>
      </c>
      <c r="C271">
        <v>6.23</v>
      </c>
      <c r="D271">
        <v>2.52</v>
      </c>
      <c r="E271">
        <v>2.4700000000000002</v>
      </c>
      <c r="F271">
        <v>1.63</v>
      </c>
      <c r="G271" s="1">
        <v>0.17100000000000001</v>
      </c>
      <c r="H271" s="1">
        <v>6.9000000000000006E-2</v>
      </c>
      <c r="I271" s="1">
        <v>0.10199999999999999</v>
      </c>
      <c r="J271">
        <v>0.22700000000000001</v>
      </c>
      <c r="K271">
        <v>1.1399999999999999</v>
      </c>
      <c r="L271">
        <v>0.23300000000000001</v>
      </c>
      <c r="M271" s="1">
        <v>0.78400000000000003</v>
      </c>
      <c r="N271">
        <v>77</v>
      </c>
      <c r="O271">
        <v>115</v>
      </c>
      <c r="P271">
        <v>101</v>
      </c>
      <c r="Q271">
        <v>3.41</v>
      </c>
      <c r="R271">
        <v>5.03</v>
      </c>
      <c r="S271">
        <v>-1.62</v>
      </c>
      <c r="T271">
        <v>4.47</v>
      </c>
      <c r="U271">
        <v>4.5999999999999996</v>
      </c>
      <c r="V271">
        <v>17181</v>
      </c>
    </row>
    <row r="272" spans="1:22" x14ac:dyDescent="0.3">
      <c r="A272" t="s">
        <v>315</v>
      </c>
      <c r="B272" t="s">
        <v>83</v>
      </c>
      <c r="C272">
        <v>8.69</v>
      </c>
      <c r="D272">
        <v>3.54</v>
      </c>
      <c r="E272">
        <v>2.46</v>
      </c>
      <c r="F272">
        <v>1.69</v>
      </c>
      <c r="G272" s="1">
        <v>0.216</v>
      </c>
      <c r="H272" s="1">
        <v>8.7999999999999995E-2</v>
      </c>
      <c r="I272" s="1">
        <v>0.128</v>
      </c>
      <c r="J272">
        <v>0.26900000000000002</v>
      </c>
      <c r="K272">
        <v>1.48</v>
      </c>
      <c r="L272">
        <v>0.312</v>
      </c>
      <c r="M272" s="1">
        <v>0.73399999999999999</v>
      </c>
      <c r="N272">
        <v>121</v>
      </c>
      <c r="O272">
        <v>120</v>
      </c>
      <c r="P272">
        <v>104</v>
      </c>
      <c r="Q272">
        <v>5.08</v>
      </c>
      <c r="R272">
        <v>5.03</v>
      </c>
      <c r="S272">
        <v>0.04</v>
      </c>
      <c r="T272">
        <v>4.63</v>
      </c>
      <c r="U272">
        <v>4.71</v>
      </c>
      <c r="V272">
        <v>16981</v>
      </c>
    </row>
    <row r="273" spans="1:22" x14ac:dyDescent="0.3">
      <c r="A273" t="s">
        <v>336</v>
      </c>
      <c r="B273" t="s">
        <v>43</v>
      </c>
      <c r="C273">
        <v>8.27</v>
      </c>
      <c r="D273">
        <v>3.18</v>
      </c>
      <c r="E273">
        <v>2.6</v>
      </c>
      <c r="F273">
        <v>1.71</v>
      </c>
      <c r="G273" s="1">
        <v>0.20899999999999999</v>
      </c>
      <c r="H273" s="1">
        <v>0.08</v>
      </c>
      <c r="I273" s="1">
        <v>0.129</v>
      </c>
      <c r="J273">
        <v>0.27600000000000002</v>
      </c>
      <c r="K273">
        <v>1.46</v>
      </c>
      <c r="L273">
        <v>0.316</v>
      </c>
      <c r="M273" s="1">
        <v>0.69199999999999995</v>
      </c>
      <c r="N273">
        <v>119</v>
      </c>
      <c r="O273">
        <v>108</v>
      </c>
      <c r="P273">
        <v>115</v>
      </c>
      <c r="Q273">
        <v>5.38</v>
      </c>
      <c r="R273">
        <v>5.04</v>
      </c>
      <c r="S273">
        <v>0.34</v>
      </c>
      <c r="T273">
        <v>5.27</v>
      </c>
      <c r="U273">
        <v>4.88</v>
      </c>
      <c r="V273">
        <v>16400</v>
      </c>
    </row>
    <row r="274" spans="1:22" x14ac:dyDescent="0.3">
      <c r="A274" t="s">
        <v>260</v>
      </c>
      <c r="B274" t="s">
        <v>48</v>
      </c>
      <c r="C274">
        <v>9.5399999999999991</v>
      </c>
      <c r="D274">
        <v>3.23</v>
      </c>
      <c r="E274">
        <v>2.95</v>
      </c>
      <c r="F274">
        <v>1.91</v>
      </c>
      <c r="G274" s="1">
        <v>0.255</v>
      </c>
      <c r="H274" s="1">
        <v>8.5999999999999993E-2</v>
      </c>
      <c r="I274" s="1">
        <v>0.16900000000000001</v>
      </c>
      <c r="J274">
        <v>0.23</v>
      </c>
      <c r="K274">
        <v>1.22</v>
      </c>
      <c r="L274">
        <v>0.26300000000000001</v>
      </c>
      <c r="M274" s="1">
        <v>0.76900000000000002</v>
      </c>
      <c r="N274">
        <v>100</v>
      </c>
      <c r="O274">
        <v>111</v>
      </c>
      <c r="P274">
        <v>94</v>
      </c>
      <c r="Q274">
        <v>4.55</v>
      </c>
      <c r="R274">
        <v>5.07</v>
      </c>
      <c r="S274">
        <v>-0.52</v>
      </c>
      <c r="T274">
        <v>4.26</v>
      </c>
      <c r="U274">
        <v>3.98</v>
      </c>
      <c r="V274">
        <v>5224</v>
      </c>
    </row>
    <row r="275" spans="1:22" x14ac:dyDescent="0.3">
      <c r="A275" t="s">
        <v>186</v>
      </c>
      <c r="B275" t="s">
        <v>48</v>
      </c>
      <c r="C275">
        <v>8.4600000000000009</v>
      </c>
      <c r="D275">
        <v>3.24</v>
      </c>
      <c r="E275">
        <v>2.61</v>
      </c>
      <c r="F275">
        <v>1.8</v>
      </c>
      <c r="G275" s="1">
        <v>0.218</v>
      </c>
      <c r="H275" s="1">
        <v>8.3000000000000004E-2</v>
      </c>
      <c r="I275" s="1">
        <v>0.13400000000000001</v>
      </c>
      <c r="J275">
        <v>0.23400000000000001</v>
      </c>
      <c r="K275">
        <v>1.28</v>
      </c>
      <c r="L275">
        <v>0.25700000000000001</v>
      </c>
      <c r="M275" s="1">
        <v>0.64700000000000002</v>
      </c>
      <c r="N275">
        <v>89</v>
      </c>
      <c r="O275">
        <v>113</v>
      </c>
      <c r="P275">
        <v>105</v>
      </c>
      <c r="Q275">
        <v>3.96</v>
      </c>
      <c r="R275">
        <v>5.07</v>
      </c>
      <c r="S275">
        <v>-1.1100000000000001</v>
      </c>
      <c r="T275">
        <v>4.78</v>
      </c>
      <c r="U275">
        <v>4.4000000000000004</v>
      </c>
      <c r="V275">
        <v>12673</v>
      </c>
    </row>
    <row r="276" spans="1:22" x14ac:dyDescent="0.3">
      <c r="A276" t="s">
        <v>361</v>
      </c>
      <c r="B276" t="s">
        <v>143</v>
      </c>
      <c r="C276">
        <v>5.96</v>
      </c>
      <c r="D276">
        <v>2.65</v>
      </c>
      <c r="E276">
        <v>2.25</v>
      </c>
      <c r="F276">
        <v>1.54</v>
      </c>
      <c r="G276" s="1">
        <v>0.15</v>
      </c>
      <c r="H276" s="1">
        <v>6.7000000000000004E-2</v>
      </c>
      <c r="I276" s="1">
        <v>8.3000000000000004E-2</v>
      </c>
      <c r="J276">
        <v>0.29499999999999998</v>
      </c>
      <c r="K276">
        <v>1.5</v>
      </c>
      <c r="L276">
        <v>0.318</v>
      </c>
      <c r="M276" s="1">
        <v>0.59299999999999997</v>
      </c>
      <c r="N276">
        <v>115</v>
      </c>
      <c r="O276">
        <v>107</v>
      </c>
      <c r="P276">
        <v>109</v>
      </c>
      <c r="Q276">
        <v>5.81</v>
      </c>
      <c r="R276">
        <v>5.0999999999999996</v>
      </c>
      <c r="S276">
        <v>0.71</v>
      </c>
      <c r="T276">
        <v>5</v>
      </c>
      <c r="U276">
        <v>5.0999999999999996</v>
      </c>
      <c r="V276">
        <v>17030</v>
      </c>
    </row>
    <row r="277" spans="1:22" x14ac:dyDescent="0.3">
      <c r="A277" t="s">
        <v>256</v>
      </c>
      <c r="B277" t="s">
        <v>102</v>
      </c>
      <c r="C277">
        <v>9.86</v>
      </c>
      <c r="D277">
        <v>3.52</v>
      </c>
      <c r="E277">
        <v>2.8</v>
      </c>
      <c r="F277">
        <v>1.94</v>
      </c>
      <c r="G277" s="1">
        <v>0.26</v>
      </c>
      <c r="H277" s="1">
        <v>9.2999999999999999E-2</v>
      </c>
      <c r="I277" s="1">
        <v>0.16700000000000001</v>
      </c>
      <c r="J277">
        <v>0.221</v>
      </c>
      <c r="K277">
        <v>1.23</v>
      </c>
      <c r="L277">
        <v>0.251</v>
      </c>
      <c r="M277" s="1">
        <v>0.75800000000000001</v>
      </c>
      <c r="N277">
        <v>108</v>
      </c>
      <c r="O277">
        <v>119</v>
      </c>
      <c r="P277">
        <v>114</v>
      </c>
      <c r="Q277">
        <v>4.5199999999999996</v>
      </c>
      <c r="R277">
        <v>5.1100000000000003</v>
      </c>
      <c r="S277">
        <v>-0.59</v>
      </c>
      <c r="T277">
        <v>5.05</v>
      </c>
      <c r="U277">
        <v>4.58</v>
      </c>
      <c r="V277">
        <v>14875</v>
      </c>
    </row>
    <row r="278" spans="1:22" x14ac:dyDescent="0.3">
      <c r="A278" t="s">
        <v>335</v>
      </c>
      <c r="B278" t="s">
        <v>30</v>
      </c>
      <c r="C278">
        <v>6.98</v>
      </c>
      <c r="D278">
        <v>2.72</v>
      </c>
      <c r="E278">
        <v>2.57</v>
      </c>
      <c r="F278">
        <v>1.67</v>
      </c>
      <c r="G278" s="1">
        <v>0.17799999999999999</v>
      </c>
      <c r="H278" s="1">
        <v>6.9000000000000006E-2</v>
      </c>
      <c r="I278" s="1">
        <v>0.108</v>
      </c>
      <c r="J278">
        <v>0.27700000000000002</v>
      </c>
      <c r="K278">
        <v>1.41</v>
      </c>
      <c r="L278">
        <v>0.30299999999999999</v>
      </c>
      <c r="M278" s="1">
        <v>0.68500000000000005</v>
      </c>
      <c r="N278">
        <v>125</v>
      </c>
      <c r="O278">
        <v>116</v>
      </c>
      <c r="P278">
        <v>119</v>
      </c>
      <c r="Q278">
        <v>5.38</v>
      </c>
      <c r="R278">
        <v>5.12</v>
      </c>
      <c r="S278">
        <v>0.25</v>
      </c>
      <c r="T278">
        <v>5.25</v>
      </c>
      <c r="U278">
        <v>5.08</v>
      </c>
      <c r="V278">
        <v>16977</v>
      </c>
    </row>
    <row r="279" spans="1:22" x14ac:dyDescent="0.3">
      <c r="A279" t="s">
        <v>308</v>
      </c>
      <c r="B279" t="s">
        <v>34</v>
      </c>
      <c r="C279">
        <v>9.0500000000000007</v>
      </c>
      <c r="D279">
        <v>5.68</v>
      </c>
      <c r="E279">
        <v>1.59</v>
      </c>
      <c r="F279">
        <v>1.38</v>
      </c>
      <c r="G279" s="1">
        <v>0.222</v>
      </c>
      <c r="H279" s="1">
        <v>0.13900000000000001</v>
      </c>
      <c r="I279" s="1">
        <v>8.3000000000000004E-2</v>
      </c>
      <c r="J279">
        <v>0.254</v>
      </c>
      <c r="K279">
        <v>1.62</v>
      </c>
      <c r="L279">
        <v>0.30599999999999999</v>
      </c>
      <c r="M279" s="1">
        <v>0.755</v>
      </c>
      <c r="N279">
        <v>110</v>
      </c>
      <c r="O279">
        <v>115</v>
      </c>
      <c r="P279">
        <v>109</v>
      </c>
      <c r="Q279">
        <v>4.91</v>
      </c>
      <c r="R279">
        <v>5.14</v>
      </c>
      <c r="S279">
        <v>-0.23</v>
      </c>
      <c r="T279">
        <v>5.01</v>
      </c>
      <c r="U279">
        <v>5.01</v>
      </c>
      <c r="V279">
        <v>12572</v>
      </c>
    </row>
    <row r="280" spans="1:22" x14ac:dyDescent="0.3">
      <c r="A280" t="s">
        <v>375</v>
      </c>
      <c r="B280" t="s">
        <v>36</v>
      </c>
      <c r="C280">
        <v>8.51</v>
      </c>
      <c r="D280">
        <v>3.82</v>
      </c>
      <c r="E280">
        <v>2.23</v>
      </c>
      <c r="F280">
        <v>1.6</v>
      </c>
      <c r="G280" s="1">
        <v>0.21199999999999999</v>
      </c>
      <c r="H280" s="1">
        <v>9.5000000000000001E-2</v>
      </c>
      <c r="I280" s="1">
        <v>0.11700000000000001</v>
      </c>
      <c r="J280">
        <v>0.253</v>
      </c>
      <c r="K280">
        <v>1.42</v>
      </c>
      <c r="L280">
        <v>0.29099999999999998</v>
      </c>
      <c r="M280" s="1">
        <v>0.64300000000000002</v>
      </c>
      <c r="N280">
        <v>134</v>
      </c>
      <c r="O280">
        <v>111</v>
      </c>
      <c r="P280">
        <v>121</v>
      </c>
      <c r="Q280">
        <v>6.16</v>
      </c>
      <c r="R280">
        <v>5.16</v>
      </c>
      <c r="S280">
        <v>1.01</v>
      </c>
      <c r="T280">
        <v>5.54</v>
      </c>
      <c r="U280">
        <v>4.8</v>
      </c>
      <c r="V280">
        <v>17281</v>
      </c>
    </row>
    <row r="281" spans="1:22" x14ac:dyDescent="0.3">
      <c r="A281" t="s">
        <v>372</v>
      </c>
      <c r="B281" t="s">
        <v>46</v>
      </c>
      <c r="C281">
        <v>5.94</v>
      </c>
      <c r="D281">
        <v>2.97</v>
      </c>
      <c r="E281">
        <v>2</v>
      </c>
      <c r="F281">
        <v>1.41</v>
      </c>
      <c r="G281" s="1">
        <v>0.14599999999999999</v>
      </c>
      <c r="H281" s="1">
        <v>7.2999999999999995E-2</v>
      </c>
      <c r="I281" s="1">
        <v>7.2999999999999995E-2</v>
      </c>
      <c r="J281">
        <v>0.29899999999999999</v>
      </c>
      <c r="K281">
        <v>1.55</v>
      </c>
      <c r="L281">
        <v>0.32500000000000001</v>
      </c>
      <c r="M281" s="1">
        <v>0.63300000000000001</v>
      </c>
      <c r="N281">
        <v>120</v>
      </c>
      <c r="O281">
        <v>110</v>
      </c>
      <c r="P281">
        <v>101</v>
      </c>
      <c r="Q281">
        <v>6.08</v>
      </c>
      <c r="R281">
        <v>5.16</v>
      </c>
      <c r="S281">
        <v>0.92</v>
      </c>
      <c r="T281">
        <v>4.49</v>
      </c>
      <c r="U281">
        <v>4.38</v>
      </c>
      <c r="V281">
        <v>10587</v>
      </c>
    </row>
    <row r="282" spans="1:22" x14ac:dyDescent="0.3">
      <c r="A282" t="s">
        <v>334</v>
      </c>
      <c r="B282" t="s">
        <v>46</v>
      </c>
      <c r="C282">
        <v>7.25</v>
      </c>
      <c r="D282">
        <v>3.63</v>
      </c>
      <c r="E282">
        <v>2</v>
      </c>
      <c r="F282">
        <v>1.5</v>
      </c>
      <c r="G282" s="1">
        <v>0.186</v>
      </c>
      <c r="H282" s="1">
        <v>9.2999999999999999E-2</v>
      </c>
      <c r="I282" s="1">
        <v>9.2999999999999999E-2</v>
      </c>
      <c r="J282">
        <v>0.249</v>
      </c>
      <c r="K282">
        <v>1.36</v>
      </c>
      <c r="L282">
        <v>0.27500000000000002</v>
      </c>
      <c r="M282" s="1">
        <v>0.68400000000000005</v>
      </c>
      <c r="N282">
        <v>107</v>
      </c>
      <c r="O282">
        <v>111</v>
      </c>
      <c r="P282">
        <v>110</v>
      </c>
      <c r="Q282">
        <v>5.38</v>
      </c>
      <c r="R282">
        <v>5.19</v>
      </c>
      <c r="S282">
        <v>0.19</v>
      </c>
      <c r="T282">
        <v>4.87</v>
      </c>
      <c r="U282">
        <v>4.67</v>
      </c>
      <c r="V282">
        <v>8110</v>
      </c>
    </row>
    <row r="283" spans="1:22" x14ac:dyDescent="0.3">
      <c r="A283" t="s">
        <v>360</v>
      </c>
      <c r="B283" t="s">
        <v>43</v>
      </c>
      <c r="C283">
        <v>9.99</v>
      </c>
      <c r="D283">
        <v>4.32</v>
      </c>
      <c r="E283">
        <v>2.31</v>
      </c>
      <c r="F283">
        <v>1.85</v>
      </c>
      <c r="G283" s="1">
        <v>0.248</v>
      </c>
      <c r="H283" s="1">
        <v>0.107</v>
      </c>
      <c r="I283" s="1">
        <v>0.14099999999999999</v>
      </c>
      <c r="J283">
        <v>0.27</v>
      </c>
      <c r="K283">
        <v>1.55</v>
      </c>
      <c r="L283">
        <v>0.32600000000000001</v>
      </c>
      <c r="M283" s="1">
        <v>0.68100000000000005</v>
      </c>
      <c r="N283">
        <v>128</v>
      </c>
      <c r="O283">
        <v>112</v>
      </c>
      <c r="P283">
        <v>97</v>
      </c>
      <c r="Q283">
        <v>5.79</v>
      </c>
      <c r="R283">
        <v>5.19</v>
      </c>
      <c r="S283">
        <v>0.61</v>
      </c>
      <c r="T283">
        <v>4.42</v>
      </c>
      <c r="U283">
        <v>4.5999999999999996</v>
      </c>
      <c r="V283">
        <v>18525</v>
      </c>
    </row>
    <row r="284" spans="1:22" x14ac:dyDescent="0.3">
      <c r="A284" t="s">
        <v>148</v>
      </c>
      <c r="B284" t="s">
        <v>53</v>
      </c>
      <c r="C284">
        <v>9.5299999999999994</v>
      </c>
      <c r="D284">
        <v>2.02</v>
      </c>
      <c r="E284">
        <v>4.71</v>
      </c>
      <c r="F284">
        <v>2.17</v>
      </c>
      <c r="G284" s="1">
        <v>0.26700000000000002</v>
      </c>
      <c r="H284" s="1">
        <v>5.7000000000000002E-2</v>
      </c>
      <c r="I284" s="1">
        <v>0.21099999999999999</v>
      </c>
      <c r="J284">
        <v>0.17599999999999999</v>
      </c>
      <c r="K284">
        <v>0.87</v>
      </c>
      <c r="L284">
        <v>0.17100000000000001</v>
      </c>
      <c r="M284" s="1">
        <v>0.82099999999999995</v>
      </c>
      <c r="N284">
        <v>86</v>
      </c>
      <c r="O284">
        <v>119</v>
      </c>
      <c r="P284">
        <v>111</v>
      </c>
      <c r="Q284">
        <v>3.61</v>
      </c>
      <c r="R284">
        <v>5.19</v>
      </c>
      <c r="S284">
        <v>-1.58</v>
      </c>
      <c r="T284">
        <v>4.9000000000000004</v>
      </c>
      <c r="U284">
        <v>3.76</v>
      </c>
      <c r="V284">
        <v>12095</v>
      </c>
    </row>
    <row r="285" spans="1:22" x14ac:dyDescent="0.3">
      <c r="A285" t="s">
        <v>244</v>
      </c>
      <c r="B285" t="s">
        <v>50</v>
      </c>
      <c r="C285">
        <v>11.52</v>
      </c>
      <c r="D285">
        <v>4.45</v>
      </c>
      <c r="E285">
        <v>2.59</v>
      </c>
      <c r="F285">
        <v>1.81</v>
      </c>
      <c r="G285" s="1">
        <v>0.29699999999999999</v>
      </c>
      <c r="H285" s="1">
        <v>0.114</v>
      </c>
      <c r="I285" s="1">
        <v>0.182</v>
      </c>
      <c r="J285">
        <v>0.224</v>
      </c>
      <c r="K285">
        <v>1.32</v>
      </c>
      <c r="L285">
        <v>0.28299999999999997</v>
      </c>
      <c r="M285" s="1">
        <v>0.74299999999999999</v>
      </c>
      <c r="N285">
        <v>105</v>
      </c>
      <c r="O285">
        <v>120</v>
      </c>
      <c r="P285">
        <v>100</v>
      </c>
      <c r="Q285">
        <v>4.45</v>
      </c>
      <c r="R285">
        <v>5.19</v>
      </c>
      <c r="S285">
        <v>-0.74</v>
      </c>
      <c r="T285">
        <v>4.43</v>
      </c>
      <c r="U285">
        <v>3.87</v>
      </c>
      <c r="V285">
        <v>6785</v>
      </c>
    </row>
    <row r="286" spans="1:22" x14ac:dyDescent="0.3">
      <c r="A286" t="s">
        <v>380</v>
      </c>
      <c r="B286" t="s">
        <v>102</v>
      </c>
      <c r="C286">
        <v>7.86</v>
      </c>
      <c r="D286">
        <v>4.3</v>
      </c>
      <c r="E286">
        <v>1.83</v>
      </c>
      <c r="F286">
        <v>1.48</v>
      </c>
      <c r="G286" s="1">
        <v>0.187</v>
      </c>
      <c r="H286" s="1">
        <v>0.10199999999999999</v>
      </c>
      <c r="I286" s="1">
        <v>8.5000000000000006E-2</v>
      </c>
      <c r="J286">
        <v>0.30299999999999999</v>
      </c>
      <c r="K286">
        <v>1.73</v>
      </c>
      <c r="L286">
        <v>0.35099999999999998</v>
      </c>
      <c r="M286" s="1">
        <v>0.67</v>
      </c>
      <c r="N286">
        <v>156</v>
      </c>
      <c r="O286">
        <v>121</v>
      </c>
      <c r="P286">
        <v>122</v>
      </c>
      <c r="Q286">
        <v>6.53</v>
      </c>
      <c r="R286">
        <v>5.19</v>
      </c>
      <c r="S286">
        <v>1.34</v>
      </c>
      <c r="T286">
        <v>5.41</v>
      </c>
      <c r="U286">
        <v>4.97</v>
      </c>
      <c r="V286">
        <v>14457</v>
      </c>
    </row>
    <row r="287" spans="1:22" x14ac:dyDescent="0.3">
      <c r="A287" t="s">
        <v>230</v>
      </c>
      <c r="B287" t="s">
        <v>48</v>
      </c>
      <c r="C287">
        <v>5.8</v>
      </c>
      <c r="D287">
        <v>1.23</v>
      </c>
      <c r="E287">
        <v>4.7</v>
      </c>
      <c r="F287">
        <v>1.87</v>
      </c>
      <c r="G287" s="1">
        <v>0.152</v>
      </c>
      <c r="H287" s="1">
        <v>3.2000000000000001E-2</v>
      </c>
      <c r="I287" s="1">
        <v>0.12</v>
      </c>
      <c r="J287">
        <v>0.28399999999999997</v>
      </c>
      <c r="K287">
        <v>1.29</v>
      </c>
      <c r="L287">
        <v>0.29499999999999998</v>
      </c>
      <c r="M287" s="1">
        <v>0.72599999999999998</v>
      </c>
      <c r="N287">
        <v>97</v>
      </c>
      <c r="O287">
        <v>117</v>
      </c>
      <c r="P287">
        <v>105</v>
      </c>
      <c r="Q287">
        <v>4.29</v>
      </c>
      <c r="R287">
        <v>5.19</v>
      </c>
      <c r="S287">
        <v>-0.9</v>
      </c>
      <c r="T287">
        <v>4.76</v>
      </c>
      <c r="U287">
        <v>4.79</v>
      </c>
      <c r="V287">
        <v>10130</v>
      </c>
    </row>
    <row r="288" spans="1:22" x14ac:dyDescent="0.3">
      <c r="A288" t="s">
        <v>367</v>
      </c>
      <c r="B288" t="s">
        <v>48</v>
      </c>
      <c r="C288">
        <v>6.85</v>
      </c>
      <c r="D288">
        <v>4.1100000000000003</v>
      </c>
      <c r="E288">
        <v>1.67</v>
      </c>
      <c r="F288">
        <v>1.37</v>
      </c>
      <c r="G288" s="1">
        <v>0.17199999999999999</v>
      </c>
      <c r="H288" s="1">
        <v>0.10299999999999999</v>
      </c>
      <c r="I288" s="1">
        <v>6.9000000000000006E-2</v>
      </c>
      <c r="J288">
        <v>0.26700000000000002</v>
      </c>
      <c r="K288">
        <v>1.5</v>
      </c>
      <c r="L288">
        <v>0.29699999999999999</v>
      </c>
      <c r="M288" s="1">
        <v>0.65600000000000003</v>
      </c>
      <c r="N288">
        <v>135</v>
      </c>
      <c r="O288">
        <v>118</v>
      </c>
      <c r="P288">
        <v>122</v>
      </c>
      <c r="Q288">
        <v>5.97</v>
      </c>
      <c r="R288">
        <v>5.2</v>
      </c>
      <c r="S288">
        <v>0.76</v>
      </c>
      <c r="T288">
        <v>5.43</v>
      </c>
      <c r="U288">
        <v>5.27</v>
      </c>
      <c r="V288">
        <v>14862</v>
      </c>
    </row>
    <row r="289" spans="1:22" x14ac:dyDescent="0.3">
      <c r="A289" t="s">
        <v>307</v>
      </c>
      <c r="B289" t="s">
        <v>95</v>
      </c>
      <c r="C289">
        <v>9.9700000000000006</v>
      </c>
      <c r="D289">
        <v>3.3</v>
      </c>
      <c r="E289">
        <v>3.02</v>
      </c>
      <c r="F289">
        <v>1.99</v>
      </c>
      <c r="G289" s="1">
        <v>0.252</v>
      </c>
      <c r="H289" s="1">
        <v>8.3000000000000004E-2</v>
      </c>
      <c r="I289" s="1">
        <v>0.16900000000000001</v>
      </c>
      <c r="J289">
        <v>0.25900000000000001</v>
      </c>
      <c r="K289">
        <v>1.39</v>
      </c>
      <c r="L289">
        <v>0.30499999999999999</v>
      </c>
      <c r="M289" s="1">
        <v>0.76</v>
      </c>
      <c r="N289">
        <v>111</v>
      </c>
      <c r="O289">
        <v>115</v>
      </c>
      <c r="P289">
        <v>107</v>
      </c>
      <c r="Q289">
        <v>4.91</v>
      </c>
      <c r="R289">
        <v>5.21</v>
      </c>
      <c r="S289">
        <v>-0.3</v>
      </c>
      <c r="T289">
        <v>4.75</v>
      </c>
      <c r="U289">
        <v>4.3600000000000003</v>
      </c>
      <c r="V289">
        <v>11189</v>
      </c>
    </row>
    <row r="290" spans="1:22" x14ac:dyDescent="0.3">
      <c r="A290" t="s">
        <v>157</v>
      </c>
      <c r="B290" t="s">
        <v>30</v>
      </c>
      <c r="C290">
        <v>8.68</v>
      </c>
      <c r="D290">
        <v>3.17</v>
      </c>
      <c r="E290">
        <v>2.74</v>
      </c>
      <c r="F290">
        <v>1.93</v>
      </c>
      <c r="G290" s="1">
        <v>0.221</v>
      </c>
      <c r="H290" s="1">
        <v>8.1000000000000003E-2</v>
      </c>
      <c r="I290" s="1">
        <v>0.14000000000000001</v>
      </c>
      <c r="J290">
        <v>0.25</v>
      </c>
      <c r="K290">
        <v>1.35</v>
      </c>
      <c r="L290">
        <v>0.27900000000000003</v>
      </c>
      <c r="M290" s="1">
        <v>0.85199999999999998</v>
      </c>
      <c r="N290">
        <v>86</v>
      </c>
      <c r="O290">
        <v>118</v>
      </c>
      <c r="P290">
        <v>113</v>
      </c>
      <c r="Q290">
        <v>3.72</v>
      </c>
      <c r="R290">
        <v>5.22</v>
      </c>
      <c r="S290">
        <v>-1.5</v>
      </c>
      <c r="T290">
        <v>4.99</v>
      </c>
      <c r="U290">
        <v>4.3</v>
      </c>
      <c r="V290">
        <v>13549</v>
      </c>
    </row>
    <row r="291" spans="1:22" x14ac:dyDescent="0.3">
      <c r="A291" t="s">
        <v>304</v>
      </c>
      <c r="B291" t="s">
        <v>40</v>
      </c>
      <c r="C291">
        <v>7.81</v>
      </c>
      <c r="D291">
        <v>2.73</v>
      </c>
      <c r="E291">
        <v>2.86</v>
      </c>
      <c r="F291">
        <v>1.9</v>
      </c>
      <c r="G291" s="1">
        <v>0.20599999999999999</v>
      </c>
      <c r="H291" s="1">
        <v>7.1999999999999995E-2</v>
      </c>
      <c r="I291" s="1">
        <v>0.13400000000000001</v>
      </c>
      <c r="J291">
        <v>0.25600000000000001</v>
      </c>
      <c r="K291">
        <v>1.3</v>
      </c>
      <c r="L291">
        <v>0.28000000000000003</v>
      </c>
      <c r="M291" s="1">
        <v>0.75700000000000001</v>
      </c>
      <c r="N291">
        <v>107</v>
      </c>
      <c r="O291">
        <v>112</v>
      </c>
      <c r="P291">
        <v>104</v>
      </c>
      <c r="Q291">
        <v>4.91</v>
      </c>
      <c r="R291">
        <v>5.22</v>
      </c>
      <c r="S291">
        <v>-0.31</v>
      </c>
      <c r="T291">
        <v>4.78</v>
      </c>
      <c r="U291">
        <v>4.72</v>
      </c>
      <c r="V291">
        <v>7410</v>
      </c>
    </row>
    <row r="292" spans="1:22" x14ac:dyDescent="0.3">
      <c r="A292" t="s">
        <v>301</v>
      </c>
      <c r="B292" t="s">
        <v>56</v>
      </c>
      <c r="C292">
        <v>6.42</v>
      </c>
      <c r="D292">
        <v>2.14</v>
      </c>
      <c r="E292">
        <v>3</v>
      </c>
      <c r="F292">
        <v>1.81</v>
      </c>
      <c r="G292" s="1">
        <v>0.16900000000000001</v>
      </c>
      <c r="H292" s="1">
        <v>5.6000000000000001E-2</v>
      </c>
      <c r="I292" s="1">
        <v>0.113</v>
      </c>
      <c r="J292">
        <v>0.26600000000000001</v>
      </c>
      <c r="K292">
        <v>1.29</v>
      </c>
      <c r="L292">
        <v>0.28000000000000003</v>
      </c>
      <c r="M292" s="1">
        <v>0.73599999999999999</v>
      </c>
      <c r="N292">
        <v>101</v>
      </c>
      <c r="O292">
        <v>114</v>
      </c>
      <c r="P292">
        <v>121</v>
      </c>
      <c r="Q292">
        <v>4.8600000000000003</v>
      </c>
      <c r="R292">
        <v>5.23</v>
      </c>
      <c r="S292">
        <v>-0.37</v>
      </c>
      <c r="T292">
        <v>5.54</v>
      </c>
      <c r="U292">
        <v>5.19</v>
      </c>
      <c r="V292">
        <v>15846</v>
      </c>
    </row>
    <row r="293" spans="1:22" x14ac:dyDescent="0.3">
      <c r="A293" t="s">
        <v>383</v>
      </c>
      <c r="B293" t="s">
        <v>102</v>
      </c>
      <c r="C293">
        <v>8.3000000000000007</v>
      </c>
      <c r="D293">
        <v>2.37</v>
      </c>
      <c r="E293">
        <v>3.5</v>
      </c>
      <c r="F293">
        <v>1.98</v>
      </c>
      <c r="G293" s="1">
        <v>0.20499999999999999</v>
      </c>
      <c r="H293" s="1">
        <v>5.8999999999999997E-2</v>
      </c>
      <c r="I293" s="1">
        <v>0.14699999999999999</v>
      </c>
      <c r="J293">
        <v>0.30599999999999999</v>
      </c>
      <c r="K293">
        <v>1.54</v>
      </c>
      <c r="L293">
        <v>0.35</v>
      </c>
      <c r="M293" s="1">
        <v>0.629</v>
      </c>
      <c r="N293">
        <v>157</v>
      </c>
      <c r="O293">
        <v>122</v>
      </c>
      <c r="P293">
        <v>109</v>
      </c>
      <c r="Q293">
        <v>6.59</v>
      </c>
      <c r="R293">
        <v>5.23</v>
      </c>
      <c r="S293">
        <v>1.35</v>
      </c>
      <c r="T293">
        <v>4.83</v>
      </c>
      <c r="U293">
        <v>4.25</v>
      </c>
      <c r="V293">
        <v>13071</v>
      </c>
    </row>
    <row r="294" spans="1:22" x14ac:dyDescent="0.3">
      <c r="A294" t="s">
        <v>364</v>
      </c>
      <c r="B294" t="s">
        <v>48</v>
      </c>
      <c r="C294">
        <v>7.88</v>
      </c>
      <c r="D294">
        <v>4.66</v>
      </c>
      <c r="E294">
        <v>1.69</v>
      </c>
      <c r="F294">
        <v>1.37</v>
      </c>
      <c r="G294" s="1">
        <v>0.19</v>
      </c>
      <c r="H294" s="1">
        <v>0.112</v>
      </c>
      <c r="I294" s="1">
        <v>7.8E-2</v>
      </c>
      <c r="J294">
        <v>0.27600000000000002</v>
      </c>
      <c r="K294">
        <v>1.62</v>
      </c>
      <c r="L294">
        <v>0.32</v>
      </c>
      <c r="M294" s="1">
        <v>0.67300000000000004</v>
      </c>
      <c r="N294">
        <v>128</v>
      </c>
      <c r="O294">
        <v>114</v>
      </c>
      <c r="P294">
        <v>112</v>
      </c>
      <c r="Q294">
        <v>5.89</v>
      </c>
      <c r="R294">
        <v>5.25</v>
      </c>
      <c r="S294">
        <v>0.65</v>
      </c>
      <c r="T294">
        <v>5.15</v>
      </c>
      <c r="U294">
        <v>5.28</v>
      </c>
      <c r="V294">
        <v>11490</v>
      </c>
    </row>
    <row r="295" spans="1:22" x14ac:dyDescent="0.3">
      <c r="A295" t="s">
        <v>200</v>
      </c>
      <c r="B295" t="s">
        <v>48</v>
      </c>
      <c r="C295">
        <v>6.81</v>
      </c>
      <c r="D295">
        <v>3.41</v>
      </c>
      <c r="E295">
        <v>2</v>
      </c>
      <c r="F295">
        <v>1.64</v>
      </c>
      <c r="G295" s="1">
        <v>0.187</v>
      </c>
      <c r="H295" s="1">
        <v>9.2999999999999999E-2</v>
      </c>
      <c r="I295" s="1">
        <v>9.2999999999999999E-2</v>
      </c>
      <c r="J295">
        <v>0.219</v>
      </c>
      <c r="K295">
        <v>1.18</v>
      </c>
      <c r="L295">
        <v>0.22800000000000001</v>
      </c>
      <c r="M295" s="1">
        <v>0.72299999999999998</v>
      </c>
      <c r="N295">
        <v>90</v>
      </c>
      <c r="O295">
        <v>117</v>
      </c>
      <c r="P295">
        <v>94</v>
      </c>
      <c r="Q295">
        <v>4.04</v>
      </c>
      <c r="R295">
        <v>5.29</v>
      </c>
      <c r="S295">
        <v>-1.25</v>
      </c>
      <c r="T295">
        <v>4.17</v>
      </c>
      <c r="U295">
        <v>4.3099999999999996</v>
      </c>
      <c r="V295">
        <v>9325</v>
      </c>
    </row>
    <row r="296" spans="1:22" x14ac:dyDescent="0.3">
      <c r="A296" t="s">
        <v>310</v>
      </c>
      <c r="B296" t="s">
        <v>146</v>
      </c>
      <c r="C296">
        <v>8.74</v>
      </c>
      <c r="D296">
        <v>3.06</v>
      </c>
      <c r="E296">
        <v>2.86</v>
      </c>
      <c r="F296">
        <v>1.86</v>
      </c>
      <c r="G296" s="1">
        <v>0.222</v>
      </c>
      <c r="H296" s="1">
        <v>7.8E-2</v>
      </c>
      <c r="I296" s="1">
        <v>0.14399999999999999</v>
      </c>
      <c r="J296">
        <v>0.247</v>
      </c>
      <c r="K296">
        <v>1.31</v>
      </c>
      <c r="L296">
        <v>0.27800000000000002</v>
      </c>
      <c r="M296" s="1">
        <v>0.76200000000000001</v>
      </c>
      <c r="N296">
        <v>105</v>
      </c>
      <c r="O296">
        <v>111</v>
      </c>
      <c r="P296">
        <v>123</v>
      </c>
      <c r="Q296">
        <v>4.92</v>
      </c>
      <c r="R296">
        <v>5.3</v>
      </c>
      <c r="S296">
        <v>-0.38</v>
      </c>
      <c r="T296">
        <v>5.61</v>
      </c>
      <c r="U296">
        <v>4.82</v>
      </c>
      <c r="V296">
        <v>10836</v>
      </c>
    </row>
    <row r="297" spans="1:22" x14ac:dyDescent="0.3">
      <c r="A297" t="s">
        <v>254</v>
      </c>
      <c r="B297" t="s">
        <v>93</v>
      </c>
      <c r="C297">
        <v>4.7300000000000004</v>
      </c>
      <c r="D297">
        <v>3.81</v>
      </c>
      <c r="E297">
        <v>1.24</v>
      </c>
      <c r="F297">
        <v>1.27</v>
      </c>
      <c r="G297" s="1">
        <v>0.123</v>
      </c>
      <c r="H297" s="1">
        <v>9.9000000000000005E-2</v>
      </c>
      <c r="I297" s="1">
        <v>2.4E-2</v>
      </c>
      <c r="J297">
        <v>0.27100000000000002</v>
      </c>
      <c r="K297">
        <v>1.46</v>
      </c>
      <c r="L297">
        <v>0.28299999999999997</v>
      </c>
      <c r="M297" s="1">
        <v>0.76500000000000001</v>
      </c>
      <c r="N297">
        <v>100</v>
      </c>
      <c r="O297">
        <v>118</v>
      </c>
      <c r="P297">
        <v>119</v>
      </c>
      <c r="Q297">
        <v>4.5</v>
      </c>
      <c r="R297">
        <v>5.34</v>
      </c>
      <c r="S297">
        <v>-0.84</v>
      </c>
      <c r="T297">
        <v>5.27</v>
      </c>
      <c r="U297">
        <v>5.69</v>
      </c>
      <c r="V297">
        <v>17425</v>
      </c>
    </row>
    <row r="298" spans="1:22" x14ac:dyDescent="0.3">
      <c r="A298" t="s">
        <v>359</v>
      </c>
      <c r="B298" t="s">
        <v>159</v>
      </c>
      <c r="C298">
        <v>7.02</v>
      </c>
      <c r="D298">
        <v>5.15</v>
      </c>
      <c r="E298">
        <v>1.36</v>
      </c>
      <c r="F298">
        <v>1.4</v>
      </c>
      <c r="G298" s="1">
        <v>0.16300000000000001</v>
      </c>
      <c r="H298" s="1">
        <v>0.12</v>
      </c>
      <c r="I298" s="1">
        <v>4.2999999999999997E-2</v>
      </c>
      <c r="J298">
        <v>0.30499999999999999</v>
      </c>
      <c r="K298">
        <v>1.86</v>
      </c>
      <c r="L298">
        <v>0.34399999999999997</v>
      </c>
      <c r="M298" s="1">
        <v>0.72</v>
      </c>
      <c r="N298">
        <v>124</v>
      </c>
      <c r="O298">
        <v>116</v>
      </c>
      <c r="P298">
        <v>123</v>
      </c>
      <c r="Q298">
        <v>5.77</v>
      </c>
      <c r="R298">
        <v>5.4</v>
      </c>
      <c r="S298">
        <v>0.38</v>
      </c>
      <c r="T298">
        <v>5.65</v>
      </c>
      <c r="U298">
        <v>5.52</v>
      </c>
      <c r="V298">
        <v>19677</v>
      </c>
    </row>
    <row r="299" spans="1:22" x14ac:dyDescent="0.3">
      <c r="A299" t="s">
        <v>350</v>
      </c>
      <c r="B299" t="s">
        <v>48</v>
      </c>
      <c r="C299">
        <v>6.71</v>
      </c>
      <c r="D299">
        <v>2.78</v>
      </c>
      <c r="E299">
        <v>2.41</v>
      </c>
      <c r="F299">
        <v>1.72</v>
      </c>
      <c r="G299" s="1">
        <v>0.17</v>
      </c>
      <c r="H299" s="1">
        <v>7.0999999999999994E-2</v>
      </c>
      <c r="I299" s="1">
        <v>0.1</v>
      </c>
      <c r="J299">
        <v>0.26900000000000002</v>
      </c>
      <c r="K299">
        <v>1.38</v>
      </c>
      <c r="L299">
        <v>0.28999999999999998</v>
      </c>
      <c r="M299" s="1">
        <v>0.67900000000000005</v>
      </c>
      <c r="N299">
        <v>123</v>
      </c>
      <c r="O299">
        <v>117</v>
      </c>
      <c r="P299">
        <v>117</v>
      </c>
      <c r="Q299">
        <v>5.65</v>
      </c>
      <c r="R299">
        <v>5.4</v>
      </c>
      <c r="S299">
        <v>0.24</v>
      </c>
      <c r="T299">
        <v>5.35</v>
      </c>
      <c r="U299">
        <v>5.01</v>
      </c>
      <c r="V299">
        <v>12272</v>
      </c>
    </row>
    <row r="300" spans="1:22" x14ac:dyDescent="0.3">
      <c r="A300" t="s">
        <v>268</v>
      </c>
      <c r="B300" t="s">
        <v>48</v>
      </c>
      <c r="C300">
        <v>8.35</v>
      </c>
      <c r="D300">
        <v>3.62</v>
      </c>
      <c r="E300">
        <v>2.31</v>
      </c>
      <c r="F300">
        <v>1.95</v>
      </c>
      <c r="G300" s="1">
        <v>0.214</v>
      </c>
      <c r="H300" s="1">
        <v>9.2999999999999999E-2</v>
      </c>
      <c r="I300" s="1">
        <v>0.121</v>
      </c>
      <c r="J300">
        <v>0.28000000000000003</v>
      </c>
      <c r="K300">
        <v>1.5</v>
      </c>
      <c r="L300">
        <v>0.317</v>
      </c>
      <c r="M300" s="1">
        <v>0.80400000000000005</v>
      </c>
      <c r="N300">
        <v>101</v>
      </c>
      <c r="O300">
        <v>118</v>
      </c>
      <c r="P300">
        <v>91</v>
      </c>
      <c r="Q300">
        <v>4.59</v>
      </c>
      <c r="R300">
        <v>5.43</v>
      </c>
      <c r="S300">
        <v>-0.83</v>
      </c>
      <c r="T300">
        <v>4.18</v>
      </c>
      <c r="U300">
        <v>4.33</v>
      </c>
      <c r="V300">
        <v>13194</v>
      </c>
    </row>
    <row r="301" spans="1:22" x14ac:dyDescent="0.3">
      <c r="A301" t="s">
        <v>385</v>
      </c>
      <c r="B301" t="s">
        <v>46</v>
      </c>
      <c r="C301">
        <v>5.49</v>
      </c>
      <c r="D301">
        <v>4.1100000000000003</v>
      </c>
      <c r="E301">
        <v>1.33</v>
      </c>
      <c r="F301">
        <v>1.37</v>
      </c>
      <c r="G301" s="1">
        <v>0.13100000000000001</v>
      </c>
      <c r="H301" s="1">
        <v>9.8000000000000004E-2</v>
      </c>
      <c r="I301" s="1">
        <v>3.3000000000000002E-2</v>
      </c>
      <c r="J301">
        <v>0.309</v>
      </c>
      <c r="K301">
        <v>1.75</v>
      </c>
      <c r="L301">
        <v>0.33300000000000002</v>
      </c>
      <c r="M301" s="1">
        <v>0.629</v>
      </c>
      <c r="N301">
        <v>133</v>
      </c>
      <c r="O301">
        <v>116</v>
      </c>
      <c r="P301">
        <v>116</v>
      </c>
      <c r="Q301">
        <v>6.71</v>
      </c>
      <c r="R301">
        <v>5.44</v>
      </c>
      <c r="S301">
        <v>1.27</v>
      </c>
      <c r="T301">
        <v>5.12</v>
      </c>
      <c r="U301">
        <v>5.5</v>
      </c>
      <c r="V301">
        <v>15488</v>
      </c>
    </row>
    <row r="302" spans="1:22" x14ac:dyDescent="0.3">
      <c r="A302" t="s">
        <v>337</v>
      </c>
      <c r="B302" t="s">
        <v>95</v>
      </c>
      <c r="C302">
        <v>8.5500000000000007</v>
      </c>
      <c r="D302">
        <v>3.75</v>
      </c>
      <c r="E302">
        <v>2.2799999999999998</v>
      </c>
      <c r="F302">
        <v>1.92</v>
      </c>
      <c r="G302" s="1">
        <v>0.21099999999999999</v>
      </c>
      <c r="H302" s="1">
        <v>9.2999999999999999E-2</v>
      </c>
      <c r="I302" s="1">
        <v>0.11899999999999999</v>
      </c>
      <c r="J302">
        <v>0.27200000000000002</v>
      </c>
      <c r="K302">
        <v>1.52</v>
      </c>
      <c r="L302">
        <v>0.309</v>
      </c>
      <c r="M302" s="1">
        <v>0.69499999999999995</v>
      </c>
      <c r="N302">
        <v>122</v>
      </c>
      <c r="O302">
        <v>121</v>
      </c>
      <c r="P302">
        <v>103</v>
      </c>
      <c r="Q302">
        <v>5.38</v>
      </c>
      <c r="R302">
        <v>5.47</v>
      </c>
      <c r="S302">
        <v>-0.09</v>
      </c>
      <c r="T302">
        <v>4.58</v>
      </c>
      <c r="U302">
        <v>4.7300000000000004</v>
      </c>
      <c r="V302">
        <v>15454</v>
      </c>
    </row>
    <row r="303" spans="1:22" x14ac:dyDescent="0.3">
      <c r="A303" t="s">
        <v>394</v>
      </c>
      <c r="B303" t="s">
        <v>48</v>
      </c>
      <c r="C303">
        <v>7.44</v>
      </c>
      <c r="D303">
        <v>4.04</v>
      </c>
      <c r="E303">
        <v>1.84</v>
      </c>
      <c r="F303">
        <v>1.78</v>
      </c>
      <c r="G303" s="1">
        <v>0.17799999999999999</v>
      </c>
      <c r="H303" s="1">
        <v>9.7000000000000003E-2</v>
      </c>
      <c r="I303" s="1">
        <v>8.1000000000000003E-2</v>
      </c>
      <c r="J303">
        <v>0.33300000000000002</v>
      </c>
      <c r="K303">
        <v>1.85</v>
      </c>
      <c r="L303">
        <v>0.379</v>
      </c>
      <c r="M303" s="1">
        <v>0.66200000000000003</v>
      </c>
      <c r="N303">
        <v>167</v>
      </c>
      <c r="O303">
        <v>122</v>
      </c>
      <c r="P303">
        <v>119</v>
      </c>
      <c r="Q303">
        <v>7.28</v>
      </c>
      <c r="R303">
        <v>5.48</v>
      </c>
      <c r="S303">
        <v>1.8</v>
      </c>
      <c r="T303">
        <v>5.34</v>
      </c>
      <c r="U303">
        <v>5.09</v>
      </c>
      <c r="V303">
        <v>11694</v>
      </c>
    </row>
    <row r="304" spans="1:22" x14ac:dyDescent="0.3">
      <c r="A304" t="s">
        <v>355</v>
      </c>
      <c r="B304" t="s">
        <v>193</v>
      </c>
      <c r="C304">
        <v>6.82</v>
      </c>
      <c r="D304">
        <v>2.2999999999999998</v>
      </c>
      <c r="E304">
        <v>2.97</v>
      </c>
      <c r="F304">
        <v>2.08</v>
      </c>
      <c r="G304" s="1">
        <v>0.17299999999999999</v>
      </c>
      <c r="H304" s="1">
        <v>5.8000000000000003E-2</v>
      </c>
      <c r="I304" s="1">
        <v>0.115</v>
      </c>
      <c r="J304">
        <v>0.28999999999999998</v>
      </c>
      <c r="K304">
        <v>1.45</v>
      </c>
      <c r="L304">
        <v>0.308</v>
      </c>
      <c r="M304" s="1">
        <v>0.70399999999999996</v>
      </c>
      <c r="N304">
        <v>129</v>
      </c>
      <c r="O304">
        <v>122</v>
      </c>
      <c r="P304">
        <v>111</v>
      </c>
      <c r="Q304">
        <v>5.71</v>
      </c>
      <c r="R304">
        <v>5.49</v>
      </c>
      <c r="S304">
        <v>0.22</v>
      </c>
      <c r="T304">
        <v>5.0999999999999996</v>
      </c>
      <c r="U304">
        <v>4.7300000000000004</v>
      </c>
      <c r="V304">
        <v>5221</v>
      </c>
    </row>
    <row r="305" spans="1:22" x14ac:dyDescent="0.3">
      <c r="A305" t="s">
        <v>311</v>
      </c>
      <c r="B305" t="s">
        <v>48</v>
      </c>
      <c r="C305">
        <v>6.82</v>
      </c>
      <c r="D305">
        <v>3.36</v>
      </c>
      <c r="E305">
        <v>2.0299999999999998</v>
      </c>
      <c r="F305">
        <v>1.78</v>
      </c>
      <c r="G305" s="1">
        <v>0.17199999999999999</v>
      </c>
      <c r="H305" s="1">
        <v>8.5000000000000006E-2</v>
      </c>
      <c r="I305" s="1">
        <v>8.6999999999999994E-2</v>
      </c>
      <c r="J305">
        <v>0.31</v>
      </c>
      <c r="K305">
        <v>1.62</v>
      </c>
      <c r="L305">
        <v>0.34300000000000003</v>
      </c>
      <c r="M305" s="1">
        <v>0.76300000000000001</v>
      </c>
      <c r="N305">
        <v>108</v>
      </c>
      <c r="O305">
        <v>123</v>
      </c>
      <c r="P305">
        <v>102</v>
      </c>
      <c r="Q305">
        <v>4.95</v>
      </c>
      <c r="R305">
        <v>5.52</v>
      </c>
      <c r="S305">
        <v>-0.57999999999999996</v>
      </c>
      <c r="T305">
        <v>4.6100000000000003</v>
      </c>
      <c r="U305">
        <v>4.9000000000000004</v>
      </c>
      <c r="V305">
        <v>4869</v>
      </c>
    </row>
    <row r="306" spans="1:22" x14ac:dyDescent="0.3">
      <c r="A306" t="s">
        <v>377</v>
      </c>
      <c r="B306" t="s">
        <v>127</v>
      </c>
      <c r="C306">
        <v>7.93</v>
      </c>
      <c r="D306">
        <v>3.06</v>
      </c>
      <c r="E306">
        <v>2.6</v>
      </c>
      <c r="F306">
        <v>1.96</v>
      </c>
      <c r="G306" s="1">
        <v>0.19900000000000001</v>
      </c>
      <c r="H306" s="1">
        <v>7.6999999999999999E-2</v>
      </c>
      <c r="I306" s="1">
        <v>0.122</v>
      </c>
      <c r="J306">
        <v>0.28199999999999997</v>
      </c>
      <c r="K306">
        <v>1.47</v>
      </c>
      <c r="L306">
        <v>0.314</v>
      </c>
      <c r="M306" s="1">
        <v>0.63600000000000001</v>
      </c>
      <c r="N306">
        <v>135</v>
      </c>
      <c r="O306">
        <v>123</v>
      </c>
      <c r="P306">
        <v>105</v>
      </c>
      <c r="Q306">
        <v>6.33</v>
      </c>
      <c r="R306">
        <v>5.55</v>
      </c>
      <c r="S306">
        <v>0.78</v>
      </c>
      <c r="T306">
        <v>4.82</v>
      </c>
      <c r="U306">
        <v>4.6500000000000004</v>
      </c>
      <c r="V306">
        <v>14527</v>
      </c>
    </row>
    <row r="307" spans="1:22" x14ac:dyDescent="0.3">
      <c r="A307" t="s">
        <v>352</v>
      </c>
      <c r="B307" t="s">
        <v>40</v>
      </c>
      <c r="C307">
        <v>9.32</v>
      </c>
      <c r="D307">
        <v>3.78</v>
      </c>
      <c r="E307">
        <v>2.46</v>
      </c>
      <c r="F307">
        <v>2.16</v>
      </c>
      <c r="G307" s="1">
        <v>0.23200000000000001</v>
      </c>
      <c r="H307" s="1">
        <v>9.4E-2</v>
      </c>
      <c r="I307" s="1">
        <v>0.13800000000000001</v>
      </c>
      <c r="J307">
        <v>0.27900000000000003</v>
      </c>
      <c r="K307">
        <v>1.55</v>
      </c>
      <c r="L307">
        <v>0.32100000000000001</v>
      </c>
      <c r="M307" s="1">
        <v>0.73499999999999999</v>
      </c>
      <c r="N307">
        <v>123</v>
      </c>
      <c r="O307">
        <v>119</v>
      </c>
      <c r="P307">
        <v>110</v>
      </c>
      <c r="Q307">
        <v>5.67</v>
      </c>
      <c r="R307">
        <v>5.57</v>
      </c>
      <c r="S307">
        <v>0.1</v>
      </c>
      <c r="T307">
        <v>5.04</v>
      </c>
      <c r="U307">
        <v>4.41</v>
      </c>
      <c r="V307">
        <v>17874</v>
      </c>
    </row>
    <row r="308" spans="1:22" x14ac:dyDescent="0.3">
      <c r="A308" t="s">
        <v>314</v>
      </c>
      <c r="B308" t="s">
        <v>102</v>
      </c>
      <c r="C308">
        <v>9.2899999999999991</v>
      </c>
      <c r="D308">
        <v>2.84</v>
      </c>
      <c r="E308">
        <v>3.27</v>
      </c>
      <c r="F308">
        <v>2.19</v>
      </c>
      <c r="G308" s="1">
        <v>0.24099999999999999</v>
      </c>
      <c r="H308" s="1">
        <v>7.3999999999999996E-2</v>
      </c>
      <c r="I308" s="1">
        <v>0.16700000000000001</v>
      </c>
      <c r="J308">
        <v>0.23899999999999999</v>
      </c>
      <c r="K308">
        <v>1.24</v>
      </c>
      <c r="L308">
        <v>0.26300000000000001</v>
      </c>
      <c r="M308" s="1">
        <v>0.747</v>
      </c>
      <c r="N308">
        <v>120</v>
      </c>
      <c r="O308">
        <v>130</v>
      </c>
      <c r="P308">
        <v>116</v>
      </c>
      <c r="Q308">
        <v>5.03</v>
      </c>
      <c r="R308">
        <v>5.58</v>
      </c>
      <c r="S308">
        <v>-0.55000000000000004</v>
      </c>
      <c r="T308">
        <v>5.13</v>
      </c>
      <c r="U308">
        <v>4.43</v>
      </c>
      <c r="V308">
        <v>16933</v>
      </c>
    </row>
    <row r="309" spans="1:22" x14ac:dyDescent="0.3">
      <c r="A309" t="s">
        <v>290</v>
      </c>
      <c r="B309" t="s">
        <v>50</v>
      </c>
      <c r="C309">
        <v>7.39</v>
      </c>
      <c r="D309">
        <v>3.91</v>
      </c>
      <c r="E309">
        <v>1.89</v>
      </c>
      <c r="F309">
        <v>1.85</v>
      </c>
      <c r="G309" s="1">
        <v>0.185</v>
      </c>
      <c r="H309" s="1">
        <v>9.8000000000000004E-2</v>
      </c>
      <c r="I309" s="1">
        <v>8.6999999999999994E-2</v>
      </c>
      <c r="J309">
        <v>0.28399999999999997</v>
      </c>
      <c r="K309">
        <v>1.56</v>
      </c>
      <c r="L309">
        <v>0.313</v>
      </c>
      <c r="M309" s="1">
        <v>0.79</v>
      </c>
      <c r="N309">
        <v>112</v>
      </c>
      <c r="O309">
        <v>130</v>
      </c>
      <c r="P309">
        <v>108</v>
      </c>
      <c r="Q309">
        <v>4.76</v>
      </c>
      <c r="R309">
        <v>5.61</v>
      </c>
      <c r="S309">
        <v>-0.85</v>
      </c>
      <c r="T309">
        <v>4.8</v>
      </c>
      <c r="U309">
        <v>5.08</v>
      </c>
      <c r="V309">
        <v>14078</v>
      </c>
    </row>
    <row r="310" spans="1:22" x14ac:dyDescent="0.3">
      <c r="A310" t="s">
        <v>382</v>
      </c>
      <c r="B310" t="s">
        <v>36</v>
      </c>
      <c r="C310">
        <v>5.95</v>
      </c>
      <c r="D310">
        <v>2.44</v>
      </c>
      <c r="E310">
        <v>2.44</v>
      </c>
      <c r="F310">
        <v>1.98</v>
      </c>
      <c r="G310" s="1">
        <v>0.154</v>
      </c>
      <c r="H310" s="1">
        <v>6.3E-2</v>
      </c>
      <c r="I310" s="1">
        <v>9.0999999999999998E-2</v>
      </c>
      <c r="J310">
        <v>0.30399999999999999</v>
      </c>
      <c r="K310">
        <v>1.49</v>
      </c>
      <c r="L310">
        <v>0.31900000000000001</v>
      </c>
      <c r="M310" s="1">
        <v>0.63600000000000001</v>
      </c>
      <c r="N310">
        <v>142</v>
      </c>
      <c r="O310">
        <v>121</v>
      </c>
      <c r="P310">
        <v>113</v>
      </c>
      <c r="Q310">
        <v>6.56</v>
      </c>
      <c r="R310">
        <v>5.62</v>
      </c>
      <c r="S310">
        <v>0.94</v>
      </c>
      <c r="T310">
        <v>5.18</v>
      </c>
      <c r="U310">
        <v>5.2</v>
      </c>
      <c r="V310">
        <v>3543</v>
      </c>
    </row>
    <row r="311" spans="1:22" x14ac:dyDescent="0.3">
      <c r="A311" t="s">
        <v>387</v>
      </c>
      <c r="B311" t="s">
        <v>26</v>
      </c>
      <c r="C311">
        <v>6.63</v>
      </c>
      <c r="D311">
        <v>3</v>
      </c>
      <c r="E311">
        <v>2.21</v>
      </c>
      <c r="F311">
        <v>1.89</v>
      </c>
      <c r="G311" s="1">
        <v>0.16</v>
      </c>
      <c r="H311" s="1">
        <v>7.1999999999999995E-2</v>
      </c>
      <c r="I311" s="1">
        <v>8.6999999999999994E-2</v>
      </c>
      <c r="J311">
        <v>0.30299999999999999</v>
      </c>
      <c r="K311">
        <v>1.61</v>
      </c>
      <c r="L311">
        <v>0.32600000000000001</v>
      </c>
      <c r="M311" s="1">
        <v>0.627</v>
      </c>
      <c r="N311">
        <v>159</v>
      </c>
      <c r="O311">
        <v>128</v>
      </c>
      <c r="P311">
        <v>112</v>
      </c>
      <c r="Q311">
        <v>6.79</v>
      </c>
      <c r="R311">
        <v>5.64</v>
      </c>
      <c r="S311">
        <v>1.1499999999999999</v>
      </c>
      <c r="T311">
        <v>4.96</v>
      </c>
      <c r="U311">
        <v>5.13</v>
      </c>
      <c r="V311">
        <v>20395</v>
      </c>
    </row>
    <row r="312" spans="1:22" x14ac:dyDescent="0.3">
      <c r="A312" t="s">
        <v>326</v>
      </c>
      <c r="B312" t="s">
        <v>46</v>
      </c>
      <c r="C312">
        <v>6.57</v>
      </c>
      <c r="D312">
        <v>4.71</v>
      </c>
      <c r="E312">
        <v>1.39</v>
      </c>
      <c r="F312">
        <v>1.57</v>
      </c>
      <c r="G312" s="1">
        <v>0.16500000000000001</v>
      </c>
      <c r="H312" s="1">
        <v>0.11899999999999999</v>
      </c>
      <c r="I312" s="1">
        <v>4.7E-2</v>
      </c>
      <c r="J312">
        <v>0.24199999999999999</v>
      </c>
      <c r="K312">
        <v>1.46</v>
      </c>
      <c r="L312">
        <v>0.25700000000000001</v>
      </c>
      <c r="M312" s="1">
        <v>0.69599999999999995</v>
      </c>
      <c r="N312">
        <v>105</v>
      </c>
      <c r="O312">
        <v>120</v>
      </c>
      <c r="P312">
        <v>120</v>
      </c>
      <c r="Q312">
        <v>5.29</v>
      </c>
      <c r="R312">
        <v>5.64</v>
      </c>
      <c r="S312">
        <v>-0.36</v>
      </c>
      <c r="T312">
        <v>5.33</v>
      </c>
      <c r="U312">
        <v>5.71</v>
      </c>
      <c r="V312">
        <v>14663</v>
      </c>
    </row>
    <row r="313" spans="1:22" x14ac:dyDescent="0.3">
      <c r="A313" t="s">
        <v>312</v>
      </c>
      <c r="B313" t="s">
        <v>40</v>
      </c>
      <c r="C313">
        <v>8.9700000000000006</v>
      </c>
      <c r="D313">
        <v>3.27</v>
      </c>
      <c r="E313">
        <v>2.74</v>
      </c>
      <c r="F313">
        <v>2.2599999999999998</v>
      </c>
      <c r="G313" s="1">
        <v>0.22900000000000001</v>
      </c>
      <c r="H313" s="1">
        <v>8.3000000000000004E-2</v>
      </c>
      <c r="I313" s="1">
        <v>0.14499999999999999</v>
      </c>
      <c r="J313">
        <v>0.26300000000000001</v>
      </c>
      <c r="K313">
        <v>1.41</v>
      </c>
      <c r="L313">
        <v>0.29099999999999998</v>
      </c>
      <c r="M313" s="1">
        <v>0.77500000000000002</v>
      </c>
      <c r="N313">
        <v>107</v>
      </c>
      <c r="O313">
        <v>121</v>
      </c>
      <c r="P313">
        <v>103</v>
      </c>
      <c r="Q313">
        <v>4.95</v>
      </c>
      <c r="R313">
        <v>5.66</v>
      </c>
      <c r="S313">
        <v>-0.72</v>
      </c>
      <c r="T313">
        <v>4.7300000000000004</v>
      </c>
      <c r="U313">
        <v>4.5999999999999996</v>
      </c>
      <c r="V313">
        <v>404</v>
      </c>
    </row>
    <row r="314" spans="1:22" x14ac:dyDescent="0.3">
      <c r="A314" t="s">
        <v>363</v>
      </c>
      <c r="B314" t="s">
        <v>143</v>
      </c>
      <c r="C314">
        <v>7.25</v>
      </c>
      <c r="D314">
        <v>2.59</v>
      </c>
      <c r="E314">
        <v>2.81</v>
      </c>
      <c r="F314">
        <v>2.08</v>
      </c>
      <c r="G314" s="1">
        <v>0.17899999999999999</v>
      </c>
      <c r="H314" s="1">
        <v>6.4000000000000001E-2</v>
      </c>
      <c r="I314" s="1">
        <v>0.115</v>
      </c>
      <c r="J314">
        <v>0.30099999999999999</v>
      </c>
      <c r="K314">
        <v>1.53</v>
      </c>
      <c r="L314">
        <v>0.32700000000000001</v>
      </c>
      <c r="M314" s="1">
        <v>0.71699999999999997</v>
      </c>
      <c r="N314">
        <v>117</v>
      </c>
      <c r="O314">
        <v>119</v>
      </c>
      <c r="P314">
        <v>116</v>
      </c>
      <c r="Q314">
        <v>5.89</v>
      </c>
      <c r="R314">
        <v>5.69</v>
      </c>
      <c r="S314">
        <v>0.2</v>
      </c>
      <c r="T314">
        <v>5.33</v>
      </c>
      <c r="U314">
        <v>4.84</v>
      </c>
      <c r="V314">
        <v>13339</v>
      </c>
    </row>
    <row r="315" spans="1:22" x14ac:dyDescent="0.3">
      <c r="A315" t="s">
        <v>349</v>
      </c>
      <c r="B315" t="s">
        <v>83</v>
      </c>
      <c r="C315">
        <v>6.45</v>
      </c>
      <c r="D315">
        <v>3.27</v>
      </c>
      <c r="E315">
        <v>1.97</v>
      </c>
      <c r="F315">
        <v>1.91</v>
      </c>
      <c r="G315" s="1">
        <v>0.16200000000000001</v>
      </c>
      <c r="H315" s="1">
        <v>8.2000000000000003E-2</v>
      </c>
      <c r="I315" s="1">
        <v>0.08</v>
      </c>
      <c r="J315">
        <v>0.26900000000000002</v>
      </c>
      <c r="K315">
        <v>1.45</v>
      </c>
      <c r="L315">
        <v>0.28199999999999997</v>
      </c>
      <c r="M315" s="1">
        <v>0.61699999999999999</v>
      </c>
      <c r="N315">
        <v>134</v>
      </c>
      <c r="O315">
        <v>136</v>
      </c>
      <c r="P315">
        <v>116</v>
      </c>
      <c r="Q315">
        <v>5.64</v>
      </c>
      <c r="R315">
        <v>5.69</v>
      </c>
      <c r="S315">
        <v>-0.05</v>
      </c>
      <c r="T315">
        <v>5.14</v>
      </c>
      <c r="U315">
        <v>5.23</v>
      </c>
      <c r="V315">
        <v>14509</v>
      </c>
    </row>
    <row r="316" spans="1:22" x14ac:dyDescent="0.3">
      <c r="A316" t="s">
        <v>261</v>
      </c>
      <c r="B316" t="s">
        <v>48</v>
      </c>
      <c r="C316">
        <v>8.7799999999999994</v>
      </c>
      <c r="D316">
        <v>4.5599999999999996</v>
      </c>
      <c r="E316">
        <v>1.93</v>
      </c>
      <c r="F316">
        <v>2.0299999999999998</v>
      </c>
      <c r="G316" s="1">
        <v>0.222</v>
      </c>
      <c r="H316" s="1">
        <v>0.115</v>
      </c>
      <c r="I316" s="1">
        <v>0.107</v>
      </c>
      <c r="J316">
        <v>0.251</v>
      </c>
      <c r="K316">
        <v>1.48</v>
      </c>
      <c r="L316">
        <v>0.28000000000000003</v>
      </c>
      <c r="M316" s="1">
        <v>0.78800000000000003</v>
      </c>
      <c r="N316">
        <v>103</v>
      </c>
      <c r="O316">
        <v>129</v>
      </c>
      <c r="P316">
        <v>107</v>
      </c>
      <c r="Q316">
        <v>4.5599999999999996</v>
      </c>
      <c r="R316">
        <v>5.71</v>
      </c>
      <c r="S316">
        <v>-1.1499999999999999</v>
      </c>
      <c r="T316">
        <v>4.76</v>
      </c>
      <c r="U316">
        <v>4.6500000000000004</v>
      </c>
      <c r="V316">
        <v>7466</v>
      </c>
    </row>
    <row r="317" spans="1:22" x14ac:dyDescent="0.3">
      <c r="A317" t="s">
        <v>340</v>
      </c>
      <c r="B317" t="s">
        <v>193</v>
      </c>
      <c r="C317">
        <v>6.46</v>
      </c>
      <c r="D317">
        <v>2.78</v>
      </c>
      <c r="E317">
        <v>2.3199999999999998</v>
      </c>
      <c r="F317">
        <v>2</v>
      </c>
      <c r="G317" s="1">
        <v>0.161</v>
      </c>
      <c r="H317" s="1">
        <v>6.9000000000000006E-2</v>
      </c>
      <c r="I317" s="1">
        <v>9.1999999999999998E-2</v>
      </c>
      <c r="J317">
        <v>0.29299999999999998</v>
      </c>
      <c r="K317">
        <v>1.52</v>
      </c>
      <c r="L317">
        <v>0.31</v>
      </c>
      <c r="M317" s="1">
        <v>0.70799999999999996</v>
      </c>
      <c r="N317">
        <v>123</v>
      </c>
      <c r="O317">
        <v>127</v>
      </c>
      <c r="P317">
        <v>113</v>
      </c>
      <c r="Q317">
        <v>5.46</v>
      </c>
      <c r="R317">
        <v>5.71</v>
      </c>
      <c r="S317">
        <v>-0.26</v>
      </c>
      <c r="T317">
        <v>5.18</v>
      </c>
      <c r="U317">
        <v>5.17</v>
      </c>
      <c r="V317">
        <v>20633</v>
      </c>
    </row>
    <row r="318" spans="1:22" x14ac:dyDescent="0.3">
      <c r="A318" t="s">
        <v>370</v>
      </c>
      <c r="B318" t="s">
        <v>48</v>
      </c>
      <c r="C318">
        <v>8.8000000000000007</v>
      </c>
      <c r="D318">
        <v>4.01</v>
      </c>
      <c r="E318">
        <v>2.2000000000000002</v>
      </c>
      <c r="F318">
        <v>2.1800000000000002</v>
      </c>
      <c r="G318" s="1">
        <v>0.215</v>
      </c>
      <c r="H318" s="1">
        <v>9.8000000000000004E-2</v>
      </c>
      <c r="I318" s="1">
        <v>0.11700000000000001</v>
      </c>
      <c r="J318">
        <v>0.27400000000000002</v>
      </c>
      <c r="K318">
        <v>1.56</v>
      </c>
      <c r="L318">
        <v>0.307</v>
      </c>
      <c r="M318" s="1">
        <v>0.71</v>
      </c>
      <c r="N318">
        <v>134</v>
      </c>
      <c r="O318">
        <v>131</v>
      </c>
      <c r="P318">
        <v>113</v>
      </c>
      <c r="Q318">
        <v>6.01</v>
      </c>
      <c r="R318">
        <v>5.88</v>
      </c>
      <c r="S318">
        <v>0.12</v>
      </c>
      <c r="T318">
        <v>5.03</v>
      </c>
      <c r="U318">
        <v>4.9400000000000004</v>
      </c>
      <c r="V318">
        <v>2608</v>
      </c>
    </row>
    <row r="319" spans="1:22" x14ac:dyDescent="0.3">
      <c r="A319" t="s">
        <v>306</v>
      </c>
      <c r="B319" t="s">
        <v>30</v>
      </c>
      <c r="C319">
        <v>5.03</v>
      </c>
      <c r="D319">
        <v>2.21</v>
      </c>
      <c r="E319">
        <v>2.2799999999999998</v>
      </c>
      <c r="F319">
        <v>1.84</v>
      </c>
      <c r="G319" s="1">
        <v>0.128</v>
      </c>
      <c r="H319" s="1">
        <v>5.6000000000000001E-2</v>
      </c>
      <c r="I319" s="1">
        <v>7.1999999999999995E-2</v>
      </c>
      <c r="J319">
        <v>0.28000000000000003</v>
      </c>
      <c r="K319">
        <v>1.36</v>
      </c>
      <c r="L319">
        <v>0.28299999999999997</v>
      </c>
      <c r="M319" s="1">
        <v>0.753</v>
      </c>
      <c r="N319">
        <v>114</v>
      </c>
      <c r="O319">
        <v>134</v>
      </c>
      <c r="P319">
        <v>133</v>
      </c>
      <c r="Q319">
        <v>4.91</v>
      </c>
      <c r="R319">
        <v>5.9</v>
      </c>
      <c r="S319">
        <v>-0.99</v>
      </c>
      <c r="T319">
        <v>5.9</v>
      </c>
      <c r="U319">
        <v>5.54</v>
      </c>
      <c r="V319">
        <v>15821</v>
      </c>
    </row>
    <row r="320" spans="1:22" x14ac:dyDescent="0.3">
      <c r="A320" t="s">
        <v>369</v>
      </c>
      <c r="B320" t="s">
        <v>38</v>
      </c>
      <c r="C320">
        <v>9.31</v>
      </c>
      <c r="D320">
        <v>4.66</v>
      </c>
      <c r="E320">
        <v>2</v>
      </c>
      <c r="F320">
        <v>2.13</v>
      </c>
      <c r="G320" s="1">
        <v>0.23200000000000001</v>
      </c>
      <c r="H320" s="1">
        <v>0.11600000000000001</v>
      </c>
      <c r="I320" s="1">
        <v>0.11600000000000001</v>
      </c>
      <c r="J320">
        <v>0.27300000000000002</v>
      </c>
      <c r="K320">
        <v>1.58</v>
      </c>
      <c r="L320">
        <v>0.315</v>
      </c>
      <c r="M320" s="1">
        <v>0.73099999999999998</v>
      </c>
      <c r="N320">
        <v>124</v>
      </c>
      <c r="O320">
        <v>130</v>
      </c>
      <c r="P320">
        <v>107</v>
      </c>
      <c r="Q320">
        <v>5.99</v>
      </c>
      <c r="R320">
        <v>5.9</v>
      </c>
      <c r="S320">
        <v>0.08</v>
      </c>
      <c r="T320">
        <v>4.8899999999999997</v>
      </c>
      <c r="U320">
        <v>4.8600000000000003</v>
      </c>
      <c r="V320">
        <v>9132</v>
      </c>
    </row>
    <row r="321" spans="1:22" x14ac:dyDescent="0.3">
      <c r="A321" t="s">
        <v>371</v>
      </c>
      <c r="B321" t="s">
        <v>127</v>
      </c>
      <c r="C321">
        <v>5.36</v>
      </c>
      <c r="D321">
        <v>2.71</v>
      </c>
      <c r="E321">
        <v>1.98</v>
      </c>
      <c r="F321">
        <v>1.99</v>
      </c>
      <c r="G321" s="1">
        <v>0.13400000000000001</v>
      </c>
      <c r="H321" s="1">
        <v>6.8000000000000005E-2</v>
      </c>
      <c r="I321" s="1">
        <v>6.6000000000000003E-2</v>
      </c>
      <c r="J321">
        <v>0.29299999999999998</v>
      </c>
      <c r="K321">
        <v>1.51</v>
      </c>
      <c r="L321">
        <v>0.29899999999999999</v>
      </c>
      <c r="M321" s="1">
        <v>0.68</v>
      </c>
      <c r="N321">
        <v>128</v>
      </c>
      <c r="O321">
        <v>132</v>
      </c>
      <c r="P321">
        <v>127</v>
      </c>
      <c r="Q321">
        <v>6.02</v>
      </c>
      <c r="R321">
        <v>5.93</v>
      </c>
      <c r="S321">
        <v>0.09</v>
      </c>
      <c r="T321">
        <v>5.81</v>
      </c>
      <c r="U321">
        <v>5.59</v>
      </c>
      <c r="V321">
        <v>15200</v>
      </c>
    </row>
    <row r="322" spans="1:22" x14ac:dyDescent="0.3">
      <c r="A322" t="s">
        <v>237</v>
      </c>
      <c r="B322" t="s">
        <v>62</v>
      </c>
      <c r="C322">
        <v>8.27</v>
      </c>
      <c r="D322">
        <v>4.79</v>
      </c>
      <c r="E322">
        <v>1.73</v>
      </c>
      <c r="F322">
        <v>1.89</v>
      </c>
      <c r="G322" s="1">
        <v>0.20499999999999999</v>
      </c>
      <c r="H322" s="1">
        <v>0.11899999999999999</v>
      </c>
      <c r="I322" s="1">
        <v>8.5999999999999993E-2</v>
      </c>
      <c r="J322">
        <v>0.254</v>
      </c>
      <c r="K322">
        <v>1.52</v>
      </c>
      <c r="L322">
        <v>0.28199999999999997</v>
      </c>
      <c r="M322" s="1">
        <v>0.79200000000000004</v>
      </c>
      <c r="N322">
        <v>97</v>
      </c>
      <c r="O322">
        <v>130</v>
      </c>
      <c r="P322">
        <v>112</v>
      </c>
      <c r="Q322">
        <v>4.3499999999999996</v>
      </c>
      <c r="R322">
        <v>5.94</v>
      </c>
      <c r="S322">
        <v>-1.58</v>
      </c>
      <c r="T322">
        <v>5.1100000000000003</v>
      </c>
      <c r="U322">
        <v>4.88</v>
      </c>
      <c r="V322">
        <v>6984</v>
      </c>
    </row>
    <row r="323" spans="1:22" x14ac:dyDescent="0.3">
      <c r="A323" t="s">
        <v>357</v>
      </c>
      <c r="B323" t="s">
        <v>193</v>
      </c>
      <c r="C323">
        <v>8.07</v>
      </c>
      <c r="D323">
        <v>1.86</v>
      </c>
      <c r="E323">
        <v>4.33</v>
      </c>
      <c r="F323">
        <v>2.64</v>
      </c>
      <c r="G323" s="1">
        <v>0.21199999999999999</v>
      </c>
      <c r="H323" s="1">
        <v>4.9000000000000002E-2</v>
      </c>
      <c r="I323" s="1">
        <v>0.16300000000000001</v>
      </c>
      <c r="J323">
        <v>0.24199999999999999</v>
      </c>
      <c r="K323">
        <v>1.17</v>
      </c>
      <c r="L323">
        <v>0.24099999999999999</v>
      </c>
      <c r="M323" s="1">
        <v>0.628</v>
      </c>
      <c r="N323">
        <v>129</v>
      </c>
      <c r="O323">
        <v>132</v>
      </c>
      <c r="P323">
        <v>102</v>
      </c>
      <c r="Q323">
        <v>5.74</v>
      </c>
      <c r="R323">
        <v>5.96</v>
      </c>
      <c r="S323">
        <v>-0.21</v>
      </c>
      <c r="T323">
        <v>4.68</v>
      </c>
      <c r="U323">
        <v>4.29</v>
      </c>
      <c r="V323">
        <v>16587</v>
      </c>
    </row>
    <row r="324" spans="1:22" x14ac:dyDescent="0.3">
      <c r="A324" t="s">
        <v>393</v>
      </c>
      <c r="B324" t="s">
        <v>46</v>
      </c>
      <c r="C324">
        <v>5.74</v>
      </c>
      <c r="D324">
        <v>3.63</v>
      </c>
      <c r="E324">
        <v>1.58</v>
      </c>
      <c r="F324">
        <v>1.81</v>
      </c>
      <c r="G324" s="1">
        <v>0.13600000000000001</v>
      </c>
      <c r="H324" s="1">
        <v>8.5999999999999993E-2</v>
      </c>
      <c r="I324" s="1">
        <v>0.05</v>
      </c>
      <c r="J324">
        <v>0.315</v>
      </c>
      <c r="K324">
        <v>1.74</v>
      </c>
      <c r="L324">
        <v>0.33300000000000002</v>
      </c>
      <c r="M324" s="1">
        <v>0.64100000000000001</v>
      </c>
      <c r="N324">
        <v>144</v>
      </c>
      <c r="O324">
        <v>127</v>
      </c>
      <c r="P324">
        <v>119</v>
      </c>
      <c r="Q324">
        <v>7.25</v>
      </c>
      <c r="R324">
        <v>5.97</v>
      </c>
      <c r="S324">
        <v>1.29</v>
      </c>
      <c r="T324">
        <v>5.29</v>
      </c>
      <c r="U324">
        <v>5.51</v>
      </c>
      <c r="V324">
        <v>17969</v>
      </c>
    </row>
    <row r="325" spans="1:22" x14ac:dyDescent="0.3">
      <c r="A325" t="s">
        <v>386</v>
      </c>
      <c r="B325" t="s">
        <v>46</v>
      </c>
      <c r="C325">
        <v>6.81</v>
      </c>
      <c r="D325">
        <v>3.36</v>
      </c>
      <c r="E325">
        <v>2.0299999999999998</v>
      </c>
      <c r="F325">
        <v>2.16</v>
      </c>
      <c r="G325" s="1">
        <v>0.16700000000000001</v>
      </c>
      <c r="H325" s="1">
        <v>8.2000000000000003E-2</v>
      </c>
      <c r="I325" s="1">
        <v>8.5000000000000006E-2</v>
      </c>
      <c r="J325">
        <v>0.29199999999999998</v>
      </c>
      <c r="K325">
        <v>1.58</v>
      </c>
      <c r="L325">
        <v>0.308</v>
      </c>
      <c r="M325" s="1">
        <v>0.621</v>
      </c>
      <c r="N325">
        <v>133</v>
      </c>
      <c r="O325">
        <v>128</v>
      </c>
      <c r="P325">
        <v>114</v>
      </c>
      <c r="Q325">
        <v>6.73</v>
      </c>
      <c r="R325">
        <v>5.99</v>
      </c>
      <c r="S325">
        <v>0.73</v>
      </c>
      <c r="T325">
        <v>5.07</v>
      </c>
      <c r="U325">
        <v>5.19</v>
      </c>
      <c r="V325">
        <v>16256</v>
      </c>
    </row>
    <row r="326" spans="1:22" x14ac:dyDescent="0.3">
      <c r="A326" t="s">
        <v>378</v>
      </c>
      <c r="B326" t="s">
        <v>193</v>
      </c>
      <c r="C326">
        <v>7.16</v>
      </c>
      <c r="D326">
        <v>3.14</v>
      </c>
      <c r="E326">
        <v>2.2799999999999998</v>
      </c>
      <c r="F326">
        <v>2.13</v>
      </c>
      <c r="G326" s="1">
        <v>0.17499999999999999</v>
      </c>
      <c r="H326" s="1">
        <v>7.6999999999999999E-2</v>
      </c>
      <c r="I326" s="1">
        <v>9.8000000000000004E-2</v>
      </c>
      <c r="J326">
        <v>0.28899999999999998</v>
      </c>
      <c r="K326">
        <v>1.53</v>
      </c>
      <c r="L326">
        <v>0.309</v>
      </c>
      <c r="M326" s="1">
        <v>0.629</v>
      </c>
      <c r="N326">
        <v>144</v>
      </c>
      <c r="O326">
        <v>133</v>
      </c>
      <c r="P326">
        <v>113</v>
      </c>
      <c r="Q326">
        <v>6.4</v>
      </c>
      <c r="R326">
        <v>6</v>
      </c>
      <c r="S326">
        <v>0.4</v>
      </c>
      <c r="T326">
        <v>5.17</v>
      </c>
      <c r="U326">
        <v>5.0199999999999996</v>
      </c>
      <c r="V326">
        <v>4772</v>
      </c>
    </row>
    <row r="327" spans="1:22" x14ac:dyDescent="0.3">
      <c r="A327" t="s">
        <v>395</v>
      </c>
      <c r="B327" t="s">
        <v>43</v>
      </c>
      <c r="C327">
        <v>6.29</v>
      </c>
      <c r="D327">
        <v>4.3</v>
      </c>
      <c r="E327">
        <v>1.46</v>
      </c>
      <c r="F327">
        <v>1.84</v>
      </c>
      <c r="G327" s="1">
        <v>0.14599999999999999</v>
      </c>
      <c r="H327" s="1">
        <v>0.1</v>
      </c>
      <c r="I327" s="1">
        <v>4.5999999999999999E-2</v>
      </c>
      <c r="J327">
        <v>0.30099999999999999</v>
      </c>
      <c r="K327">
        <v>1.76</v>
      </c>
      <c r="L327">
        <v>0.32100000000000001</v>
      </c>
      <c r="M327" s="1">
        <v>0.58299999999999996</v>
      </c>
      <c r="N327">
        <v>177</v>
      </c>
      <c r="O327">
        <v>130</v>
      </c>
      <c r="P327">
        <v>122</v>
      </c>
      <c r="Q327">
        <v>7.98</v>
      </c>
      <c r="R327">
        <v>6.06</v>
      </c>
      <c r="S327">
        <v>1.92</v>
      </c>
      <c r="T327">
        <v>5.61</v>
      </c>
      <c r="U327">
        <v>5.67</v>
      </c>
      <c r="V327">
        <v>14825</v>
      </c>
    </row>
    <row r="328" spans="1:22" x14ac:dyDescent="0.3">
      <c r="A328" t="s">
        <v>373</v>
      </c>
      <c r="B328" t="s">
        <v>48</v>
      </c>
      <c r="C328">
        <v>8.75</v>
      </c>
      <c r="D328">
        <v>4.8</v>
      </c>
      <c r="E328">
        <v>1.82</v>
      </c>
      <c r="F328">
        <v>2.13</v>
      </c>
      <c r="G328" s="1">
        <v>0.218</v>
      </c>
      <c r="H328" s="1">
        <v>0.12</v>
      </c>
      <c r="I328" s="1">
        <v>9.8000000000000004E-2</v>
      </c>
      <c r="J328">
        <v>0.251</v>
      </c>
      <c r="K328">
        <v>1.51</v>
      </c>
      <c r="L328">
        <v>0.27600000000000002</v>
      </c>
      <c r="M328" s="1">
        <v>0.68</v>
      </c>
      <c r="N328">
        <v>144</v>
      </c>
      <c r="O328">
        <v>144</v>
      </c>
      <c r="P328">
        <v>119</v>
      </c>
      <c r="Q328">
        <v>6.08</v>
      </c>
      <c r="R328">
        <v>6.1</v>
      </c>
      <c r="S328">
        <v>-0.01</v>
      </c>
      <c r="T328">
        <v>5.25</v>
      </c>
      <c r="U328">
        <v>4.9800000000000004</v>
      </c>
      <c r="V328">
        <v>4141</v>
      </c>
    </row>
    <row r="329" spans="1:22" x14ac:dyDescent="0.3">
      <c r="A329" t="s">
        <v>368</v>
      </c>
      <c r="B329" t="s">
        <v>62</v>
      </c>
      <c r="C329">
        <v>7.12</v>
      </c>
      <c r="D329">
        <v>3.43</v>
      </c>
      <c r="E329">
        <v>2.08</v>
      </c>
      <c r="F329">
        <v>2.2000000000000002</v>
      </c>
      <c r="G329" s="1">
        <v>0.17799999999999999</v>
      </c>
      <c r="H329" s="1">
        <v>8.5999999999999993E-2</v>
      </c>
      <c r="I329" s="1">
        <v>9.1999999999999998E-2</v>
      </c>
      <c r="J329">
        <v>0.27100000000000002</v>
      </c>
      <c r="K329">
        <v>1.47</v>
      </c>
      <c r="L329">
        <v>0.28299999999999997</v>
      </c>
      <c r="M329" s="1">
        <v>0.70199999999999996</v>
      </c>
      <c r="N329">
        <v>133</v>
      </c>
      <c r="O329">
        <v>134</v>
      </c>
      <c r="P329">
        <v>112</v>
      </c>
      <c r="Q329">
        <v>5.98</v>
      </c>
      <c r="R329">
        <v>6.13</v>
      </c>
      <c r="S329">
        <v>-0.15</v>
      </c>
      <c r="T329">
        <v>5.1100000000000003</v>
      </c>
      <c r="U329">
        <v>4.95</v>
      </c>
      <c r="V329">
        <v>6249</v>
      </c>
    </row>
    <row r="330" spans="1:22" x14ac:dyDescent="0.3">
      <c r="A330" t="s">
        <v>348</v>
      </c>
      <c r="B330" t="s">
        <v>146</v>
      </c>
      <c r="C330">
        <v>5.45</v>
      </c>
      <c r="D330">
        <v>2.11</v>
      </c>
      <c r="E330">
        <v>2.58</v>
      </c>
      <c r="F330">
        <v>2.36</v>
      </c>
      <c r="G330" s="1">
        <v>0.14000000000000001</v>
      </c>
      <c r="H330" s="1">
        <v>5.3999999999999999E-2</v>
      </c>
      <c r="I330" s="1">
        <v>8.5000000000000006E-2</v>
      </c>
      <c r="J330">
        <v>0.27900000000000003</v>
      </c>
      <c r="K330">
        <v>1.37</v>
      </c>
      <c r="L330">
        <v>0.27300000000000002</v>
      </c>
      <c r="M330" s="1">
        <v>0.68200000000000005</v>
      </c>
      <c r="N330">
        <v>119</v>
      </c>
      <c r="O330">
        <v>129</v>
      </c>
      <c r="P330">
        <v>118</v>
      </c>
      <c r="Q330">
        <v>5.61</v>
      </c>
      <c r="R330">
        <v>6.2</v>
      </c>
      <c r="S330">
        <v>-0.57999999999999996</v>
      </c>
      <c r="T330">
        <v>5.4</v>
      </c>
      <c r="U330">
        <v>5.0999999999999996</v>
      </c>
      <c r="V330">
        <v>12938</v>
      </c>
    </row>
    <row r="331" spans="1:22" x14ac:dyDescent="0.3">
      <c r="A331" t="s">
        <v>379</v>
      </c>
      <c r="B331" t="s">
        <v>62</v>
      </c>
      <c r="C331">
        <v>8.17</v>
      </c>
      <c r="D331">
        <v>2.94</v>
      </c>
      <c r="E331">
        <v>2.78</v>
      </c>
      <c r="F331">
        <v>2.61</v>
      </c>
      <c r="G331" s="1">
        <v>0.20499999999999999</v>
      </c>
      <c r="H331" s="1">
        <v>7.3999999999999996E-2</v>
      </c>
      <c r="I331" s="1">
        <v>0.13200000000000001</v>
      </c>
      <c r="J331">
        <v>0.27400000000000002</v>
      </c>
      <c r="K331">
        <v>1.44</v>
      </c>
      <c r="L331">
        <v>0.28699999999999998</v>
      </c>
      <c r="M331" s="1">
        <v>0.68600000000000005</v>
      </c>
      <c r="N331">
        <v>143</v>
      </c>
      <c r="O331">
        <v>136</v>
      </c>
      <c r="P331">
        <v>116</v>
      </c>
      <c r="Q331">
        <v>6.42</v>
      </c>
      <c r="R331">
        <v>6.23</v>
      </c>
      <c r="S331">
        <v>0.2</v>
      </c>
      <c r="T331">
        <v>5.32</v>
      </c>
      <c r="U331">
        <v>4.78</v>
      </c>
      <c r="V331">
        <v>18356</v>
      </c>
    </row>
    <row r="332" spans="1:22" x14ac:dyDescent="0.3">
      <c r="A332" t="s">
        <v>333</v>
      </c>
      <c r="B332" t="s">
        <v>62</v>
      </c>
      <c r="C332">
        <v>6.88</v>
      </c>
      <c r="D332">
        <v>3.25</v>
      </c>
      <c r="E332">
        <v>2.12</v>
      </c>
      <c r="F332">
        <v>2.25</v>
      </c>
      <c r="G332" s="1">
        <v>0.16800000000000001</v>
      </c>
      <c r="H332" s="1">
        <v>0.08</v>
      </c>
      <c r="I332" s="1">
        <v>8.8999999999999996E-2</v>
      </c>
      <c r="J332">
        <v>0.28699999999999998</v>
      </c>
      <c r="K332">
        <v>1.54</v>
      </c>
      <c r="L332">
        <v>0.3</v>
      </c>
      <c r="M332" s="1">
        <v>0.72699999999999998</v>
      </c>
      <c r="N332">
        <v>119</v>
      </c>
      <c r="O332">
        <v>136</v>
      </c>
      <c r="P332">
        <v>120</v>
      </c>
      <c r="Q332">
        <v>5.38</v>
      </c>
      <c r="R332">
        <v>6.23</v>
      </c>
      <c r="S332">
        <v>-0.85</v>
      </c>
      <c r="T332">
        <v>5.52</v>
      </c>
      <c r="U332">
        <v>5.2</v>
      </c>
      <c r="V332">
        <v>18790</v>
      </c>
    </row>
    <row r="333" spans="1:22" x14ac:dyDescent="0.3">
      <c r="A333" t="s">
        <v>376</v>
      </c>
      <c r="B333" t="s">
        <v>48</v>
      </c>
      <c r="C333">
        <v>9.4700000000000006</v>
      </c>
      <c r="D333">
        <v>4.34</v>
      </c>
      <c r="E333">
        <v>2.1800000000000002</v>
      </c>
      <c r="F333">
        <v>2.5299999999999998</v>
      </c>
      <c r="G333" s="1">
        <v>0.23300000000000001</v>
      </c>
      <c r="H333" s="1">
        <v>0.107</v>
      </c>
      <c r="I333" s="1">
        <v>0.126</v>
      </c>
      <c r="J333">
        <v>0.27600000000000002</v>
      </c>
      <c r="K333">
        <v>1.59</v>
      </c>
      <c r="L333">
        <v>0.308</v>
      </c>
      <c r="M333" s="1">
        <v>0.72399999999999998</v>
      </c>
      <c r="N333">
        <v>131</v>
      </c>
      <c r="O333">
        <v>134</v>
      </c>
      <c r="P333">
        <v>115</v>
      </c>
      <c r="Q333">
        <v>6.24</v>
      </c>
      <c r="R333">
        <v>6.26</v>
      </c>
      <c r="S333">
        <v>-0.02</v>
      </c>
      <c r="T333">
        <v>5.21</v>
      </c>
      <c r="U333">
        <v>4.8600000000000003</v>
      </c>
      <c r="V333">
        <v>11760</v>
      </c>
    </row>
    <row r="334" spans="1:22" x14ac:dyDescent="0.3">
      <c r="A334" t="s">
        <v>391</v>
      </c>
      <c r="B334" t="s">
        <v>62</v>
      </c>
      <c r="C334">
        <v>5.88</v>
      </c>
      <c r="D334">
        <v>4.37</v>
      </c>
      <c r="E334">
        <v>1.34</v>
      </c>
      <c r="F334">
        <v>1.96</v>
      </c>
      <c r="G334" s="1">
        <v>0.14699999999999999</v>
      </c>
      <c r="H334" s="1">
        <v>0.109</v>
      </c>
      <c r="I334" s="1">
        <v>3.7999999999999999E-2</v>
      </c>
      <c r="J334">
        <v>0.26900000000000002</v>
      </c>
      <c r="K334">
        <v>1.54</v>
      </c>
      <c r="L334">
        <v>0.27500000000000002</v>
      </c>
      <c r="M334" s="1">
        <v>0.61199999999999999</v>
      </c>
      <c r="N334">
        <v>157</v>
      </c>
      <c r="O334">
        <v>138</v>
      </c>
      <c r="P334">
        <v>119</v>
      </c>
      <c r="Q334">
        <v>7.09</v>
      </c>
      <c r="R334">
        <v>6.35</v>
      </c>
      <c r="S334">
        <v>0.74</v>
      </c>
      <c r="T334">
        <v>5.45</v>
      </c>
      <c r="U334">
        <v>5.81</v>
      </c>
      <c r="V334">
        <v>11713</v>
      </c>
    </row>
    <row r="335" spans="1:22" x14ac:dyDescent="0.3">
      <c r="A335" t="s">
        <v>329</v>
      </c>
      <c r="B335" t="s">
        <v>98</v>
      </c>
      <c r="C335">
        <v>7.23</v>
      </c>
      <c r="D335">
        <v>3.19</v>
      </c>
      <c r="E335">
        <v>2.27</v>
      </c>
      <c r="F335">
        <v>2.44</v>
      </c>
      <c r="G335" s="1">
        <v>0.184</v>
      </c>
      <c r="H335" s="1">
        <v>8.1000000000000003E-2</v>
      </c>
      <c r="I335" s="1">
        <v>0.10299999999999999</v>
      </c>
      <c r="J335">
        <v>0.25800000000000001</v>
      </c>
      <c r="K335">
        <v>1.37</v>
      </c>
      <c r="L335">
        <v>0.26</v>
      </c>
      <c r="M335" s="1">
        <v>0.746</v>
      </c>
      <c r="N335">
        <v>120</v>
      </c>
      <c r="O335">
        <v>146</v>
      </c>
      <c r="P335">
        <v>126</v>
      </c>
      <c r="Q335">
        <v>5.31</v>
      </c>
      <c r="R335">
        <v>6.41</v>
      </c>
      <c r="S335">
        <v>-1.1000000000000001</v>
      </c>
      <c r="T335">
        <v>5.56</v>
      </c>
      <c r="U335">
        <v>5.05</v>
      </c>
      <c r="V335">
        <v>17611</v>
      </c>
    </row>
    <row r="336" spans="1:22" x14ac:dyDescent="0.3">
      <c r="A336" t="s">
        <v>354</v>
      </c>
      <c r="B336" t="s">
        <v>95</v>
      </c>
      <c r="C336">
        <v>7.87</v>
      </c>
      <c r="D336">
        <v>2.78</v>
      </c>
      <c r="E336">
        <v>2.83</v>
      </c>
      <c r="F336">
        <v>2.78</v>
      </c>
      <c r="G336" s="1">
        <v>0.20799999999999999</v>
      </c>
      <c r="H336" s="1">
        <v>7.2999999999999995E-2</v>
      </c>
      <c r="I336" s="1">
        <v>0.13500000000000001</v>
      </c>
      <c r="J336">
        <v>0.25800000000000001</v>
      </c>
      <c r="K336">
        <v>1.3</v>
      </c>
      <c r="L336">
        <v>0.25600000000000001</v>
      </c>
      <c r="M336" s="1">
        <v>0.77700000000000002</v>
      </c>
      <c r="N336">
        <v>130</v>
      </c>
      <c r="O336">
        <v>144</v>
      </c>
      <c r="P336">
        <v>116</v>
      </c>
      <c r="Q336">
        <v>5.71</v>
      </c>
      <c r="R336">
        <v>6.51</v>
      </c>
      <c r="S336">
        <v>-0.8</v>
      </c>
      <c r="T336">
        <v>5.15</v>
      </c>
      <c r="U336">
        <v>4.79</v>
      </c>
      <c r="V336">
        <v>12664</v>
      </c>
    </row>
    <row r="337" spans="1:22" x14ac:dyDescent="0.3">
      <c r="A337" t="s">
        <v>389</v>
      </c>
      <c r="B337" t="s">
        <v>43</v>
      </c>
      <c r="C337">
        <v>7.82</v>
      </c>
      <c r="D337">
        <v>5.86</v>
      </c>
      <c r="E337">
        <v>1.33</v>
      </c>
      <c r="F337">
        <v>2.13</v>
      </c>
      <c r="G337" s="1">
        <v>0.187</v>
      </c>
      <c r="H337" s="1">
        <v>0.14000000000000001</v>
      </c>
      <c r="I337" s="1">
        <v>4.7E-2</v>
      </c>
      <c r="J337">
        <v>0.29899999999999999</v>
      </c>
      <c r="K337">
        <v>1.84</v>
      </c>
      <c r="L337">
        <v>0.33100000000000002</v>
      </c>
      <c r="M337" s="1">
        <v>0.71199999999999997</v>
      </c>
      <c r="N337">
        <v>153</v>
      </c>
      <c r="O337">
        <v>141</v>
      </c>
      <c r="P337">
        <v>132</v>
      </c>
      <c r="Q337">
        <v>6.93</v>
      </c>
      <c r="R337">
        <v>6.57</v>
      </c>
      <c r="S337">
        <v>0.36</v>
      </c>
      <c r="T337">
        <v>6.04</v>
      </c>
      <c r="U337">
        <v>5.81</v>
      </c>
      <c r="V337">
        <v>5365</v>
      </c>
    </row>
    <row r="338" spans="1:22" x14ac:dyDescent="0.3">
      <c r="A338" t="s">
        <v>392</v>
      </c>
      <c r="B338" t="s">
        <v>62</v>
      </c>
      <c r="C338">
        <v>8</v>
      </c>
      <c r="D338">
        <v>3.67</v>
      </c>
      <c r="E338">
        <v>2.1800000000000002</v>
      </c>
      <c r="F338">
        <v>2.56</v>
      </c>
      <c r="G338" s="1">
        <v>0.192</v>
      </c>
      <c r="H338" s="1">
        <v>8.7999999999999995E-2</v>
      </c>
      <c r="I338" s="1">
        <v>0.104</v>
      </c>
      <c r="J338">
        <v>0.30099999999999999</v>
      </c>
      <c r="K338">
        <v>1.64</v>
      </c>
      <c r="L338">
        <v>0.32500000000000001</v>
      </c>
      <c r="M338" s="1">
        <v>0.68600000000000005</v>
      </c>
      <c r="N338">
        <v>158</v>
      </c>
      <c r="O338">
        <v>147</v>
      </c>
      <c r="P338">
        <v>124</v>
      </c>
      <c r="Q338">
        <v>7.11</v>
      </c>
      <c r="R338">
        <v>6.72</v>
      </c>
      <c r="S338">
        <v>0.39</v>
      </c>
      <c r="T338">
        <v>5.71</v>
      </c>
      <c r="U338">
        <v>5.09</v>
      </c>
      <c r="V338">
        <v>19911</v>
      </c>
    </row>
    <row r="339" spans="1:22" x14ac:dyDescent="0.3">
      <c r="A339" t="s">
        <v>381</v>
      </c>
      <c r="B339" t="s">
        <v>46</v>
      </c>
      <c r="C339">
        <v>8.74</v>
      </c>
      <c r="D339">
        <v>4.37</v>
      </c>
      <c r="E339">
        <v>2</v>
      </c>
      <c r="F339">
        <v>2.7</v>
      </c>
      <c r="G339" s="1">
        <v>0.216</v>
      </c>
      <c r="H339" s="1">
        <v>0.108</v>
      </c>
      <c r="I339" s="1">
        <v>0.108</v>
      </c>
      <c r="J339">
        <v>0.27800000000000002</v>
      </c>
      <c r="K339">
        <v>1.59</v>
      </c>
      <c r="L339">
        <v>0.29799999999999999</v>
      </c>
      <c r="M339" s="1">
        <v>0.748</v>
      </c>
      <c r="N339">
        <v>130</v>
      </c>
      <c r="O339">
        <v>145</v>
      </c>
      <c r="P339">
        <v>123</v>
      </c>
      <c r="Q339">
        <v>6.56</v>
      </c>
      <c r="R339">
        <v>6.8</v>
      </c>
      <c r="S339">
        <v>-0.24</v>
      </c>
      <c r="T339">
        <v>5.43</v>
      </c>
      <c r="U339">
        <v>5.1100000000000003</v>
      </c>
      <c r="V339">
        <v>17432</v>
      </c>
    </row>
    <row r="340" spans="1:22" x14ac:dyDescent="0.3">
      <c r="A340" t="s">
        <v>384</v>
      </c>
      <c r="B340" t="s">
        <v>43</v>
      </c>
      <c r="C340">
        <v>5.94</v>
      </c>
      <c r="D340">
        <v>3.49</v>
      </c>
      <c r="E340">
        <v>1.7</v>
      </c>
      <c r="F340">
        <v>2.58</v>
      </c>
      <c r="G340" s="1">
        <v>0.14599999999999999</v>
      </c>
      <c r="H340" s="1">
        <v>8.5999999999999993E-2</v>
      </c>
      <c r="I340" s="1">
        <v>0.06</v>
      </c>
      <c r="J340">
        <v>0.30199999999999999</v>
      </c>
      <c r="K340">
        <v>1.62</v>
      </c>
      <c r="L340">
        <v>0.30099999999999999</v>
      </c>
      <c r="M340" s="1">
        <v>0.70499999999999996</v>
      </c>
      <c r="N340">
        <v>146</v>
      </c>
      <c r="O340">
        <v>149</v>
      </c>
      <c r="P340">
        <v>120</v>
      </c>
      <c r="Q340">
        <v>6.59</v>
      </c>
      <c r="R340">
        <v>6.92</v>
      </c>
      <c r="S340">
        <v>-0.33</v>
      </c>
      <c r="T340">
        <v>5.5</v>
      </c>
      <c r="U340">
        <v>5.36</v>
      </c>
      <c r="V340">
        <v>2859</v>
      </c>
    </row>
    <row r="341" spans="1:22" x14ac:dyDescent="0.3">
      <c r="A341" t="s">
        <v>390</v>
      </c>
      <c r="B341" t="s">
        <v>146</v>
      </c>
      <c r="C341">
        <v>7.65</v>
      </c>
      <c r="D341">
        <v>3.38</v>
      </c>
      <c r="E341">
        <v>2.27</v>
      </c>
      <c r="F341">
        <v>3.15</v>
      </c>
      <c r="G341" s="1">
        <v>0.186</v>
      </c>
      <c r="H341" s="1">
        <v>8.2000000000000003E-2</v>
      </c>
      <c r="I341" s="1">
        <v>0.104</v>
      </c>
      <c r="J341">
        <v>0.28199999999999997</v>
      </c>
      <c r="K341">
        <v>1.55</v>
      </c>
      <c r="L341">
        <v>0.27800000000000002</v>
      </c>
      <c r="M341" s="1">
        <v>0.61099999999999999</v>
      </c>
      <c r="N341">
        <v>151</v>
      </c>
      <c r="O341">
        <v>152</v>
      </c>
      <c r="P341">
        <v>124</v>
      </c>
      <c r="Q341">
        <v>7.09</v>
      </c>
      <c r="R341">
        <v>7.26</v>
      </c>
      <c r="S341">
        <v>-0.18</v>
      </c>
      <c r="T341">
        <v>5.67</v>
      </c>
      <c r="U341">
        <v>5.17</v>
      </c>
      <c r="V341">
        <v>16130</v>
      </c>
    </row>
    <row r="342" spans="1:22" x14ac:dyDescent="0.3">
      <c r="A342" t="s">
        <v>396</v>
      </c>
      <c r="B342" t="s">
        <v>48</v>
      </c>
      <c r="C342">
        <v>6.92</v>
      </c>
      <c r="D342">
        <v>4.26</v>
      </c>
      <c r="E342">
        <v>1.63</v>
      </c>
      <c r="F342">
        <v>3.06</v>
      </c>
      <c r="G342" s="1">
        <v>0.155</v>
      </c>
      <c r="H342" s="1">
        <v>9.5000000000000001E-2</v>
      </c>
      <c r="I342" s="1">
        <v>0.06</v>
      </c>
      <c r="J342">
        <v>0.34899999999999998</v>
      </c>
      <c r="K342">
        <v>2.02</v>
      </c>
      <c r="L342">
        <v>0.36299999999999999</v>
      </c>
      <c r="M342" s="1">
        <v>0.54700000000000004</v>
      </c>
      <c r="N342">
        <v>207</v>
      </c>
      <c r="O342">
        <v>164</v>
      </c>
      <c r="P342">
        <v>129</v>
      </c>
      <c r="Q342">
        <v>9.58</v>
      </c>
      <c r="R342">
        <v>7.65</v>
      </c>
      <c r="S342">
        <v>1.93</v>
      </c>
      <c r="T342">
        <v>5.9</v>
      </c>
      <c r="U342">
        <v>5.54</v>
      </c>
      <c r="V342">
        <v>1841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Y342"/>
  <sheetViews>
    <sheetView topLeftCell="F64" workbookViewId="0"/>
  </sheetViews>
  <sheetFormatPr defaultRowHeight="14.4" x14ac:dyDescent="0.3"/>
  <sheetData>
    <row r="1" spans="1:2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3">
      <c r="A2" t="s">
        <v>25</v>
      </c>
      <c r="B2" t="s">
        <v>26</v>
      </c>
      <c r="C2">
        <v>0</v>
      </c>
      <c r="D2">
        <v>5</v>
      </c>
      <c r="E2">
        <v>1.19</v>
      </c>
      <c r="F2">
        <v>60</v>
      </c>
      <c r="G2">
        <v>0</v>
      </c>
      <c r="H2">
        <v>0</v>
      </c>
      <c r="I2">
        <v>0</v>
      </c>
      <c r="J2">
        <v>41</v>
      </c>
      <c r="K2">
        <v>0</v>
      </c>
      <c r="L2">
        <v>3</v>
      </c>
      <c r="M2">
        <v>60.2</v>
      </c>
      <c r="N2">
        <v>243</v>
      </c>
      <c r="O2">
        <v>41</v>
      </c>
      <c r="P2">
        <v>14</v>
      </c>
      <c r="Q2">
        <v>8</v>
      </c>
      <c r="R2">
        <v>2</v>
      </c>
      <c r="S2">
        <v>13</v>
      </c>
      <c r="T2">
        <v>1</v>
      </c>
      <c r="U2">
        <v>7</v>
      </c>
      <c r="V2">
        <v>2</v>
      </c>
      <c r="W2">
        <v>0</v>
      </c>
      <c r="X2">
        <v>101</v>
      </c>
      <c r="Y2">
        <v>9073</v>
      </c>
    </row>
    <row r="3" spans="1:25" x14ac:dyDescent="0.3">
      <c r="A3" t="s">
        <v>27</v>
      </c>
      <c r="B3" t="s">
        <v>28</v>
      </c>
      <c r="C3">
        <v>4</v>
      </c>
      <c r="D3">
        <v>1</v>
      </c>
      <c r="E3">
        <v>1.5</v>
      </c>
      <c r="F3">
        <v>68</v>
      </c>
      <c r="G3">
        <v>0</v>
      </c>
      <c r="H3">
        <v>0</v>
      </c>
      <c r="I3">
        <v>0</v>
      </c>
      <c r="J3">
        <v>4</v>
      </c>
      <c r="K3">
        <v>26</v>
      </c>
      <c r="L3">
        <v>1</v>
      </c>
      <c r="M3">
        <v>60</v>
      </c>
      <c r="N3">
        <v>229</v>
      </c>
      <c r="O3">
        <v>42</v>
      </c>
      <c r="P3">
        <v>14</v>
      </c>
      <c r="Q3">
        <v>10</v>
      </c>
      <c r="R3">
        <v>6</v>
      </c>
      <c r="S3">
        <v>14</v>
      </c>
      <c r="T3">
        <v>0</v>
      </c>
      <c r="U3">
        <v>0</v>
      </c>
      <c r="V3">
        <v>3</v>
      </c>
      <c r="W3">
        <v>0</v>
      </c>
      <c r="X3">
        <v>62</v>
      </c>
      <c r="Y3">
        <v>3192</v>
      </c>
    </row>
    <row r="4" spans="1:25" x14ac:dyDescent="0.3">
      <c r="A4" t="s">
        <v>29</v>
      </c>
      <c r="B4" t="s">
        <v>30</v>
      </c>
      <c r="C4">
        <v>5</v>
      </c>
      <c r="D4">
        <v>1</v>
      </c>
      <c r="E4">
        <v>1.65</v>
      </c>
      <c r="F4">
        <v>56</v>
      </c>
      <c r="G4">
        <v>0</v>
      </c>
      <c r="H4">
        <v>0</v>
      </c>
      <c r="I4">
        <v>0</v>
      </c>
      <c r="J4">
        <v>28</v>
      </c>
      <c r="K4">
        <v>0</v>
      </c>
      <c r="L4">
        <v>3</v>
      </c>
      <c r="M4">
        <v>60</v>
      </c>
      <c r="N4">
        <v>236</v>
      </c>
      <c r="O4">
        <v>43</v>
      </c>
      <c r="P4">
        <v>12</v>
      </c>
      <c r="Q4">
        <v>11</v>
      </c>
      <c r="R4">
        <v>5</v>
      </c>
      <c r="S4">
        <v>13</v>
      </c>
      <c r="T4">
        <v>0</v>
      </c>
      <c r="U4">
        <v>4</v>
      </c>
      <c r="V4">
        <v>3</v>
      </c>
      <c r="W4">
        <v>0</v>
      </c>
      <c r="X4">
        <v>90</v>
      </c>
      <c r="Y4">
        <v>12076</v>
      </c>
    </row>
    <row r="5" spans="1:25" x14ac:dyDescent="0.3">
      <c r="A5" t="s">
        <v>31</v>
      </c>
      <c r="B5" t="s">
        <v>32</v>
      </c>
      <c r="C5">
        <v>6</v>
      </c>
      <c r="D5">
        <v>1</v>
      </c>
      <c r="E5">
        <v>1.78</v>
      </c>
      <c r="F5">
        <v>12</v>
      </c>
      <c r="G5">
        <v>12</v>
      </c>
      <c r="H5">
        <v>0</v>
      </c>
      <c r="I5">
        <v>0</v>
      </c>
      <c r="J5">
        <v>0</v>
      </c>
      <c r="K5">
        <v>0</v>
      </c>
      <c r="L5">
        <v>0</v>
      </c>
      <c r="M5">
        <v>60.2</v>
      </c>
      <c r="N5">
        <v>230</v>
      </c>
      <c r="O5">
        <v>40</v>
      </c>
      <c r="P5">
        <v>13</v>
      </c>
      <c r="Q5">
        <v>12</v>
      </c>
      <c r="R5">
        <v>4</v>
      </c>
      <c r="S5">
        <v>14</v>
      </c>
      <c r="T5">
        <v>0</v>
      </c>
      <c r="U5">
        <v>0</v>
      </c>
      <c r="V5">
        <v>2</v>
      </c>
      <c r="W5">
        <v>0</v>
      </c>
      <c r="X5">
        <v>76</v>
      </c>
      <c r="Y5">
        <v>14374</v>
      </c>
    </row>
    <row r="6" spans="1:25" x14ac:dyDescent="0.3">
      <c r="A6" t="s">
        <v>33</v>
      </c>
      <c r="B6" t="s">
        <v>34</v>
      </c>
      <c r="C6">
        <v>4</v>
      </c>
      <c r="D6">
        <v>4</v>
      </c>
      <c r="E6">
        <v>1.8</v>
      </c>
      <c r="F6">
        <v>75</v>
      </c>
      <c r="G6">
        <v>2</v>
      </c>
      <c r="H6">
        <v>0</v>
      </c>
      <c r="I6">
        <v>0</v>
      </c>
      <c r="J6">
        <v>25</v>
      </c>
      <c r="K6">
        <v>8</v>
      </c>
      <c r="L6">
        <v>7</v>
      </c>
      <c r="M6">
        <v>85</v>
      </c>
      <c r="N6">
        <v>332</v>
      </c>
      <c r="O6">
        <v>61</v>
      </c>
      <c r="P6">
        <v>18</v>
      </c>
      <c r="Q6">
        <v>17</v>
      </c>
      <c r="R6">
        <v>5</v>
      </c>
      <c r="S6">
        <v>21</v>
      </c>
      <c r="T6">
        <v>5</v>
      </c>
      <c r="U6">
        <v>2</v>
      </c>
      <c r="V6">
        <v>7</v>
      </c>
      <c r="W6">
        <v>0</v>
      </c>
      <c r="X6">
        <v>124</v>
      </c>
      <c r="Y6">
        <v>3548</v>
      </c>
    </row>
    <row r="7" spans="1:25" x14ac:dyDescent="0.3">
      <c r="A7" t="s">
        <v>35</v>
      </c>
      <c r="B7" t="s">
        <v>36</v>
      </c>
      <c r="C7">
        <v>2</v>
      </c>
      <c r="D7">
        <v>3</v>
      </c>
      <c r="E7">
        <v>1.87</v>
      </c>
      <c r="F7">
        <v>53</v>
      </c>
      <c r="G7">
        <v>0</v>
      </c>
      <c r="H7">
        <v>0</v>
      </c>
      <c r="I7">
        <v>0</v>
      </c>
      <c r="J7">
        <v>23</v>
      </c>
      <c r="K7">
        <v>0</v>
      </c>
      <c r="L7">
        <v>1</v>
      </c>
      <c r="M7">
        <v>53</v>
      </c>
      <c r="N7">
        <v>208</v>
      </c>
      <c r="O7">
        <v>36</v>
      </c>
      <c r="P7">
        <v>11</v>
      </c>
      <c r="Q7">
        <v>11</v>
      </c>
      <c r="R7">
        <v>5</v>
      </c>
      <c r="S7">
        <v>17</v>
      </c>
      <c r="T7">
        <v>1</v>
      </c>
      <c r="U7">
        <v>0</v>
      </c>
      <c r="V7">
        <v>2</v>
      </c>
      <c r="W7">
        <v>0</v>
      </c>
      <c r="X7">
        <v>83</v>
      </c>
      <c r="Y7">
        <v>12910</v>
      </c>
    </row>
    <row r="8" spans="1:25" x14ac:dyDescent="0.3">
      <c r="A8" t="s">
        <v>37</v>
      </c>
      <c r="B8" t="s">
        <v>38</v>
      </c>
      <c r="C8">
        <v>10</v>
      </c>
      <c r="D8">
        <v>1</v>
      </c>
      <c r="E8">
        <v>1.88</v>
      </c>
      <c r="F8">
        <v>73</v>
      </c>
      <c r="G8">
        <v>0</v>
      </c>
      <c r="H8">
        <v>0</v>
      </c>
      <c r="I8">
        <v>0</v>
      </c>
      <c r="J8">
        <v>16</v>
      </c>
      <c r="K8">
        <v>15</v>
      </c>
      <c r="L8">
        <v>6</v>
      </c>
      <c r="M8">
        <v>71.2</v>
      </c>
      <c r="N8">
        <v>286</v>
      </c>
      <c r="O8">
        <v>29</v>
      </c>
      <c r="P8">
        <v>18</v>
      </c>
      <c r="Q8">
        <v>15</v>
      </c>
      <c r="R8">
        <v>1</v>
      </c>
      <c r="S8">
        <v>45</v>
      </c>
      <c r="T8">
        <v>4</v>
      </c>
      <c r="U8">
        <v>2</v>
      </c>
      <c r="V8">
        <v>4</v>
      </c>
      <c r="W8">
        <v>1</v>
      </c>
      <c r="X8">
        <v>104</v>
      </c>
      <c r="Y8">
        <v>11428</v>
      </c>
    </row>
    <row r="9" spans="1:25" x14ac:dyDescent="0.3">
      <c r="A9" t="s">
        <v>39</v>
      </c>
      <c r="B9" t="s">
        <v>40</v>
      </c>
      <c r="C9">
        <v>6</v>
      </c>
      <c r="D9">
        <v>5</v>
      </c>
      <c r="E9">
        <v>1.9</v>
      </c>
      <c r="F9">
        <v>73</v>
      </c>
      <c r="G9">
        <v>0</v>
      </c>
      <c r="H9">
        <v>0</v>
      </c>
      <c r="I9">
        <v>0</v>
      </c>
      <c r="J9">
        <v>2</v>
      </c>
      <c r="K9">
        <v>28</v>
      </c>
      <c r="L9">
        <v>7</v>
      </c>
      <c r="M9">
        <v>66.099999999999994</v>
      </c>
      <c r="N9">
        <v>283</v>
      </c>
      <c r="O9">
        <v>47</v>
      </c>
      <c r="P9">
        <v>17</v>
      </c>
      <c r="Q9">
        <v>14</v>
      </c>
      <c r="R9">
        <v>5</v>
      </c>
      <c r="S9">
        <v>40</v>
      </c>
      <c r="T9">
        <v>3</v>
      </c>
      <c r="U9">
        <v>2</v>
      </c>
      <c r="V9">
        <v>3</v>
      </c>
      <c r="W9">
        <v>1</v>
      </c>
      <c r="X9">
        <v>88</v>
      </c>
      <c r="Y9">
        <v>1247</v>
      </c>
    </row>
    <row r="10" spans="1:25" x14ac:dyDescent="0.3">
      <c r="A10" t="s">
        <v>41</v>
      </c>
      <c r="B10" t="s">
        <v>40</v>
      </c>
      <c r="C10">
        <v>3</v>
      </c>
      <c r="D10">
        <v>1</v>
      </c>
      <c r="E10">
        <v>1.91</v>
      </c>
      <c r="F10">
        <v>66</v>
      </c>
      <c r="G10">
        <v>0</v>
      </c>
      <c r="H10">
        <v>0</v>
      </c>
      <c r="I10">
        <v>0</v>
      </c>
      <c r="J10">
        <v>3</v>
      </c>
      <c r="K10">
        <v>29</v>
      </c>
      <c r="L10">
        <v>4</v>
      </c>
      <c r="M10">
        <v>61.1</v>
      </c>
      <c r="N10">
        <v>245</v>
      </c>
      <c r="O10">
        <v>38</v>
      </c>
      <c r="P10">
        <v>13</v>
      </c>
      <c r="Q10">
        <v>13</v>
      </c>
      <c r="R10">
        <v>3</v>
      </c>
      <c r="S10">
        <v>32</v>
      </c>
      <c r="T10">
        <v>1</v>
      </c>
      <c r="U10">
        <v>1</v>
      </c>
      <c r="V10">
        <v>3</v>
      </c>
      <c r="W10">
        <v>0</v>
      </c>
      <c r="X10">
        <v>53</v>
      </c>
      <c r="Y10">
        <v>3240</v>
      </c>
    </row>
    <row r="11" spans="1:25" x14ac:dyDescent="0.3">
      <c r="A11" t="s">
        <v>42</v>
      </c>
      <c r="B11" t="s">
        <v>43</v>
      </c>
      <c r="C11">
        <v>0</v>
      </c>
      <c r="D11">
        <v>0</v>
      </c>
      <c r="E11">
        <v>2.13</v>
      </c>
      <c r="F11">
        <v>58</v>
      </c>
      <c r="G11">
        <v>0</v>
      </c>
      <c r="H11">
        <v>0</v>
      </c>
      <c r="I11">
        <v>0</v>
      </c>
      <c r="J11">
        <v>1</v>
      </c>
      <c r="K11">
        <v>27</v>
      </c>
      <c r="L11">
        <v>2</v>
      </c>
      <c r="M11">
        <v>67.2</v>
      </c>
      <c r="N11">
        <v>262</v>
      </c>
      <c r="O11">
        <v>43</v>
      </c>
      <c r="P11">
        <v>17</v>
      </c>
      <c r="Q11">
        <v>16</v>
      </c>
      <c r="R11">
        <v>4</v>
      </c>
      <c r="S11">
        <v>24</v>
      </c>
      <c r="T11">
        <v>2</v>
      </c>
      <c r="U11">
        <v>3</v>
      </c>
      <c r="V11">
        <v>4</v>
      </c>
      <c r="W11">
        <v>0</v>
      </c>
      <c r="X11">
        <v>60</v>
      </c>
      <c r="Y11">
        <v>16258</v>
      </c>
    </row>
    <row r="12" spans="1:25" x14ac:dyDescent="0.3">
      <c r="A12" t="s">
        <v>44</v>
      </c>
      <c r="B12" t="s">
        <v>40</v>
      </c>
      <c r="C12">
        <v>3</v>
      </c>
      <c r="D12">
        <v>2</v>
      </c>
      <c r="E12">
        <v>2.21</v>
      </c>
      <c r="F12">
        <v>60</v>
      </c>
      <c r="G12">
        <v>0</v>
      </c>
      <c r="H12">
        <v>0</v>
      </c>
      <c r="I12">
        <v>0</v>
      </c>
      <c r="J12">
        <v>37</v>
      </c>
      <c r="K12">
        <v>0</v>
      </c>
      <c r="L12">
        <v>5</v>
      </c>
      <c r="M12">
        <v>57</v>
      </c>
      <c r="N12">
        <v>235</v>
      </c>
      <c r="O12">
        <v>38</v>
      </c>
      <c r="P12">
        <v>18</v>
      </c>
      <c r="Q12">
        <v>14</v>
      </c>
      <c r="R12">
        <v>3</v>
      </c>
      <c r="S12">
        <v>25</v>
      </c>
      <c r="T12">
        <v>0</v>
      </c>
      <c r="U12">
        <v>1</v>
      </c>
      <c r="V12">
        <v>6</v>
      </c>
      <c r="W12">
        <v>0</v>
      </c>
      <c r="X12">
        <v>85</v>
      </c>
      <c r="Y12">
        <v>10233</v>
      </c>
    </row>
    <row r="13" spans="1:25" x14ac:dyDescent="0.3">
      <c r="A13" t="s">
        <v>45</v>
      </c>
      <c r="B13" t="s">
        <v>46</v>
      </c>
      <c r="C13">
        <v>6</v>
      </c>
      <c r="D13">
        <v>1</v>
      </c>
      <c r="E13">
        <v>2.25</v>
      </c>
      <c r="F13">
        <v>49</v>
      </c>
      <c r="G13">
        <v>0</v>
      </c>
      <c r="H13">
        <v>0</v>
      </c>
      <c r="I13">
        <v>0</v>
      </c>
      <c r="J13">
        <v>5</v>
      </c>
      <c r="K13">
        <v>8</v>
      </c>
      <c r="L13">
        <v>3</v>
      </c>
      <c r="M13">
        <v>56</v>
      </c>
      <c r="N13">
        <v>223</v>
      </c>
      <c r="O13">
        <v>39</v>
      </c>
      <c r="P13">
        <v>18</v>
      </c>
      <c r="Q13">
        <v>14</v>
      </c>
      <c r="R13">
        <v>5</v>
      </c>
      <c r="S13">
        <v>23</v>
      </c>
      <c r="T13">
        <v>2</v>
      </c>
      <c r="U13">
        <v>0</v>
      </c>
      <c r="V13">
        <v>3</v>
      </c>
      <c r="W13">
        <v>0</v>
      </c>
      <c r="X13">
        <v>58</v>
      </c>
      <c r="Y13">
        <v>13911</v>
      </c>
    </row>
    <row r="14" spans="1:25" x14ac:dyDescent="0.3">
      <c r="A14" t="s">
        <v>47</v>
      </c>
      <c r="B14" t="s">
        <v>48</v>
      </c>
      <c r="C14">
        <v>0</v>
      </c>
      <c r="D14">
        <v>3</v>
      </c>
      <c r="E14">
        <v>2.2999999999999998</v>
      </c>
      <c r="F14">
        <v>65</v>
      </c>
      <c r="G14">
        <v>0</v>
      </c>
      <c r="H14">
        <v>0</v>
      </c>
      <c r="I14">
        <v>0</v>
      </c>
      <c r="J14">
        <v>23</v>
      </c>
      <c r="K14">
        <v>10</v>
      </c>
      <c r="L14">
        <v>5</v>
      </c>
      <c r="M14">
        <v>62.2</v>
      </c>
      <c r="N14">
        <v>252</v>
      </c>
      <c r="O14">
        <v>46</v>
      </c>
      <c r="P14">
        <v>22</v>
      </c>
      <c r="Q14">
        <v>16</v>
      </c>
      <c r="R14">
        <v>8</v>
      </c>
      <c r="S14">
        <v>17</v>
      </c>
      <c r="T14">
        <v>1</v>
      </c>
      <c r="U14">
        <v>3</v>
      </c>
      <c r="V14">
        <v>0</v>
      </c>
      <c r="W14">
        <v>0</v>
      </c>
      <c r="X14">
        <v>64</v>
      </c>
      <c r="Y14">
        <v>10756</v>
      </c>
    </row>
    <row r="15" spans="1:25" x14ac:dyDescent="0.3">
      <c r="A15" t="s">
        <v>49</v>
      </c>
      <c r="B15" t="s">
        <v>50</v>
      </c>
      <c r="C15">
        <v>3</v>
      </c>
      <c r="D15">
        <v>2</v>
      </c>
      <c r="E15">
        <v>2.31</v>
      </c>
      <c r="F15">
        <v>66</v>
      </c>
      <c r="G15">
        <v>0</v>
      </c>
      <c r="H15">
        <v>0</v>
      </c>
      <c r="I15">
        <v>0</v>
      </c>
      <c r="J15">
        <v>1</v>
      </c>
      <c r="K15">
        <v>19</v>
      </c>
      <c r="L15">
        <v>3</v>
      </c>
      <c r="M15">
        <v>74</v>
      </c>
      <c r="N15">
        <v>279</v>
      </c>
      <c r="O15">
        <v>44</v>
      </c>
      <c r="P15">
        <v>19</v>
      </c>
      <c r="Q15">
        <v>19</v>
      </c>
      <c r="R15">
        <v>9</v>
      </c>
      <c r="S15">
        <v>16</v>
      </c>
      <c r="T15">
        <v>2</v>
      </c>
      <c r="U15">
        <v>3</v>
      </c>
      <c r="V15">
        <v>3</v>
      </c>
      <c r="W15">
        <v>1</v>
      </c>
      <c r="X15">
        <v>93</v>
      </c>
      <c r="Y15">
        <v>14986</v>
      </c>
    </row>
    <row r="16" spans="1:25" x14ac:dyDescent="0.3">
      <c r="A16" t="s">
        <v>51</v>
      </c>
      <c r="B16" t="s">
        <v>32</v>
      </c>
      <c r="C16">
        <v>4</v>
      </c>
      <c r="D16">
        <v>2</v>
      </c>
      <c r="E16">
        <v>2.31</v>
      </c>
      <c r="F16">
        <v>66</v>
      </c>
      <c r="G16">
        <v>0</v>
      </c>
      <c r="H16">
        <v>0</v>
      </c>
      <c r="I16">
        <v>0</v>
      </c>
      <c r="J16">
        <v>20</v>
      </c>
      <c r="K16">
        <v>7</v>
      </c>
      <c r="L16">
        <v>8</v>
      </c>
      <c r="M16">
        <v>70</v>
      </c>
      <c r="N16">
        <v>267</v>
      </c>
      <c r="O16">
        <v>45</v>
      </c>
      <c r="P16">
        <v>19</v>
      </c>
      <c r="Q16">
        <v>18</v>
      </c>
      <c r="R16">
        <v>12</v>
      </c>
      <c r="S16">
        <v>13</v>
      </c>
      <c r="T16">
        <v>1</v>
      </c>
      <c r="U16">
        <v>1</v>
      </c>
      <c r="V16">
        <v>3</v>
      </c>
      <c r="W16">
        <v>0</v>
      </c>
      <c r="X16">
        <v>96</v>
      </c>
      <c r="Y16">
        <v>14771</v>
      </c>
    </row>
    <row r="17" spans="1:25" x14ac:dyDescent="0.3">
      <c r="A17" t="s">
        <v>52</v>
      </c>
      <c r="B17" t="s">
        <v>53</v>
      </c>
      <c r="C17">
        <v>14</v>
      </c>
      <c r="D17">
        <v>5</v>
      </c>
      <c r="E17">
        <v>2.3199999999999998</v>
      </c>
      <c r="F17">
        <v>29</v>
      </c>
      <c r="G17">
        <v>29</v>
      </c>
      <c r="H17">
        <v>1</v>
      </c>
      <c r="I17">
        <v>1</v>
      </c>
      <c r="J17">
        <v>0</v>
      </c>
      <c r="K17">
        <v>0</v>
      </c>
      <c r="L17">
        <v>0</v>
      </c>
      <c r="M17">
        <v>182.2</v>
      </c>
      <c r="N17">
        <v>723</v>
      </c>
      <c r="O17">
        <v>160</v>
      </c>
      <c r="P17">
        <v>53</v>
      </c>
      <c r="Q17">
        <v>47</v>
      </c>
      <c r="R17">
        <v>17</v>
      </c>
      <c r="S17">
        <v>24</v>
      </c>
      <c r="T17">
        <v>2</v>
      </c>
      <c r="U17">
        <v>4</v>
      </c>
      <c r="V17">
        <v>0</v>
      </c>
      <c r="W17">
        <v>0</v>
      </c>
      <c r="X17">
        <v>163</v>
      </c>
      <c r="Y17">
        <v>14444</v>
      </c>
    </row>
    <row r="18" spans="1:25" x14ac:dyDescent="0.3">
      <c r="A18" t="s">
        <v>54</v>
      </c>
      <c r="B18" t="s">
        <v>28</v>
      </c>
      <c r="C18">
        <v>2</v>
      </c>
      <c r="D18">
        <v>3</v>
      </c>
      <c r="E18">
        <v>2.3199999999999998</v>
      </c>
      <c r="F18">
        <v>55</v>
      </c>
      <c r="G18">
        <v>0</v>
      </c>
      <c r="H18">
        <v>0</v>
      </c>
      <c r="I18">
        <v>0</v>
      </c>
      <c r="J18">
        <v>3</v>
      </c>
      <c r="K18">
        <v>31</v>
      </c>
      <c r="L18">
        <v>5</v>
      </c>
      <c r="M18">
        <v>54.1</v>
      </c>
      <c r="N18">
        <v>211</v>
      </c>
      <c r="O18">
        <v>37</v>
      </c>
      <c r="P18">
        <v>15</v>
      </c>
      <c r="Q18">
        <v>14</v>
      </c>
      <c r="R18">
        <v>6</v>
      </c>
      <c r="S18">
        <v>12</v>
      </c>
      <c r="T18">
        <v>0</v>
      </c>
      <c r="U18">
        <v>0</v>
      </c>
      <c r="V18">
        <v>4</v>
      </c>
      <c r="W18">
        <v>0</v>
      </c>
      <c r="X18">
        <v>72</v>
      </c>
      <c r="Y18">
        <v>7005</v>
      </c>
    </row>
    <row r="19" spans="1:25" x14ac:dyDescent="0.3">
      <c r="A19" t="s">
        <v>55</v>
      </c>
      <c r="B19" t="s">
        <v>56</v>
      </c>
      <c r="C19">
        <v>3</v>
      </c>
      <c r="D19">
        <v>4</v>
      </c>
      <c r="E19">
        <v>2.34</v>
      </c>
      <c r="F19">
        <v>10</v>
      </c>
      <c r="G19">
        <v>10</v>
      </c>
      <c r="H19">
        <v>0</v>
      </c>
      <c r="I19">
        <v>0</v>
      </c>
      <c r="J19">
        <v>0</v>
      </c>
      <c r="K19">
        <v>0</v>
      </c>
      <c r="L19">
        <v>0</v>
      </c>
      <c r="M19">
        <v>57.2</v>
      </c>
      <c r="N19">
        <v>227</v>
      </c>
      <c r="O19">
        <v>44</v>
      </c>
      <c r="P19">
        <v>18</v>
      </c>
      <c r="Q19">
        <v>15</v>
      </c>
      <c r="R19">
        <v>4</v>
      </c>
      <c r="S19">
        <v>16</v>
      </c>
      <c r="T19">
        <v>0</v>
      </c>
      <c r="U19">
        <v>1</v>
      </c>
      <c r="V19">
        <v>2</v>
      </c>
      <c r="W19">
        <v>0</v>
      </c>
      <c r="X19">
        <v>46</v>
      </c>
      <c r="Y19">
        <v>19479</v>
      </c>
    </row>
    <row r="20" spans="1:25" x14ac:dyDescent="0.3">
      <c r="A20" t="s">
        <v>57</v>
      </c>
      <c r="B20" t="s">
        <v>58</v>
      </c>
      <c r="C20">
        <v>11</v>
      </c>
      <c r="D20">
        <v>8</v>
      </c>
      <c r="E20">
        <v>2.4300000000000002</v>
      </c>
      <c r="F20">
        <v>32</v>
      </c>
      <c r="G20">
        <v>32</v>
      </c>
      <c r="H20">
        <v>0</v>
      </c>
      <c r="I20">
        <v>0</v>
      </c>
      <c r="J20">
        <v>0</v>
      </c>
      <c r="K20">
        <v>0</v>
      </c>
      <c r="L20">
        <v>0</v>
      </c>
      <c r="M20">
        <v>204</v>
      </c>
      <c r="N20">
        <v>804</v>
      </c>
      <c r="O20">
        <v>154</v>
      </c>
      <c r="P20">
        <v>59</v>
      </c>
      <c r="Q20">
        <v>55</v>
      </c>
      <c r="R20">
        <v>19</v>
      </c>
      <c r="S20">
        <v>44</v>
      </c>
      <c r="T20">
        <v>1</v>
      </c>
      <c r="U20">
        <v>7</v>
      </c>
      <c r="V20">
        <v>2</v>
      </c>
      <c r="W20">
        <v>0</v>
      </c>
      <c r="X20">
        <v>255</v>
      </c>
      <c r="Y20">
        <v>10954</v>
      </c>
    </row>
    <row r="21" spans="1:25" x14ac:dyDescent="0.3">
      <c r="A21" t="s">
        <v>59</v>
      </c>
      <c r="B21" t="s">
        <v>53</v>
      </c>
      <c r="C21">
        <v>4</v>
      </c>
      <c r="D21">
        <v>1</v>
      </c>
      <c r="E21">
        <v>2.4500000000000002</v>
      </c>
      <c r="F21">
        <v>13</v>
      </c>
      <c r="G21">
        <v>13</v>
      </c>
      <c r="H21">
        <v>0</v>
      </c>
      <c r="I21">
        <v>0</v>
      </c>
      <c r="J21">
        <v>0</v>
      </c>
      <c r="K21">
        <v>0</v>
      </c>
      <c r="L21">
        <v>0</v>
      </c>
      <c r="M21">
        <v>58.2</v>
      </c>
      <c r="N21">
        <v>242</v>
      </c>
      <c r="O21">
        <v>48</v>
      </c>
      <c r="P21">
        <v>20</v>
      </c>
      <c r="Q21">
        <v>16</v>
      </c>
      <c r="R21">
        <v>10</v>
      </c>
      <c r="S21">
        <v>18</v>
      </c>
      <c r="T21">
        <v>2</v>
      </c>
      <c r="U21">
        <v>4</v>
      </c>
      <c r="V21">
        <v>0</v>
      </c>
      <c r="W21">
        <v>0</v>
      </c>
      <c r="X21">
        <v>72</v>
      </c>
      <c r="Y21">
        <v>4806</v>
      </c>
    </row>
    <row r="22" spans="1:25" x14ac:dyDescent="0.3">
      <c r="A22" t="s">
        <v>60</v>
      </c>
      <c r="B22" t="s">
        <v>48</v>
      </c>
      <c r="C22">
        <v>9</v>
      </c>
      <c r="D22">
        <v>3</v>
      </c>
      <c r="E22">
        <v>2.4700000000000002</v>
      </c>
      <c r="F22">
        <v>69</v>
      </c>
      <c r="G22">
        <v>1</v>
      </c>
      <c r="H22">
        <v>0</v>
      </c>
      <c r="I22">
        <v>0</v>
      </c>
      <c r="J22">
        <v>8</v>
      </c>
      <c r="K22">
        <v>11</v>
      </c>
      <c r="L22">
        <v>4</v>
      </c>
      <c r="M22">
        <v>73</v>
      </c>
      <c r="N22">
        <v>304</v>
      </c>
      <c r="O22">
        <v>56</v>
      </c>
      <c r="P22">
        <v>25</v>
      </c>
      <c r="Q22">
        <v>20</v>
      </c>
      <c r="R22">
        <v>8</v>
      </c>
      <c r="S22">
        <v>27</v>
      </c>
      <c r="T22">
        <v>2</v>
      </c>
      <c r="U22">
        <v>4</v>
      </c>
      <c r="V22">
        <v>2</v>
      </c>
      <c r="W22">
        <v>0</v>
      </c>
      <c r="X22">
        <v>71</v>
      </c>
      <c r="Y22">
        <v>7146</v>
      </c>
    </row>
    <row r="23" spans="1:25" x14ac:dyDescent="0.3">
      <c r="A23" t="s">
        <v>61</v>
      </c>
      <c r="B23" t="s">
        <v>62</v>
      </c>
      <c r="C23">
        <v>5</v>
      </c>
      <c r="D23">
        <v>1</v>
      </c>
      <c r="E23">
        <v>2.48</v>
      </c>
      <c r="F23">
        <v>71</v>
      </c>
      <c r="G23">
        <v>1</v>
      </c>
      <c r="H23">
        <v>0</v>
      </c>
      <c r="I23">
        <v>0</v>
      </c>
      <c r="J23">
        <v>23</v>
      </c>
      <c r="K23">
        <v>2</v>
      </c>
      <c r="L23">
        <v>4</v>
      </c>
      <c r="M23">
        <v>72.2</v>
      </c>
      <c r="N23">
        <v>283</v>
      </c>
      <c r="O23">
        <v>58</v>
      </c>
      <c r="P23">
        <v>20</v>
      </c>
      <c r="Q23">
        <v>20</v>
      </c>
      <c r="R23">
        <v>6</v>
      </c>
      <c r="S23">
        <v>16</v>
      </c>
      <c r="T23">
        <v>1</v>
      </c>
      <c r="U23">
        <v>0</v>
      </c>
      <c r="V23">
        <v>4</v>
      </c>
      <c r="W23">
        <v>1</v>
      </c>
      <c r="X23">
        <v>75</v>
      </c>
      <c r="Y23">
        <v>11801</v>
      </c>
    </row>
    <row r="24" spans="1:25" x14ac:dyDescent="0.3">
      <c r="A24" t="s">
        <v>63</v>
      </c>
      <c r="B24" t="s">
        <v>53</v>
      </c>
      <c r="C24">
        <v>4</v>
      </c>
      <c r="D24">
        <v>3</v>
      </c>
      <c r="E24">
        <v>2.4900000000000002</v>
      </c>
      <c r="F24">
        <v>37</v>
      </c>
      <c r="G24">
        <v>8</v>
      </c>
      <c r="H24">
        <v>0</v>
      </c>
      <c r="I24">
        <v>0</v>
      </c>
      <c r="J24">
        <v>4</v>
      </c>
      <c r="K24">
        <v>5</v>
      </c>
      <c r="L24">
        <v>1</v>
      </c>
      <c r="M24">
        <v>79.2</v>
      </c>
      <c r="N24">
        <v>326</v>
      </c>
      <c r="O24">
        <v>59</v>
      </c>
      <c r="P24">
        <v>28</v>
      </c>
      <c r="Q24">
        <v>22</v>
      </c>
      <c r="R24">
        <v>7</v>
      </c>
      <c r="S24">
        <v>27</v>
      </c>
      <c r="T24">
        <v>1</v>
      </c>
      <c r="U24">
        <v>5</v>
      </c>
      <c r="V24">
        <v>2</v>
      </c>
      <c r="W24">
        <v>1</v>
      </c>
      <c r="X24">
        <v>85</v>
      </c>
      <c r="Y24">
        <v>14765</v>
      </c>
    </row>
    <row r="25" spans="1:25" x14ac:dyDescent="0.3">
      <c r="A25" t="s">
        <v>64</v>
      </c>
      <c r="B25" t="s">
        <v>43</v>
      </c>
      <c r="C25">
        <v>4</v>
      </c>
      <c r="D25">
        <v>2</v>
      </c>
      <c r="E25">
        <v>2.4900000000000002</v>
      </c>
      <c r="F25">
        <v>55</v>
      </c>
      <c r="G25">
        <v>0</v>
      </c>
      <c r="H25">
        <v>0</v>
      </c>
      <c r="I25">
        <v>0</v>
      </c>
      <c r="J25">
        <v>0</v>
      </c>
      <c r="K25">
        <v>19</v>
      </c>
      <c r="L25">
        <v>4</v>
      </c>
      <c r="M25">
        <v>50.2</v>
      </c>
      <c r="N25">
        <v>209</v>
      </c>
      <c r="O25">
        <v>42</v>
      </c>
      <c r="P25">
        <v>16</v>
      </c>
      <c r="Q25">
        <v>14</v>
      </c>
      <c r="R25">
        <v>5</v>
      </c>
      <c r="S25">
        <v>24</v>
      </c>
      <c r="T25">
        <v>2</v>
      </c>
      <c r="U25">
        <v>0</v>
      </c>
      <c r="V25">
        <v>1</v>
      </c>
      <c r="W25">
        <v>0</v>
      </c>
      <c r="X25">
        <v>41</v>
      </c>
      <c r="Y25">
        <v>12297</v>
      </c>
    </row>
    <row r="26" spans="1:25" x14ac:dyDescent="0.3">
      <c r="A26" t="s">
        <v>65</v>
      </c>
      <c r="B26" t="s">
        <v>66</v>
      </c>
      <c r="C26">
        <v>5</v>
      </c>
      <c r="D26">
        <v>1</v>
      </c>
      <c r="E26">
        <v>2.5</v>
      </c>
      <c r="F26">
        <v>58</v>
      </c>
      <c r="G26">
        <v>0</v>
      </c>
      <c r="H26">
        <v>0</v>
      </c>
      <c r="I26">
        <v>0</v>
      </c>
      <c r="J26">
        <v>0</v>
      </c>
      <c r="K26">
        <v>15</v>
      </c>
      <c r="L26">
        <v>2</v>
      </c>
      <c r="M26">
        <v>57.2</v>
      </c>
      <c r="N26">
        <v>238</v>
      </c>
      <c r="O26">
        <v>44</v>
      </c>
      <c r="P26">
        <v>23</v>
      </c>
      <c r="Q26">
        <v>16</v>
      </c>
      <c r="R26">
        <v>8</v>
      </c>
      <c r="S26">
        <v>14</v>
      </c>
      <c r="T26">
        <v>1</v>
      </c>
      <c r="U26">
        <v>3</v>
      </c>
      <c r="V26">
        <v>3</v>
      </c>
      <c r="W26">
        <v>1</v>
      </c>
      <c r="X26">
        <v>82</v>
      </c>
      <c r="Y26">
        <v>13758</v>
      </c>
    </row>
    <row r="27" spans="1:25" x14ac:dyDescent="0.3">
      <c r="A27" t="s">
        <v>67</v>
      </c>
      <c r="B27" t="s">
        <v>28</v>
      </c>
      <c r="C27">
        <v>20</v>
      </c>
      <c r="D27">
        <v>5</v>
      </c>
      <c r="E27">
        <v>2.5</v>
      </c>
      <c r="F27">
        <v>33</v>
      </c>
      <c r="G27">
        <v>33</v>
      </c>
      <c r="H27">
        <v>0</v>
      </c>
      <c r="I27">
        <v>0</v>
      </c>
      <c r="J27">
        <v>0</v>
      </c>
      <c r="K27">
        <v>0</v>
      </c>
      <c r="L27">
        <v>0</v>
      </c>
      <c r="M27">
        <v>212.1</v>
      </c>
      <c r="N27">
        <v>817</v>
      </c>
      <c r="O27">
        <v>142</v>
      </c>
      <c r="P27">
        <v>66</v>
      </c>
      <c r="Q27">
        <v>59</v>
      </c>
      <c r="R27">
        <v>29</v>
      </c>
      <c r="S27">
        <v>48</v>
      </c>
      <c r="T27">
        <v>0</v>
      </c>
      <c r="U27">
        <v>3</v>
      </c>
      <c r="V27">
        <v>4</v>
      </c>
      <c r="W27">
        <v>3</v>
      </c>
      <c r="X27">
        <v>326</v>
      </c>
      <c r="Y27">
        <v>13125</v>
      </c>
    </row>
    <row r="28" spans="1:25" x14ac:dyDescent="0.3">
      <c r="A28" t="s">
        <v>68</v>
      </c>
      <c r="B28" t="s">
        <v>28</v>
      </c>
      <c r="C28">
        <v>21</v>
      </c>
      <c r="D28">
        <v>6</v>
      </c>
      <c r="E28">
        <v>2.58</v>
      </c>
      <c r="F28">
        <v>34</v>
      </c>
      <c r="G28">
        <v>34</v>
      </c>
      <c r="H28">
        <v>2</v>
      </c>
      <c r="I28">
        <v>1</v>
      </c>
      <c r="J28">
        <v>0</v>
      </c>
      <c r="K28">
        <v>0</v>
      </c>
      <c r="L28">
        <v>0</v>
      </c>
      <c r="M28">
        <v>223</v>
      </c>
      <c r="N28">
        <v>847</v>
      </c>
      <c r="O28">
        <v>137</v>
      </c>
      <c r="P28">
        <v>66</v>
      </c>
      <c r="Q28">
        <v>64</v>
      </c>
      <c r="R28">
        <v>36</v>
      </c>
      <c r="S28">
        <v>42</v>
      </c>
      <c r="T28">
        <v>0</v>
      </c>
      <c r="U28">
        <v>6</v>
      </c>
      <c r="V28">
        <v>4</v>
      </c>
      <c r="W28">
        <v>0</v>
      </c>
      <c r="X28">
        <v>300</v>
      </c>
      <c r="Y28">
        <v>8700</v>
      </c>
    </row>
    <row r="29" spans="1:25" x14ac:dyDescent="0.3">
      <c r="A29" t="s">
        <v>69</v>
      </c>
      <c r="B29" t="s">
        <v>66</v>
      </c>
      <c r="C29">
        <v>2</v>
      </c>
      <c r="D29">
        <v>4</v>
      </c>
      <c r="E29">
        <v>2.61</v>
      </c>
      <c r="F29">
        <v>60</v>
      </c>
      <c r="G29">
        <v>0</v>
      </c>
      <c r="H29">
        <v>0</v>
      </c>
      <c r="I29">
        <v>0</v>
      </c>
      <c r="J29">
        <v>30</v>
      </c>
      <c r="K29">
        <v>10</v>
      </c>
      <c r="L29">
        <v>6</v>
      </c>
      <c r="M29">
        <v>69</v>
      </c>
      <c r="N29">
        <v>278</v>
      </c>
      <c r="O29">
        <v>58</v>
      </c>
      <c r="P29">
        <v>20</v>
      </c>
      <c r="Q29">
        <v>20</v>
      </c>
      <c r="R29">
        <v>8</v>
      </c>
      <c r="S29">
        <v>11</v>
      </c>
      <c r="T29">
        <v>2</v>
      </c>
      <c r="U29">
        <v>6</v>
      </c>
      <c r="V29">
        <v>2</v>
      </c>
      <c r="W29">
        <v>0</v>
      </c>
      <c r="X29">
        <v>90</v>
      </c>
      <c r="Y29">
        <v>13449</v>
      </c>
    </row>
    <row r="30" spans="1:25" x14ac:dyDescent="0.3">
      <c r="A30" t="s">
        <v>70</v>
      </c>
      <c r="B30" t="s">
        <v>71</v>
      </c>
      <c r="C30">
        <v>3</v>
      </c>
      <c r="D30">
        <v>5</v>
      </c>
      <c r="E30">
        <v>2.62</v>
      </c>
      <c r="F30">
        <v>61</v>
      </c>
      <c r="G30">
        <v>0</v>
      </c>
      <c r="H30">
        <v>0</v>
      </c>
      <c r="I30">
        <v>0</v>
      </c>
      <c r="J30">
        <v>37</v>
      </c>
      <c r="K30">
        <v>6</v>
      </c>
      <c r="L30">
        <v>7</v>
      </c>
      <c r="M30">
        <v>75.2</v>
      </c>
      <c r="N30">
        <v>289</v>
      </c>
      <c r="O30">
        <v>41</v>
      </c>
      <c r="P30">
        <v>24</v>
      </c>
      <c r="Q30">
        <v>22</v>
      </c>
      <c r="R30">
        <v>15</v>
      </c>
      <c r="S30">
        <v>20</v>
      </c>
      <c r="T30">
        <v>2</v>
      </c>
      <c r="U30">
        <v>4</v>
      </c>
      <c r="V30">
        <v>0</v>
      </c>
      <c r="W30">
        <v>0</v>
      </c>
      <c r="X30">
        <v>138</v>
      </c>
      <c r="Y30">
        <v>14212</v>
      </c>
    </row>
    <row r="31" spans="1:25" x14ac:dyDescent="0.3">
      <c r="A31" t="s">
        <v>72</v>
      </c>
      <c r="B31" t="s">
        <v>34</v>
      </c>
      <c r="C31">
        <v>9</v>
      </c>
      <c r="D31">
        <v>2</v>
      </c>
      <c r="E31">
        <v>2.63</v>
      </c>
      <c r="F31">
        <v>16</v>
      </c>
      <c r="G31">
        <v>16</v>
      </c>
      <c r="H31">
        <v>0</v>
      </c>
      <c r="I31">
        <v>0</v>
      </c>
      <c r="J31">
        <v>0</v>
      </c>
      <c r="K31">
        <v>0</v>
      </c>
      <c r="L31">
        <v>0</v>
      </c>
      <c r="M31">
        <v>96</v>
      </c>
      <c r="N31">
        <v>394</v>
      </c>
      <c r="O31">
        <v>84</v>
      </c>
      <c r="P31">
        <v>35</v>
      </c>
      <c r="Q31">
        <v>28</v>
      </c>
      <c r="R31">
        <v>8</v>
      </c>
      <c r="S31">
        <v>23</v>
      </c>
      <c r="T31">
        <v>1</v>
      </c>
      <c r="U31">
        <v>4</v>
      </c>
      <c r="V31">
        <v>5</v>
      </c>
      <c r="W31">
        <v>0</v>
      </c>
      <c r="X31">
        <v>103</v>
      </c>
      <c r="Y31">
        <v>14309</v>
      </c>
    </row>
    <row r="32" spans="1:25" x14ac:dyDescent="0.3">
      <c r="A32" t="s">
        <v>73</v>
      </c>
      <c r="B32" t="s">
        <v>28</v>
      </c>
      <c r="C32">
        <v>4</v>
      </c>
      <c r="D32">
        <v>3</v>
      </c>
      <c r="E32">
        <v>2.63</v>
      </c>
      <c r="F32">
        <v>66</v>
      </c>
      <c r="G32">
        <v>0</v>
      </c>
      <c r="H32">
        <v>0</v>
      </c>
      <c r="I32">
        <v>0</v>
      </c>
      <c r="J32">
        <v>38</v>
      </c>
      <c r="K32">
        <v>0</v>
      </c>
      <c r="L32">
        <v>6</v>
      </c>
      <c r="M32">
        <v>65</v>
      </c>
      <c r="N32">
        <v>253</v>
      </c>
      <c r="O32">
        <v>45</v>
      </c>
      <c r="P32">
        <v>20</v>
      </c>
      <c r="Q32">
        <v>19</v>
      </c>
      <c r="R32">
        <v>8</v>
      </c>
      <c r="S32">
        <v>12</v>
      </c>
      <c r="T32">
        <v>0</v>
      </c>
      <c r="U32">
        <v>2</v>
      </c>
      <c r="V32">
        <v>1</v>
      </c>
      <c r="W32">
        <v>0</v>
      </c>
      <c r="X32">
        <v>73</v>
      </c>
      <c r="Y32">
        <v>13764</v>
      </c>
    </row>
    <row r="33" spans="1:25" x14ac:dyDescent="0.3">
      <c r="A33" t="s">
        <v>74</v>
      </c>
      <c r="B33" t="s">
        <v>75</v>
      </c>
      <c r="C33">
        <v>13</v>
      </c>
      <c r="D33">
        <v>4</v>
      </c>
      <c r="E33">
        <v>2.68</v>
      </c>
      <c r="F33">
        <v>29</v>
      </c>
      <c r="G33">
        <v>29</v>
      </c>
      <c r="H33">
        <v>0</v>
      </c>
      <c r="I33">
        <v>0</v>
      </c>
      <c r="J33">
        <v>0</v>
      </c>
      <c r="K33">
        <v>0</v>
      </c>
      <c r="L33">
        <v>0</v>
      </c>
      <c r="M33">
        <v>174.2</v>
      </c>
      <c r="N33">
        <v>701</v>
      </c>
      <c r="O33">
        <v>153</v>
      </c>
      <c r="P33">
        <v>56</v>
      </c>
      <c r="Q33">
        <v>52</v>
      </c>
      <c r="R33">
        <v>14</v>
      </c>
      <c r="S33">
        <v>41</v>
      </c>
      <c r="T33">
        <v>1</v>
      </c>
      <c r="U33">
        <v>7</v>
      </c>
      <c r="V33">
        <v>3</v>
      </c>
      <c r="W33">
        <v>0</v>
      </c>
      <c r="X33">
        <v>142</v>
      </c>
      <c r="Y33">
        <v>18383</v>
      </c>
    </row>
    <row r="34" spans="1:25" x14ac:dyDescent="0.3">
      <c r="A34" t="s">
        <v>76</v>
      </c>
      <c r="B34" t="s">
        <v>77</v>
      </c>
      <c r="C34">
        <v>3</v>
      </c>
      <c r="D34">
        <v>3</v>
      </c>
      <c r="E34">
        <v>2.68</v>
      </c>
      <c r="F34">
        <v>62</v>
      </c>
      <c r="G34">
        <v>0</v>
      </c>
      <c r="H34">
        <v>0</v>
      </c>
      <c r="I34">
        <v>0</v>
      </c>
      <c r="J34">
        <v>1</v>
      </c>
      <c r="K34">
        <v>17</v>
      </c>
      <c r="L34">
        <v>2</v>
      </c>
      <c r="M34">
        <v>57</v>
      </c>
      <c r="N34">
        <v>227</v>
      </c>
      <c r="O34">
        <v>45</v>
      </c>
      <c r="P34">
        <v>18</v>
      </c>
      <c r="Q34">
        <v>17</v>
      </c>
      <c r="R34">
        <v>5</v>
      </c>
      <c r="S34">
        <v>13</v>
      </c>
      <c r="T34">
        <v>3</v>
      </c>
      <c r="U34">
        <v>4</v>
      </c>
      <c r="V34">
        <v>0</v>
      </c>
      <c r="W34">
        <v>0</v>
      </c>
      <c r="X34">
        <v>48</v>
      </c>
      <c r="Y34">
        <v>9939</v>
      </c>
    </row>
    <row r="35" spans="1:25" x14ac:dyDescent="0.3">
      <c r="A35" t="s">
        <v>78</v>
      </c>
      <c r="B35" t="s">
        <v>58</v>
      </c>
      <c r="C35">
        <v>7</v>
      </c>
      <c r="D35">
        <v>4</v>
      </c>
      <c r="E35">
        <v>2.7</v>
      </c>
      <c r="F35">
        <v>61</v>
      </c>
      <c r="G35">
        <v>0</v>
      </c>
      <c r="H35">
        <v>0</v>
      </c>
      <c r="I35">
        <v>0</v>
      </c>
      <c r="J35">
        <v>6</v>
      </c>
      <c r="K35">
        <v>21</v>
      </c>
      <c r="L35">
        <v>5</v>
      </c>
      <c r="M35">
        <v>80</v>
      </c>
      <c r="N35">
        <v>314</v>
      </c>
      <c r="O35">
        <v>56</v>
      </c>
      <c r="P35">
        <v>28</v>
      </c>
      <c r="Q35">
        <v>24</v>
      </c>
      <c r="R35">
        <v>8</v>
      </c>
      <c r="S35">
        <v>16</v>
      </c>
      <c r="T35">
        <v>4</v>
      </c>
      <c r="U35">
        <v>5</v>
      </c>
      <c r="V35">
        <v>2</v>
      </c>
      <c r="W35">
        <v>0</v>
      </c>
      <c r="X35">
        <v>104</v>
      </c>
      <c r="Y35">
        <v>12447</v>
      </c>
    </row>
    <row r="36" spans="1:25" x14ac:dyDescent="0.3">
      <c r="A36" t="s">
        <v>79</v>
      </c>
      <c r="B36" t="s">
        <v>34</v>
      </c>
      <c r="C36">
        <v>5</v>
      </c>
      <c r="D36">
        <v>3</v>
      </c>
      <c r="E36">
        <v>2.71</v>
      </c>
      <c r="F36">
        <v>80</v>
      </c>
      <c r="G36">
        <v>0</v>
      </c>
      <c r="H36">
        <v>0</v>
      </c>
      <c r="I36">
        <v>0</v>
      </c>
      <c r="J36">
        <v>0</v>
      </c>
      <c r="K36">
        <v>29</v>
      </c>
      <c r="L36">
        <v>1</v>
      </c>
      <c r="M36">
        <v>83</v>
      </c>
      <c r="N36">
        <v>308</v>
      </c>
      <c r="O36">
        <v>57</v>
      </c>
      <c r="P36">
        <v>25</v>
      </c>
      <c r="Q36">
        <v>25</v>
      </c>
      <c r="R36">
        <v>11</v>
      </c>
      <c r="S36">
        <v>10</v>
      </c>
      <c r="T36">
        <v>0</v>
      </c>
      <c r="U36">
        <v>0</v>
      </c>
      <c r="V36">
        <v>2</v>
      </c>
      <c r="W36">
        <v>0</v>
      </c>
      <c r="X36">
        <v>71</v>
      </c>
      <c r="Y36">
        <v>4020</v>
      </c>
    </row>
    <row r="37" spans="1:25" x14ac:dyDescent="0.3">
      <c r="A37" t="s">
        <v>80</v>
      </c>
      <c r="B37" t="s">
        <v>56</v>
      </c>
      <c r="C37">
        <v>13</v>
      </c>
      <c r="D37">
        <v>4</v>
      </c>
      <c r="E37">
        <v>2.71</v>
      </c>
      <c r="F37">
        <v>21</v>
      </c>
      <c r="G37">
        <v>21</v>
      </c>
      <c r="H37">
        <v>0</v>
      </c>
      <c r="I37">
        <v>0</v>
      </c>
      <c r="J37">
        <v>0</v>
      </c>
      <c r="K37">
        <v>0</v>
      </c>
      <c r="L37">
        <v>0</v>
      </c>
      <c r="M37">
        <v>126</v>
      </c>
      <c r="N37">
        <v>499</v>
      </c>
      <c r="O37">
        <v>96</v>
      </c>
      <c r="P37">
        <v>38</v>
      </c>
      <c r="Q37">
        <v>38</v>
      </c>
      <c r="R37">
        <v>10</v>
      </c>
      <c r="S37">
        <v>37</v>
      </c>
      <c r="T37">
        <v>0</v>
      </c>
      <c r="U37">
        <v>2</v>
      </c>
      <c r="V37">
        <v>0</v>
      </c>
      <c r="W37">
        <v>0</v>
      </c>
      <c r="X37">
        <v>169</v>
      </c>
      <c r="Y37">
        <v>12808</v>
      </c>
    </row>
    <row r="38" spans="1:25" x14ac:dyDescent="0.3">
      <c r="A38" t="s">
        <v>81</v>
      </c>
      <c r="B38" t="s">
        <v>50</v>
      </c>
      <c r="C38">
        <v>11</v>
      </c>
      <c r="D38">
        <v>8</v>
      </c>
      <c r="E38">
        <v>2.75</v>
      </c>
      <c r="F38">
        <v>33</v>
      </c>
      <c r="G38">
        <v>33</v>
      </c>
      <c r="H38">
        <v>0</v>
      </c>
      <c r="I38">
        <v>0</v>
      </c>
      <c r="J38">
        <v>0</v>
      </c>
      <c r="K38">
        <v>0</v>
      </c>
      <c r="L38">
        <v>0</v>
      </c>
      <c r="M38">
        <v>196.1</v>
      </c>
      <c r="N38">
        <v>772</v>
      </c>
      <c r="O38">
        <v>135</v>
      </c>
      <c r="P38">
        <v>62</v>
      </c>
      <c r="Q38">
        <v>60</v>
      </c>
      <c r="R38">
        <v>25</v>
      </c>
      <c r="S38">
        <v>55</v>
      </c>
      <c r="T38">
        <v>2</v>
      </c>
      <c r="U38">
        <v>7</v>
      </c>
      <c r="V38">
        <v>6</v>
      </c>
      <c r="W38">
        <v>0</v>
      </c>
      <c r="X38">
        <v>231</v>
      </c>
      <c r="Y38">
        <v>17479</v>
      </c>
    </row>
    <row r="39" spans="1:25" x14ac:dyDescent="0.3">
      <c r="A39" t="s">
        <v>82</v>
      </c>
      <c r="B39" t="s">
        <v>83</v>
      </c>
      <c r="C39">
        <v>6</v>
      </c>
      <c r="D39">
        <v>0</v>
      </c>
      <c r="E39">
        <v>2.76</v>
      </c>
      <c r="F39">
        <v>63</v>
      </c>
      <c r="G39">
        <v>0</v>
      </c>
      <c r="H39">
        <v>0</v>
      </c>
      <c r="I39">
        <v>0</v>
      </c>
      <c r="J39">
        <v>34</v>
      </c>
      <c r="K39">
        <v>0</v>
      </c>
      <c r="L39">
        <v>4</v>
      </c>
      <c r="M39">
        <v>65.099999999999994</v>
      </c>
      <c r="N39">
        <v>257</v>
      </c>
      <c r="O39">
        <v>46</v>
      </c>
      <c r="P39">
        <v>20</v>
      </c>
      <c r="Q39">
        <v>20</v>
      </c>
      <c r="R39">
        <v>10</v>
      </c>
      <c r="S39">
        <v>21</v>
      </c>
      <c r="T39">
        <v>2</v>
      </c>
      <c r="U39">
        <v>0</v>
      </c>
      <c r="V39">
        <v>3</v>
      </c>
      <c r="W39">
        <v>0</v>
      </c>
      <c r="X39">
        <v>96</v>
      </c>
      <c r="Y39">
        <v>8048</v>
      </c>
    </row>
    <row r="40" spans="1:25" x14ac:dyDescent="0.3">
      <c r="A40" t="s">
        <v>84</v>
      </c>
      <c r="B40" t="s">
        <v>43</v>
      </c>
      <c r="C40">
        <v>4</v>
      </c>
      <c r="D40">
        <v>5</v>
      </c>
      <c r="E40">
        <v>2.8</v>
      </c>
      <c r="F40">
        <v>62</v>
      </c>
      <c r="G40">
        <v>0</v>
      </c>
      <c r="H40">
        <v>0</v>
      </c>
      <c r="I40">
        <v>0</v>
      </c>
      <c r="J40">
        <v>30</v>
      </c>
      <c r="K40">
        <v>0</v>
      </c>
      <c r="L40">
        <v>3</v>
      </c>
      <c r="M40">
        <v>61</v>
      </c>
      <c r="N40">
        <v>249</v>
      </c>
      <c r="O40">
        <v>42</v>
      </c>
      <c r="P40">
        <v>28</v>
      </c>
      <c r="Q40">
        <v>19</v>
      </c>
      <c r="R40">
        <v>7</v>
      </c>
      <c r="S40">
        <v>23</v>
      </c>
      <c r="T40">
        <v>2</v>
      </c>
      <c r="U40">
        <v>1</v>
      </c>
      <c r="V40">
        <v>4</v>
      </c>
      <c r="W40">
        <v>0</v>
      </c>
      <c r="X40">
        <v>55</v>
      </c>
      <c r="Y40">
        <v>6661</v>
      </c>
    </row>
    <row r="41" spans="1:25" x14ac:dyDescent="0.3">
      <c r="A41" t="s">
        <v>85</v>
      </c>
      <c r="B41" t="s">
        <v>56</v>
      </c>
      <c r="C41">
        <v>5</v>
      </c>
      <c r="D41">
        <v>1</v>
      </c>
      <c r="E41">
        <v>2.81</v>
      </c>
      <c r="F41">
        <v>55</v>
      </c>
      <c r="G41">
        <v>0</v>
      </c>
      <c r="H41">
        <v>0</v>
      </c>
      <c r="I41">
        <v>0</v>
      </c>
      <c r="J41">
        <v>4</v>
      </c>
      <c r="K41">
        <v>12</v>
      </c>
      <c r="L41">
        <v>2</v>
      </c>
      <c r="M41">
        <v>57.2</v>
      </c>
      <c r="N41">
        <v>231</v>
      </c>
      <c r="O41">
        <v>47</v>
      </c>
      <c r="P41">
        <v>22</v>
      </c>
      <c r="Q41">
        <v>18</v>
      </c>
      <c r="R41">
        <v>10</v>
      </c>
      <c r="S41">
        <v>15</v>
      </c>
      <c r="T41">
        <v>1</v>
      </c>
      <c r="U41">
        <v>0</v>
      </c>
      <c r="V41">
        <v>0</v>
      </c>
      <c r="W41">
        <v>0</v>
      </c>
      <c r="X41">
        <v>60</v>
      </c>
      <c r="Y41">
        <v>15594</v>
      </c>
    </row>
    <row r="42" spans="1:25" x14ac:dyDescent="0.3">
      <c r="A42" t="s">
        <v>86</v>
      </c>
      <c r="B42" t="s">
        <v>48</v>
      </c>
      <c r="C42">
        <v>3</v>
      </c>
      <c r="D42">
        <v>6</v>
      </c>
      <c r="E42">
        <v>2.81</v>
      </c>
      <c r="F42">
        <v>15</v>
      </c>
      <c r="G42">
        <v>15</v>
      </c>
      <c r="H42">
        <v>0</v>
      </c>
      <c r="I42">
        <v>0</v>
      </c>
      <c r="J42">
        <v>0</v>
      </c>
      <c r="K42">
        <v>0</v>
      </c>
      <c r="L42">
        <v>0</v>
      </c>
      <c r="M42">
        <v>80</v>
      </c>
      <c r="N42">
        <v>334</v>
      </c>
      <c r="O42">
        <v>62</v>
      </c>
      <c r="P42">
        <v>26</v>
      </c>
      <c r="Q42">
        <v>25</v>
      </c>
      <c r="R42">
        <v>8</v>
      </c>
      <c r="S42">
        <v>36</v>
      </c>
      <c r="T42">
        <v>1</v>
      </c>
      <c r="U42">
        <v>4</v>
      </c>
      <c r="V42">
        <v>3</v>
      </c>
      <c r="W42">
        <v>0</v>
      </c>
      <c r="X42">
        <v>96</v>
      </c>
      <c r="Y42">
        <v>19291</v>
      </c>
    </row>
    <row r="43" spans="1:25" x14ac:dyDescent="0.3">
      <c r="A43" t="s">
        <v>87</v>
      </c>
      <c r="B43" t="s">
        <v>83</v>
      </c>
      <c r="C43">
        <v>3</v>
      </c>
      <c r="D43">
        <v>7</v>
      </c>
      <c r="E43">
        <v>2.86</v>
      </c>
      <c r="F43">
        <v>56</v>
      </c>
      <c r="G43">
        <v>0</v>
      </c>
      <c r="H43">
        <v>0</v>
      </c>
      <c r="I43">
        <v>0</v>
      </c>
      <c r="J43">
        <v>0</v>
      </c>
      <c r="K43">
        <v>15</v>
      </c>
      <c r="L43">
        <v>5</v>
      </c>
      <c r="M43">
        <v>56.2</v>
      </c>
      <c r="N43">
        <v>246</v>
      </c>
      <c r="O43">
        <v>41</v>
      </c>
      <c r="P43">
        <v>19</v>
      </c>
      <c r="Q43">
        <v>18</v>
      </c>
      <c r="R43">
        <v>4</v>
      </c>
      <c r="S43">
        <v>33</v>
      </c>
      <c r="T43">
        <v>1</v>
      </c>
      <c r="U43">
        <v>3</v>
      </c>
      <c r="V43">
        <v>3</v>
      </c>
      <c r="W43">
        <v>0</v>
      </c>
      <c r="X43">
        <v>70</v>
      </c>
      <c r="Y43">
        <v>14966</v>
      </c>
    </row>
    <row r="44" spans="1:25" x14ac:dyDescent="0.3">
      <c r="A44" t="s">
        <v>88</v>
      </c>
      <c r="B44" t="s">
        <v>89</v>
      </c>
      <c r="C44">
        <v>11</v>
      </c>
      <c r="D44">
        <v>8</v>
      </c>
      <c r="E44">
        <v>2.87</v>
      </c>
      <c r="F44">
        <v>31</v>
      </c>
      <c r="G44">
        <v>31</v>
      </c>
      <c r="H44">
        <v>0</v>
      </c>
      <c r="I44">
        <v>0</v>
      </c>
      <c r="J44">
        <v>0</v>
      </c>
      <c r="K44">
        <v>0</v>
      </c>
      <c r="L44">
        <v>0</v>
      </c>
      <c r="M44">
        <v>175.1</v>
      </c>
      <c r="N44">
        <v>708</v>
      </c>
      <c r="O44">
        <v>122</v>
      </c>
      <c r="P44">
        <v>59</v>
      </c>
      <c r="Q44">
        <v>56</v>
      </c>
      <c r="R44">
        <v>17</v>
      </c>
      <c r="S44">
        <v>68</v>
      </c>
      <c r="T44">
        <v>1</v>
      </c>
      <c r="U44">
        <v>7</v>
      </c>
      <c r="V44">
        <v>7</v>
      </c>
      <c r="W44">
        <v>1</v>
      </c>
      <c r="X44">
        <v>205</v>
      </c>
      <c r="Y44">
        <v>12768</v>
      </c>
    </row>
    <row r="45" spans="1:25" x14ac:dyDescent="0.3">
      <c r="A45" t="s">
        <v>90</v>
      </c>
      <c r="B45" t="s">
        <v>56</v>
      </c>
      <c r="C45">
        <v>1</v>
      </c>
      <c r="D45">
        <v>0</v>
      </c>
      <c r="E45">
        <v>2.9</v>
      </c>
      <c r="F45">
        <v>53</v>
      </c>
      <c r="G45">
        <v>3</v>
      </c>
      <c r="H45">
        <v>0</v>
      </c>
      <c r="I45">
        <v>0</v>
      </c>
      <c r="J45">
        <v>0</v>
      </c>
      <c r="K45">
        <v>8</v>
      </c>
      <c r="L45">
        <v>0</v>
      </c>
      <c r="M45">
        <v>62</v>
      </c>
      <c r="N45">
        <v>241</v>
      </c>
      <c r="O45">
        <v>38</v>
      </c>
      <c r="P45">
        <v>20</v>
      </c>
      <c r="Q45">
        <v>20</v>
      </c>
      <c r="R45">
        <v>8</v>
      </c>
      <c r="S45">
        <v>15</v>
      </c>
      <c r="T45">
        <v>0</v>
      </c>
      <c r="U45">
        <v>7</v>
      </c>
      <c r="V45">
        <v>3</v>
      </c>
      <c r="W45">
        <v>0</v>
      </c>
      <c r="X45">
        <v>64</v>
      </c>
      <c r="Y45">
        <v>5640</v>
      </c>
    </row>
    <row r="46" spans="1:25" x14ac:dyDescent="0.3">
      <c r="A46" t="s">
        <v>91</v>
      </c>
      <c r="B46" t="s">
        <v>89</v>
      </c>
      <c r="C46">
        <v>1</v>
      </c>
      <c r="D46">
        <v>4</v>
      </c>
      <c r="E46">
        <v>2.92</v>
      </c>
      <c r="F46">
        <v>73</v>
      </c>
      <c r="G46">
        <v>0</v>
      </c>
      <c r="H46">
        <v>0</v>
      </c>
      <c r="I46">
        <v>0</v>
      </c>
      <c r="J46">
        <v>7</v>
      </c>
      <c r="K46">
        <v>21</v>
      </c>
      <c r="L46">
        <v>4</v>
      </c>
      <c r="M46">
        <v>83.1</v>
      </c>
      <c r="N46">
        <v>343</v>
      </c>
      <c r="O46">
        <v>68</v>
      </c>
      <c r="P46">
        <v>29</v>
      </c>
      <c r="Q46">
        <v>27</v>
      </c>
      <c r="R46">
        <v>9</v>
      </c>
      <c r="S46">
        <v>28</v>
      </c>
      <c r="T46">
        <v>1</v>
      </c>
      <c r="U46">
        <v>2</v>
      </c>
      <c r="V46">
        <v>2</v>
      </c>
      <c r="W46">
        <v>0</v>
      </c>
      <c r="X46">
        <v>85</v>
      </c>
      <c r="Y46">
        <v>14843</v>
      </c>
    </row>
    <row r="47" spans="1:25" x14ac:dyDescent="0.3">
      <c r="A47" t="s">
        <v>92</v>
      </c>
      <c r="B47" t="s">
        <v>93</v>
      </c>
      <c r="C47">
        <v>11</v>
      </c>
      <c r="D47">
        <v>7</v>
      </c>
      <c r="E47">
        <v>2.92</v>
      </c>
      <c r="F47">
        <v>27</v>
      </c>
      <c r="G47">
        <v>27</v>
      </c>
      <c r="H47">
        <v>0</v>
      </c>
      <c r="I47">
        <v>0</v>
      </c>
      <c r="J47">
        <v>0</v>
      </c>
      <c r="K47">
        <v>0</v>
      </c>
      <c r="L47">
        <v>0</v>
      </c>
      <c r="M47">
        <v>172.1</v>
      </c>
      <c r="N47">
        <v>693</v>
      </c>
      <c r="O47">
        <v>144</v>
      </c>
      <c r="P47">
        <v>59</v>
      </c>
      <c r="Q47">
        <v>56</v>
      </c>
      <c r="R47">
        <v>18</v>
      </c>
      <c r="S47">
        <v>33</v>
      </c>
      <c r="T47">
        <v>2</v>
      </c>
      <c r="U47">
        <v>7</v>
      </c>
      <c r="V47">
        <v>0</v>
      </c>
      <c r="W47">
        <v>0</v>
      </c>
      <c r="X47">
        <v>243</v>
      </c>
      <c r="Y47">
        <v>3137</v>
      </c>
    </row>
    <row r="48" spans="1:25" x14ac:dyDescent="0.3">
      <c r="A48" t="s">
        <v>94</v>
      </c>
      <c r="B48" t="s">
        <v>95</v>
      </c>
      <c r="C48">
        <v>3</v>
      </c>
      <c r="D48">
        <v>6</v>
      </c>
      <c r="E48">
        <v>2.93</v>
      </c>
      <c r="F48">
        <v>68</v>
      </c>
      <c r="G48">
        <v>0</v>
      </c>
      <c r="H48">
        <v>0</v>
      </c>
      <c r="I48">
        <v>0</v>
      </c>
      <c r="J48">
        <v>28</v>
      </c>
      <c r="K48">
        <v>2</v>
      </c>
      <c r="L48">
        <v>6</v>
      </c>
      <c r="M48">
        <v>67.2</v>
      </c>
      <c r="N48">
        <v>275</v>
      </c>
      <c r="O48">
        <v>45</v>
      </c>
      <c r="P48">
        <v>24</v>
      </c>
      <c r="Q48">
        <v>22</v>
      </c>
      <c r="R48">
        <v>10</v>
      </c>
      <c r="S48">
        <v>24</v>
      </c>
      <c r="T48">
        <v>1</v>
      </c>
      <c r="U48">
        <v>6</v>
      </c>
      <c r="V48">
        <v>2</v>
      </c>
      <c r="W48">
        <v>2</v>
      </c>
      <c r="X48">
        <v>89</v>
      </c>
      <c r="Y48">
        <v>11804</v>
      </c>
    </row>
    <row r="49" spans="1:25" x14ac:dyDescent="0.3">
      <c r="A49" t="s">
        <v>96</v>
      </c>
      <c r="B49" t="s">
        <v>48</v>
      </c>
      <c r="C49">
        <v>18</v>
      </c>
      <c r="D49">
        <v>5</v>
      </c>
      <c r="E49">
        <v>2.93</v>
      </c>
      <c r="F49">
        <v>33</v>
      </c>
      <c r="G49">
        <v>33</v>
      </c>
      <c r="H49">
        <v>0</v>
      </c>
      <c r="I49">
        <v>0</v>
      </c>
      <c r="J49">
        <v>0</v>
      </c>
      <c r="K49">
        <v>0</v>
      </c>
      <c r="L49">
        <v>0</v>
      </c>
      <c r="M49">
        <v>208.2</v>
      </c>
      <c r="N49">
        <v>810</v>
      </c>
      <c r="O49">
        <v>175</v>
      </c>
      <c r="P49">
        <v>73</v>
      </c>
      <c r="Q49">
        <v>68</v>
      </c>
      <c r="R49">
        <v>21</v>
      </c>
      <c r="S49">
        <v>30</v>
      </c>
      <c r="T49">
        <v>2</v>
      </c>
      <c r="U49">
        <v>4</v>
      </c>
      <c r="V49">
        <v>2</v>
      </c>
      <c r="W49">
        <v>1</v>
      </c>
      <c r="X49">
        <v>187</v>
      </c>
      <c r="Y49">
        <v>1943</v>
      </c>
    </row>
    <row r="50" spans="1:25" x14ac:dyDescent="0.3">
      <c r="A50" t="s">
        <v>97</v>
      </c>
      <c r="B50" t="s">
        <v>98</v>
      </c>
      <c r="C50">
        <v>4</v>
      </c>
      <c r="D50">
        <v>3</v>
      </c>
      <c r="E50">
        <v>2.94</v>
      </c>
      <c r="F50">
        <v>12</v>
      </c>
      <c r="G50">
        <v>12</v>
      </c>
      <c r="H50">
        <v>0</v>
      </c>
      <c r="I50">
        <v>0</v>
      </c>
      <c r="J50">
        <v>0</v>
      </c>
      <c r="K50">
        <v>0</v>
      </c>
      <c r="L50">
        <v>0</v>
      </c>
      <c r="M50">
        <v>64.099999999999994</v>
      </c>
      <c r="N50">
        <v>260</v>
      </c>
      <c r="O50">
        <v>55</v>
      </c>
      <c r="P50">
        <v>22</v>
      </c>
      <c r="Q50">
        <v>21</v>
      </c>
      <c r="R50">
        <v>6</v>
      </c>
      <c r="S50">
        <v>14</v>
      </c>
      <c r="T50">
        <v>1</v>
      </c>
      <c r="U50">
        <v>3</v>
      </c>
      <c r="V50">
        <v>0</v>
      </c>
      <c r="W50">
        <v>0</v>
      </c>
      <c r="X50">
        <v>69</v>
      </c>
      <c r="Y50">
        <v>16918</v>
      </c>
    </row>
    <row r="51" spans="1:25" x14ac:dyDescent="0.3">
      <c r="A51" t="s">
        <v>99</v>
      </c>
      <c r="B51" t="s">
        <v>66</v>
      </c>
      <c r="C51">
        <v>5</v>
      </c>
      <c r="D51">
        <v>3</v>
      </c>
      <c r="E51">
        <v>2.94</v>
      </c>
      <c r="F51">
        <v>65</v>
      </c>
      <c r="G51">
        <v>0</v>
      </c>
      <c r="H51">
        <v>0</v>
      </c>
      <c r="I51">
        <v>0</v>
      </c>
      <c r="J51">
        <v>2</v>
      </c>
      <c r="K51">
        <v>17</v>
      </c>
      <c r="L51">
        <v>2</v>
      </c>
      <c r="M51">
        <v>64.099999999999994</v>
      </c>
      <c r="N51">
        <v>266</v>
      </c>
      <c r="O51">
        <v>43</v>
      </c>
      <c r="P51">
        <v>24</v>
      </c>
      <c r="Q51">
        <v>21</v>
      </c>
      <c r="R51">
        <v>8</v>
      </c>
      <c r="S51">
        <v>26</v>
      </c>
      <c r="T51">
        <v>1</v>
      </c>
      <c r="U51">
        <v>3</v>
      </c>
      <c r="V51">
        <v>3</v>
      </c>
      <c r="W51">
        <v>0</v>
      </c>
      <c r="X51">
        <v>79</v>
      </c>
      <c r="Y51">
        <v>6398</v>
      </c>
    </row>
    <row r="52" spans="1:25" x14ac:dyDescent="0.3">
      <c r="A52" t="s">
        <v>100</v>
      </c>
      <c r="B52" t="s">
        <v>77</v>
      </c>
      <c r="C52">
        <v>4</v>
      </c>
      <c r="D52">
        <v>6</v>
      </c>
      <c r="E52">
        <v>2.95</v>
      </c>
      <c r="F52">
        <v>70</v>
      </c>
      <c r="G52">
        <v>0</v>
      </c>
      <c r="H52">
        <v>0</v>
      </c>
      <c r="I52">
        <v>0</v>
      </c>
      <c r="J52">
        <v>7</v>
      </c>
      <c r="K52">
        <v>11</v>
      </c>
      <c r="L52">
        <v>4</v>
      </c>
      <c r="M52">
        <v>64</v>
      </c>
      <c r="N52">
        <v>267</v>
      </c>
      <c r="O52">
        <v>48</v>
      </c>
      <c r="P52">
        <v>22</v>
      </c>
      <c r="Q52">
        <v>21</v>
      </c>
      <c r="R52">
        <v>7</v>
      </c>
      <c r="S52">
        <v>29</v>
      </c>
      <c r="T52">
        <v>1</v>
      </c>
      <c r="U52">
        <v>7</v>
      </c>
      <c r="V52">
        <v>4</v>
      </c>
      <c r="W52">
        <v>0</v>
      </c>
      <c r="X52">
        <v>57</v>
      </c>
      <c r="Y52">
        <v>6483</v>
      </c>
    </row>
    <row r="53" spans="1:25" x14ac:dyDescent="0.3">
      <c r="A53" t="s">
        <v>101</v>
      </c>
      <c r="B53" t="s">
        <v>102</v>
      </c>
      <c r="C53">
        <v>4</v>
      </c>
      <c r="D53">
        <v>2</v>
      </c>
      <c r="E53">
        <v>3.02</v>
      </c>
      <c r="F53">
        <v>53</v>
      </c>
      <c r="G53">
        <v>0</v>
      </c>
      <c r="H53">
        <v>0</v>
      </c>
      <c r="I53">
        <v>0</v>
      </c>
      <c r="J53">
        <v>0</v>
      </c>
      <c r="K53">
        <v>6</v>
      </c>
      <c r="L53">
        <v>1</v>
      </c>
      <c r="M53">
        <v>50.2</v>
      </c>
      <c r="N53">
        <v>206</v>
      </c>
      <c r="O53">
        <v>40</v>
      </c>
      <c r="P53">
        <v>17</v>
      </c>
      <c r="Q53">
        <v>17</v>
      </c>
      <c r="R53">
        <v>4</v>
      </c>
      <c r="S53">
        <v>16</v>
      </c>
      <c r="T53">
        <v>2</v>
      </c>
      <c r="U53">
        <v>2</v>
      </c>
      <c r="V53">
        <v>4</v>
      </c>
      <c r="W53">
        <v>0</v>
      </c>
      <c r="X53">
        <v>39</v>
      </c>
      <c r="Y53">
        <v>18282</v>
      </c>
    </row>
    <row r="54" spans="1:25" x14ac:dyDescent="0.3">
      <c r="A54" t="s">
        <v>103</v>
      </c>
      <c r="B54" t="s">
        <v>53</v>
      </c>
      <c r="C54">
        <v>16</v>
      </c>
      <c r="D54">
        <v>5</v>
      </c>
      <c r="E54">
        <v>3.03</v>
      </c>
      <c r="F54">
        <v>29</v>
      </c>
      <c r="G54">
        <v>28</v>
      </c>
      <c r="H54">
        <v>0</v>
      </c>
      <c r="I54">
        <v>0</v>
      </c>
      <c r="J54">
        <v>0</v>
      </c>
      <c r="K54">
        <v>0</v>
      </c>
      <c r="L54">
        <v>0</v>
      </c>
      <c r="M54">
        <v>178.1</v>
      </c>
      <c r="N54">
        <v>706</v>
      </c>
      <c r="O54">
        <v>145</v>
      </c>
      <c r="P54">
        <v>63</v>
      </c>
      <c r="Q54">
        <v>60</v>
      </c>
      <c r="R54">
        <v>28</v>
      </c>
      <c r="S54">
        <v>41</v>
      </c>
      <c r="T54">
        <v>0</v>
      </c>
      <c r="U54">
        <v>2</v>
      </c>
      <c r="V54">
        <v>7</v>
      </c>
      <c r="W54">
        <v>1</v>
      </c>
      <c r="X54">
        <v>189</v>
      </c>
      <c r="Y54">
        <v>2036</v>
      </c>
    </row>
    <row r="55" spans="1:25" x14ac:dyDescent="0.3">
      <c r="A55" t="s">
        <v>104</v>
      </c>
      <c r="B55" t="s">
        <v>32</v>
      </c>
      <c r="C55">
        <v>16</v>
      </c>
      <c r="D55">
        <v>6</v>
      </c>
      <c r="E55">
        <v>3.05</v>
      </c>
      <c r="F55">
        <v>33</v>
      </c>
      <c r="G55">
        <v>33</v>
      </c>
      <c r="H55">
        <v>0</v>
      </c>
      <c r="I55">
        <v>0</v>
      </c>
      <c r="J55">
        <v>0</v>
      </c>
      <c r="K55">
        <v>0</v>
      </c>
      <c r="L55">
        <v>0</v>
      </c>
      <c r="M55">
        <v>194.2</v>
      </c>
      <c r="N55">
        <v>790</v>
      </c>
      <c r="O55">
        <v>154</v>
      </c>
      <c r="P55">
        <v>71</v>
      </c>
      <c r="Q55">
        <v>66</v>
      </c>
      <c r="R55">
        <v>15</v>
      </c>
      <c r="S55">
        <v>57</v>
      </c>
      <c r="T55">
        <v>0</v>
      </c>
      <c r="U55">
        <v>12</v>
      </c>
      <c r="V55">
        <v>5</v>
      </c>
      <c r="W55">
        <v>1</v>
      </c>
      <c r="X55">
        <v>240</v>
      </c>
      <c r="Y55">
        <v>4676</v>
      </c>
    </row>
    <row r="56" spans="1:25" x14ac:dyDescent="0.3">
      <c r="A56" t="s">
        <v>105</v>
      </c>
      <c r="B56" t="s">
        <v>53</v>
      </c>
      <c r="C56">
        <v>7</v>
      </c>
      <c r="D56">
        <v>2</v>
      </c>
      <c r="E56">
        <v>3.1</v>
      </c>
      <c r="F56">
        <v>71</v>
      </c>
      <c r="G56">
        <v>0</v>
      </c>
      <c r="H56">
        <v>0</v>
      </c>
      <c r="I56">
        <v>0</v>
      </c>
      <c r="J56">
        <v>1</v>
      </c>
      <c r="K56">
        <v>25</v>
      </c>
      <c r="L56">
        <v>6</v>
      </c>
      <c r="M56">
        <v>69.2</v>
      </c>
      <c r="N56">
        <v>276</v>
      </c>
      <c r="O56">
        <v>43</v>
      </c>
      <c r="P56">
        <v>30</v>
      </c>
      <c r="Q56">
        <v>24</v>
      </c>
      <c r="R56">
        <v>6</v>
      </c>
      <c r="S56">
        <v>23</v>
      </c>
      <c r="T56">
        <v>1</v>
      </c>
      <c r="U56">
        <v>4</v>
      </c>
      <c r="V56">
        <v>0</v>
      </c>
      <c r="W56">
        <v>0</v>
      </c>
      <c r="X56">
        <v>69</v>
      </c>
      <c r="Y56">
        <v>5420</v>
      </c>
    </row>
    <row r="57" spans="1:25" x14ac:dyDescent="0.3">
      <c r="A57" t="s">
        <v>106</v>
      </c>
      <c r="B57" t="s">
        <v>75</v>
      </c>
      <c r="C57">
        <v>6</v>
      </c>
      <c r="D57">
        <v>3</v>
      </c>
      <c r="E57">
        <v>3.16</v>
      </c>
      <c r="F57">
        <v>55</v>
      </c>
      <c r="G57">
        <v>4</v>
      </c>
      <c r="H57">
        <v>0</v>
      </c>
      <c r="I57">
        <v>0</v>
      </c>
      <c r="J57">
        <v>1</v>
      </c>
      <c r="K57">
        <v>16</v>
      </c>
      <c r="L57">
        <v>2</v>
      </c>
      <c r="M57">
        <v>68.099999999999994</v>
      </c>
      <c r="N57">
        <v>293</v>
      </c>
      <c r="O57">
        <v>61</v>
      </c>
      <c r="P57">
        <v>28</v>
      </c>
      <c r="Q57">
        <v>24</v>
      </c>
      <c r="R57">
        <v>8</v>
      </c>
      <c r="S57">
        <v>29</v>
      </c>
      <c r="T57">
        <v>1</v>
      </c>
      <c r="U57">
        <v>3</v>
      </c>
      <c r="V57">
        <v>4</v>
      </c>
      <c r="W57">
        <v>0</v>
      </c>
      <c r="X57">
        <v>65</v>
      </c>
      <c r="Y57">
        <v>16943</v>
      </c>
    </row>
    <row r="58" spans="1:25" x14ac:dyDescent="0.3">
      <c r="A58" t="s">
        <v>107</v>
      </c>
      <c r="B58" t="s">
        <v>32</v>
      </c>
      <c r="C58">
        <v>5</v>
      </c>
      <c r="D58">
        <v>2</v>
      </c>
      <c r="E58">
        <v>3.21</v>
      </c>
      <c r="F58">
        <v>50</v>
      </c>
      <c r="G58">
        <v>0</v>
      </c>
      <c r="H58">
        <v>0</v>
      </c>
      <c r="I58">
        <v>0</v>
      </c>
      <c r="J58">
        <v>2</v>
      </c>
      <c r="K58">
        <v>10</v>
      </c>
      <c r="L58">
        <v>1</v>
      </c>
      <c r="M58">
        <v>56</v>
      </c>
      <c r="N58">
        <v>219</v>
      </c>
      <c r="O58">
        <v>36</v>
      </c>
      <c r="P58">
        <v>20</v>
      </c>
      <c r="Q58">
        <v>20</v>
      </c>
      <c r="R58">
        <v>9</v>
      </c>
      <c r="S58">
        <v>19</v>
      </c>
      <c r="T58">
        <v>1</v>
      </c>
      <c r="U58">
        <v>1</v>
      </c>
      <c r="V58">
        <v>1</v>
      </c>
      <c r="W58">
        <v>0</v>
      </c>
      <c r="X58">
        <v>70</v>
      </c>
      <c r="Y58">
        <v>8823</v>
      </c>
    </row>
    <row r="59" spans="1:25" x14ac:dyDescent="0.3">
      <c r="A59" t="s">
        <v>108</v>
      </c>
      <c r="B59" t="s">
        <v>89</v>
      </c>
      <c r="C59">
        <v>5</v>
      </c>
      <c r="D59">
        <v>3</v>
      </c>
      <c r="E59">
        <v>3.21</v>
      </c>
      <c r="F59">
        <v>69</v>
      </c>
      <c r="G59">
        <v>0</v>
      </c>
      <c r="H59">
        <v>0</v>
      </c>
      <c r="I59">
        <v>0</v>
      </c>
      <c r="J59">
        <v>0</v>
      </c>
      <c r="K59">
        <v>22</v>
      </c>
      <c r="L59">
        <v>3</v>
      </c>
      <c r="M59">
        <v>56</v>
      </c>
      <c r="N59">
        <v>246</v>
      </c>
      <c r="O59">
        <v>44</v>
      </c>
      <c r="P59">
        <v>22</v>
      </c>
      <c r="Q59">
        <v>20</v>
      </c>
      <c r="R59">
        <v>7</v>
      </c>
      <c r="S59">
        <v>35</v>
      </c>
      <c r="T59">
        <v>1</v>
      </c>
      <c r="U59">
        <v>4</v>
      </c>
      <c r="V59">
        <v>5</v>
      </c>
      <c r="W59">
        <v>1</v>
      </c>
      <c r="X59">
        <v>78</v>
      </c>
      <c r="Y59">
        <v>14375</v>
      </c>
    </row>
    <row r="60" spans="1:25" x14ac:dyDescent="0.3">
      <c r="A60" t="s">
        <v>109</v>
      </c>
      <c r="B60" t="s">
        <v>48</v>
      </c>
      <c r="C60">
        <v>10</v>
      </c>
      <c r="D60">
        <v>13</v>
      </c>
      <c r="E60">
        <v>3.22</v>
      </c>
      <c r="F60">
        <v>32</v>
      </c>
      <c r="G60">
        <v>32</v>
      </c>
      <c r="H60">
        <v>0</v>
      </c>
      <c r="I60">
        <v>0</v>
      </c>
      <c r="J60">
        <v>0</v>
      </c>
      <c r="K60">
        <v>0</v>
      </c>
      <c r="L60">
        <v>0</v>
      </c>
      <c r="M60">
        <v>184.1</v>
      </c>
      <c r="N60">
        <v>774</v>
      </c>
      <c r="O60">
        <v>183</v>
      </c>
      <c r="P60">
        <v>77</v>
      </c>
      <c r="Q60">
        <v>66</v>
      </c>
      <c r="R60">
        <v>18</v>
      </c>
      <c r="S60">
        <v>58</v>
      </c>
      <c r="T60">
        <v>1</v>
      </c>
      <c r="U60">
        <v>1</v>
      </c>
      <c r="V60">
        <v>7</v>
      </c>
      <c r="W60">
        <v>0</v>
      </c>
      <c r="X60">
        <v>159</v>
      </c>
      <c r="Y60">
        <v>13431</v>
      </c>
    </row>
    <row r="61" spans="1:25" x14ac:dyDescent="0.3">
      <c r="A61" t="s">
        <v>110</v>
      </c>
      <c r="B61" t="s">
        <v>62</v>
      </c>
      <c r="C61">
        <v>3</v>
      </c>
      <c r="D61">
        <v>3</v>
      </c>
      <c r="E61">
        <v>3.23</v>
      </c>
      <c r="F61">
        <v>59</v>
      </c>
      <c r="G61">
        <v>7</v>
      </c>
      <c r="H61">
        <v>0</v>
      </c>
      <c r="I61">
        <v>0</v>
      </c>
      <c r="J61">
        <v>1</v>
      </c>
      <c r="K61">
        <v>15</v>
      </c>
      <c r="L61">
        <v>2</v>
      </c>
      <c r="M61">
        <v>61.1</v>
      </c>
      <c r="N61">
        <v>258</v>
      </c>
      <c r="O61">
        <v>48</v>
      </c>
      <c r="P61">
        <v>30</v>
      </c>
      <c r="Q61">
        <v>22</v>
      </c>
      <c r="R61">
        <v>7</v>
      </c>
      <c r="S61">
        <v>22</v>
      </c>
      <c r="T61">
        <v>0</v>
      </c>
      <c r="U61">
        <v>3</v>
      </c>
      <c r="V61">
        <v>9</v>
      </c>
      <c r="W61">
        <v>0</v>
      </c>
      <c r="X61">
        <v>64</v>
      </c>
      <c r="Y61">
        <v>13360</v>
      </c>
    </row>
    <row r="62" spans="1:25" x14ac:dyDescent="0.3">
      <c r="A62" t="s">
        <v>111</v>
      </c>
      <c r="B62" t="s">
        <v>93</v>
      </c>
      <c r="C62">
        <v>14</v>
      </c>
      <c r="D62">
        <v>7</v>
      </c>
      <c r="E62">
        <v>3.25</v>
      </c>
      <c r="F62">
        <v>33</v>
      </c>
      <c r="G62">
        <v>33</v>
      </c>
      <c r="H62">
        <v>1</v>
      </c>
      <c r="I62">
        <v>1</v>
      </c>
      <c r="J62">
        <v>0</v>
      </c>
      <c r="K62">
        <v>0</v>
      </c>
      <c r="L62">
        <v>0</v>
      </c>
      <c r="M62">
        <v>202</v>
      </c>
      <c r="N62">
        <v>835</v>
      </c>
      <c r="O62">
        <v>169</v>
      </c>
      <c r="P62">
        <v>81</v>
      </c>
      <c r="Q62">
        <v>73</v>
      </c>
      <c r="R62">
        <v>24</v>
      </c>
      <c r="S62">
        <v>70</v>
      </c>
      <c r="T62">
        <v>2</v>
      </c>
      <c r="U62">
        <v>3</v>
      </c>
      <c r="V62">
        <v>4</v>
      </c>
      <c r="W62">
        <v>0</v>
      </c>
      <c r="X62">
        <v>238</v>
      </c>
      <c r="Y62">
        <v>9323</v>
      </c>
    </row>
    <row r="63" spans="1:25" x14ac:dyDescent="0.3">
      <c r="A63" t="s">
        <v>112</v>
      </c>
      <c r="B63" t="s">
        <v>53</v>
      </c>
      <c r="C63">
        <v>14</v>
      </c>
      <c r="D63">
        <v>4</v>
      </c>
      <c r="E63">
        <v>3.26</v>
      </c>
      <c r="F63">
        <v>30</v>
      </c>
      <c r="G63">
        <v>30</v>
      </c>
      <c r="H63">
        <v>2</v>
      </c>
      <c r="I63">
        <v>0</v>
      </c>
      <c r="J63">
        <v>0</v>
      </c>
      <c r="K63">
        <v>0</v>
      </c>
      <c r="L63">
        <v>0</v>
      </c>
      <c r="M63">
        <v>182.1</v>
      </c>
      <c r="N63">
        <v>737</v>
      </c>
      <c r="O63">
        <v>153</v>
      </c>
      <c r="P63">
        <v>77</v>
      </c>
      <c r="Q63">
        <v>66</v>
      </c>
      <c r="R63">
        <v>20</v>
      </c>
      <c r="S63">
        <v>37</v>
      </c>
      <c r="T63">
        <v>0</v>
      </c>
      <c r="U63">
        <v>7</v>
      </c>
      <c r="V63">
        <v>4</v>
      </c>
      <c r="W63">
        <v>0</v>
      </c>
      <c r="X63">
        <v>215</v>
      </c>
      <c r="Y63">
        <v>19374</v>
      </c>
    </row>
    <row r="64" spans="1:25" x14ac:dyDescent="0.3">
      <c r="A64" t="s">
        <v>113</v>
      </c>
      <c r="B64" t="s">
        <v>48</v>
      </c>
      <c r="C64">
        <v>6</v>
      </c>
      <c r="D64">
        <v>3</v>
      </c>
      <c r="E64">
        <v>3.27</v>
      </c>
      <c r="F64">
        <v>80</v>
      </c>
      <c r="G64">
        <v>0</v>
      </c>
      <c r="H64">
        <v>0</v>
      </c>
      <c r="I64">
        <v>0</v>
      </c>
      <c r="J64">
        <v>1</v>
      </c>
      <c r="K64">
        <v>17</v>
      </c>
      <c r="L64">
        <v>0</v>
      </c>
      <c r="M64">
        <v>55</v>
      </c>
      <c r="N64">
        <v>229</v>
      </c>
      <c r="O64">
        <v>48</v>
      </c>
      <c r="P64">
        <v>22</v>
      </c>
      <c r="Q64">
        <v>20</v>
      </c>
      <c r="R64">
        <v>7</v>
      </c>
      <c r="S64">
        <v>16</v>
      </c>
      <c r="T64">
        <v>4</v>
      </c>
      <c r="U64">
        <v>3</v>
      </c>
      <c r="V64">
        <v>1</v>
      </c>
      <c r="W64">
        <v>0</v>
      </c>
      <c r="X64">
        <v>45</v>
      </c>
      <c r="Y64">
        <v>10843</v>
      </c>
    </row>
    <row r="65" spans="1:25" x14ac:dyDescent="0.3">
      <c r="A65" t="s">
        <v>114</v>
      </c>
      <c r="B65" t="s">
        <v>56</v>
      </c>
      <c r="C65">
        <v>15</v>
      </c>
      <c r="D65">
        <v>8</v>
      </c>
      <c r="E65">
        <v>3.28</v>
      </c>
      <c r="F65">
        <v>34</v>
      </c>
      <c r="G65">
        <v>33</v>
      </c>
      <c r="H65">
        <v>3</v>
      </c>
      <c r="I65">
        <v>2</v>
      </c>
      <c r="J65">
        <v>0</v>
      </c>
      <c r="K65">
        <v>0</v>
      </c>
      <c r="L65">
        <v>0</v>
      </c>
      <c r="M65">
        <v>214.1</v>
      </c>
      <c r="N65">
        <v>859</v>
      </c>
      <c r="O65">
        <v>186</v>
      </c>
      <c r="P65">
        <v>86</v>
      </c>
      <c r="Q65">
        <v>78</v>
      </c>
      <c r="R65">
        <v>31</v>
      </c>
      <c r="S65">
        <v>40</v>
      </c>
      <c r="T65">
        <v>1</v>
      </c>
      <c r="U65">
        <v>6</v>
      </c>
      <c r="V65">
        <v>6</v>
      </c>
      <c r="W65">
        <v>1</v>
      </c>
      <c r="X65">
        <v>259</v>
      </c>
      <c r="Y65">
        <v>19427</v>
      </c>
    </row>
    <row r="66" spans="1:25" x14ac:dyDescent="0.3">
      <c r="A66" t="s">
        <v>115</v>
      </c>
      <c r="B66" t="s">
        <v>26</v>
      </c>
      <c r="C66">
        <v>8</v>
      </c>
      <c r="D66">
        <v>7</v>
      </c>
      <c r="E66">
        <v>3.29</v>
      </c>
      <c r="F66">
        <v>76</v>
      </c>
      <c r="G66">
        <v>0</v>
      </c>
      <c r="H66">
        <v>0</v>
      </c>
      <c r="I66">
        <v>0</v>
      </c>
      <c r="J66">
        <v>4</v>
      </c>
      <c r="K66">
        <v>31</v>
      </c>
      <c r="L66">
        <v>9</v>
      </c>
      <c r="M66">
        <v>82</v>
      </c>
      <c r="N66">
        <v>339</v>
      </c>
      <c r="O66">
        <v>80</v>
      </c>
      <c r="P66">
        <v>36</v>
      </c>
      <c r="Q66">
        <v>30</v>
      </c>
      <c r="R66">
        <v>13</v>
      </c>
      <c r="S66">
        <v>15</v>
      </c>
      <c r="T66">
        <v>2</v>
      </c>
      <c r="U66">
        <v>2</v>
      </c>
      <c r="V66">
        <v>0</v>
      </c>
      <c r="W66">
        <v>0</v>
      </c>
      <c r="X66">
        <v>73</v>
      </c>
      <c r="Y66">
        <v>7274</v>
      </c>
    </row>
    <row r="67" spans="1:25" x14ac:dyDescent="0.3">
      <c r="A67" t="s">
        <v>116</v>
      </c>
      <c r="B67" t="s">
        <v>56</v>
      </c>
      <c r="C67">
        <v>6</v>
      </c>
      <c r="D67">
        <v>4</v>
      </c>
      <c r="E67">
        <v>3.3</v>
      </c>
      <c r="F67">
        <v>60</v>
      </c>
      <c r="G67">
        <v>0</v>
      </c>
      <c r="H67">
        <v>0</v>
      </c>
      <c r="I67">
        <v>0</v>
      </c>
      <c r="J67">
        <v>34</v>
      </c>
      <c r="K67">
        <v>0</v>
      </c>
      <c r="L67">
        <v>5</v>
      </c>
      <c r="M67">
        <v>57.1</v>
      </c>
      <c r="N67">
        <v>242</v>
      </c>
      <c r="O67">
        <v>53</v>
      </c>
      <c r="P67">
        <v>21</v>
      </c>
      <c r="Q67">
        <v>21</v>
      </c>
      <c r="R67">
        <v>6</v>
      </c>
      <c r="S67">
        <v>18</v>
      </c>
      <c r="T67">
        <v>5</v>
      </c>
      <c r="U67">
        <v>4</v>
      </c>
      <c r="V67">
        <v>0</v>
      </c>
      <c r="W67">
        <v>0</v>
      </c>
      <c r="X67">
        <v>84</v>
      </c>
      <c r="Y67">
        <v>9111</v>
      </c>
    </row>
    <row r="68" spans="1:25" x14ac:dyDescent="0.3">
      <c r="A68" t="s">
        <v>117</v>
      </c>
      <c r="B68" t="s">
        <v>93</v>
      </c>
      <c r="C68">
        <v>18</v>
      </c>
      <c r="D68">
        <v>6</v>
      </c>
      <c r="E68">
        <v>3.32</v>
      </c>
      <c r="F68">
        <v>33</v>
      </c>
      <c r="G68">
        <v>33</v>
      </c>
      <c r="H68">
        <v>0</v>
      </c>
      <c r="I68">
        <v>0</v>
      </c>
      <c r="J68">
        <v>0</v>
      </c>
      <c r="K68">
        <v>0</v>
      </c>
      <c r="L68">
        <v>0</v>
      </c>
      <c r="M68">
        <v>209</v>
      </c>
      <c r="N68">
        <v>841</v>
      </c>
      <c r="O68">
        <v>161</v>
      </c>
      <c r="P68">
        <v>79</v>
      </c>
      <c r="Q68">
        <v>77</v>
      </c>
      <c r="R68">
        <v>24</v>
      </c>
      <c r="S68">
        <v>56</v>
      </c>
      <c r="T68">
        <v>4</v>
      </c>
      <c r="U68">
        <v>10</v>
      </c>
      <c r="V68">
        <v>8</v>
      </c>
      <c r="W68">
        <v>0</v>
      </c>
      <c r="X68">
        <v>251</v>
      </c>
      <c r="Y68">
        <v>10131</v>
      </c>
    </row>
    <row r="69" spans="1:25" x14ac:dyDescent="0.3">
      <c r="A69" t="s">
        <v>118</v>
      </c>
      <c r="B69" t="s">
        <v>48</v>
      </c>
      <c r="C69">
        <v>5</v>
      </c>
      <c r="D69">
        <v>1</v>
      </c>
      <c r="E69">
        <v>3.32</v>
      </c>
      <c r="F69">
        <v>61</v>
      </c>
      <c r="G69">
        <v>0</v>
      </c>
      <c r="H69">
        <v>0</v>
      </c>
      <c r="I69">
        <v>0</v>
      </c>
      <c r="J69">
        <v>2</v>
      </c>
      <c r="K69">
        <v>23</v>
      </c>
      <c r="L69">
        <v>2</v>
      </c>
      <c r="M69">
        <v>62.1</v>
      </c>
      <c r="N69">
        <v>249</v>
      </c>
      <c r="O69">
        <v>53</v>
      </c>
      <c r="P69">
        <v>26</v>
      </c>
      <c r="Q69">
        <v>23</v>
      </c>
      <c r="R69">
        <v>6</v>
      </c>
      <c r="S69">
        <v>13</v>
      </c>
      <c r="T69">
        <v>0</v>
      </c>
      <c r="U69">
        <v>3</v>
      </c>
      <c r="V69">
        <v>1</v>
      </c>
      <c r="W69">
        <v>0</v>
      </c>
      <c r="X69">
        <v>55</v>
      </c>
      <c r="Y69">
        <v>11710</v>
      </c>
    </row>
    <row r="70" spans="1:25" x14ac:dyDescent="0.3">
      <c r="A70" t="s">
        <v>119</v>
      </c>
      <c r="B70" t="s">
        <v>48</v>
      </c>
      <c r="C70">
        <v>5</v>
      </c>
      <c r="D70">
        <v>4</v>
      </c>
      <c r="E70">
        <v>3.32</v>
      </c>
      <c r="F70">
        <v>68</v>
      </c>
      <c r="G70">
        <v>0</v>
      </c>
      <c r="H70">
        <v>0</v>
      </c>
      <c r="I70">
        <v>0</v>
      </c>
      <c r="J70">
        <v>1</v>
      </c>
      <c r="K70">
        <v>16</v>
      </c>
      <c r="L70">
        <v>4</v>
      </c>
      <c r="M70">
        <v>65</v>
      </c>
      <c r="N70">
        <v>264</v>
      </c>
      <c r="O70">
        <v>52</v>
      </c>
      <c r="P70">
        <v>24</v>
      </c>
      <c r="Q70">
        <v>24</v>
      </c>
      <c r="R70">
        <v>8</v>
      </c>
      <c r="S70">
        <v>18</v>
      </c>
      <c r="T70">
        <v>4</v>
      </c>
      <c r="U70">
        <v>2</v>
      </c>
      <c r="V70">
        <v>4</v>
      </c>
      <c r="W70">
        <v>0</v>
      </c>
      <c r="X70">
        <v>110</v>
      </c>
      <c r="Y70">
        <v>18337</v>
      </c>
    </row>
    <row r="71" spans="1:25" x14ac:dyDescent="0.3">
      <c r="A71" t="s">
        <v>120</v>
      </c>
      <c r="B71" t="s">
        <v>26</v>
      </c>
      <c r="C71">
        <v>9</v>
      </c>
      <c r="D71">
        <v>7</v>
      </c>
      <c r="E71">
        <v>3.33</v>
      </c>
      <c r="F71">
        <v>26</v>
      </c>
      <c r="G71">
        <v>26</v>
      </c>
      <c r="H71">
        <v>0</v>
      </c>
      <c r="I71">
        <v>0</v>
      </c>
      <c r="J71">
        <v>0</v>
      </c>
      <c r="K71">
        <v>0</v>
      </c>
      <c r="L71">
        <v>0</v>
      </c>
      <c r="M71">
        <v>140.19999999999999</v>
      </c>
      <c r="N71">
        <v>568</v>
      </c>
      <c r="O71">
        <v>107</v>
      </c>
      <c r="P71">
        <v>58</v>
      </c>
      <c r="Q71">
        <v>52</v>
      </c>
      <c r="R71">
        <v>23</v>
      </c>
      <c r="S71">
        <v>31</v>
      </c>
      <c r="T71">
        <v>1</v>
      </c>
      <c r="U71">
        <v>6</v>
      </c>
      <c r="V71">
        <v>1</v>
      </c>
      <c r="W71">
        <v>1</v>
      </c>
      <c r="X71">
        <v>153</v>
      </c>
      <c r="Y71">
        <v>20099</v>
      </c>
    </row>
    <row r="72" spans="1:25" x14ac:dyDescent="0.3">
      <c r="A72" t="s">
        <v>121</v>
      </c>
      <c r="B72" t="s">
        <v>50</v>
      </c>
      <c r="C72">
        <v>16</v>
      </c>
      <c r="D72">
        <v>7</v>
      </c>
      <c r="E72">
        <v>3.35</v>
      </c>
      <c r="F72">
        <v>33</v>
      </c>
      <c r="G72">
        <v>32</v>
      </c>
      <c r="H72">
        <v>0</v>
      </c>
      <c r="I72">
        <v>0</v>
      </c>
      <c r="J72">
        <v>1</v>
      </c>
      <c r="K72">
        <v>0</v>
      </c>
      <c r="L72">
        <v>0</v>
      </c>
      <c r="M72">
        <v>174.2</v>
      </c>
      <c r="N72">
        <v>757</v>
      </c>
      <c r="O72">
        <v>160</v>
      </c>
      <c r="P72">
        <v>80</v>
      </c>
      <c r="Q72">
        <v>65</v>
      </c>
      <c r="R72">
        <v>22</v>
      </c>
      <c r="S72">
        <v>86</v>
      </c>
      <c r="T72">
        <v>8</v>
      </c>
      <c r="U72">
        <v>9</v>
      </c>
      <c r="V72">
        <v>5</v>
      </c>
      <c r="W72">
        <v>0</v>
      </c>
      <c r="X72">
        <v>136</v>
      </c>
      <c r="Y72">
        <v>19206</v>
      </c>
    </row>
    <row r="73" spans="1:25" x14ac:dyDescent="0.3">
      <c r="A73" t="s">
        <v>122</v>
      </c>
      <c r="B73" t="s">
        <v>95</v>
      </c>
      <c r="C73">
        <v>3</v>
      </c>
      <c r="D73">
        <v>4</v>
      </c>
      <c r="E73">
        <v>3.36</v>
      </c>
      <c r="F73">
        <v>67</v>
      </c>
      <c r="G73">
        <v>1</v>
      </c>
      <c r="H73">
        <v>0</v>
      </c>
      <c r="I73">
        <v>0</v>
      </c>
      <c r="J73">
        <v>1</v>
      </c>
      <c r="K73">
        <v>16</v>
      </c>
      <c r="L73">
        <v>2</v>
      </c>
      <c r="M73">
        <v>59</v>
      </c>
      <c r="N73">
        <v>255</v>
      </c>
      <c r="O73">
        <v>66</v>
      </c>
      <c r="P73">
        <v>25</v>
      </c>
      <c r="Q73">
        <v>22</v>
      </c>
      <c r="R73">
        <v>8</v>
      </c>
      <c r="S73">
        <v>18</v>
      </c>
      <c r="T73">
        <v>4</v>
      </c>
      <c r="U73">
        <v>1</v>
      </c>
      <c r="V73">
        <v>3</v>
      </c>
      <c r="W73">
        <v>0</v>
      </c>
      <c r="X73">
        <v>51</v>
      </c>
      <c r="Y73">
        <v>5358</v>
      </c>
    </row>
    <row r="74" spans="1:25" x14ac:dyDescent="0.3">
      <c r="A74" t="s">
        <v>123</v>
      </c>
      <c r="B74" t="s">
        <v>48</v>
      </c>
      <c r="C74">
        <v>1</v>
      </c>
      <c r="D74">
        <v>3</v>
      </c>
      <c r="E74">
        <v>3.4</v>
      </c>
      <c r="F74">
        <v>58</v>
      </c>
      <c r="G74">
        <v>0</v>
      </c>
      <c r="H74">
        <v>0</v>
      </c>
      <c r="I74">
        <v>0</v>
      </c>
      <c r="J74">
        <v>4</v>
      </c>
      <c r="K74">
        <v>18</v>
      </c>
      <c r="L74">
        <v>2</v>
      </c>
      <c r="M74">
        <v>55.2</v>
      </c>
      <c r="N74">
        <v>216</v>
      </c>
      <c r="O74">
        <v>52</v>
      </c>
      <c r="P74">
        <v>23</v>
      </c>
      <c r="Q74">
        <v>21</v>
      </c>
      <c r="R74">
        <v>9</v>
      </c>
      <c r="S74">
        <v>5</v>
      </c>
      <c r="T74">
        <v>0</v>
      </c>
      <c r="U74">
        <v>0</v>
      </c>
      <c r="V74">
        <v>0</v>
      </c>
      <c r="W74">
        <v>0</v>
      </c>
      <c r="X74">
        <v>65</v>
      </c>
      <c r="Y74">
        <v>11847</v>
      </c>
    </row>
    <row r="75" spans="1:25" x14ac:dyDescent="0.3">
      <c r="A75" t="s">
        <v>124</v>
      </c>
      <c r="B75" t="s">
        <v>89</v>
      </c>
      <c r="C75">
        <v>15</v>
      </c>
      <c r="D75">
        <v>8</v>
      </c>
      <c r="E75">
        <v>3.4</v>
      </c>
      <c r="F75">
        <v>32</v>
      </c>
      <c r="G75">
        <v>32</v>
      </c>
      <c r="H75">
        <v>0</v>
      </c>
      <c r="I75">
        <v>0</v>
      </c>
      <c r="J75">
        <v>0</v>
      </c>
      <c r="K75">
        <v>0</v>
      </c>
      <c r="L75">
        <v>0</v>
      </c>
      <c r="M75">
        <v>190.2</v>
      </c>
      <c r="N75">
        <v>781</v>
      </c>
      <c r="O75">
        <v>139</v>
      </c>
      <c r="P75">
        <v>76</v>
      </c>
      <c r="Q75">
        <v>72</v>
      </c>
      <c r="R75">
        <v>22</v>
      </c>
      <c r="S75">
        <v>79</v>
      </c>
      <c r="T75">
        <v>0</v>
      </c>
      <c r="U75">
        <v>7</v>
      </c>
      <c r="V75">
        <v>5</v>
      </c>
      <c r="W75">
        <v>3</v>
      </c>
      <c r="X75">
        <v>226</v>
      </c>
      <c r="Y75">
        <v>15689</v>
      </c>
    </row>
    <row r="76" spans="1:25" x14ac:dyDescent="0.3">
      <c r="A76" t="s">
        <v>125</v>
      </c>
      <c r="B76" t="s">
        <v>32</v>
      </c>
      <c r="C76">
        <v>5</v>
      </c>
      <c r="D76">
        <v>8</v>
      </c>
      <c r="E76">
        <v>3.41</v>
      </c>
      <c r="F76">
        <v>65</v>
      </c>
      <c r="G76">
        <v>6</v>
      </c>
      <c r="H76">
        <v>0</v>
      </c>
      <c r="I76">
        <v>0</v>
      </c>
      <c r="J76">
        <v>8</v>
      </c>
      <c r="K76">
        <v>17</v>
      </c>
      <c r="L76">
        <v>2</v>
      </c>
      <c r="M76">
        <v>68.2</v>
      </c>
      <c r="N76">
        <v>290</v>
      </c>
      <c r="O76">
        <v>59</v>
      </c>
      <c r="P76">
        <v>32</v>
      </c>
      <c r="Q76">
        <v>26</v>
      </c>
      <c r="R76">
        <v>8</v>
      </c>
      <c r="S76">
        <v>26</v>
      </c>
      <c r="T76">
        <v>4</v>
      </c>
      <c r="U76">
        <v>5</v>
      </c>
      <c r="V76">
        <v>5</v>
      </c>
      <c r="W76">
        <v>0</v>
      </c>
      <c r="X76">
        <v>81</v>
      </c>
      <c r="Y76">
        <v>17496</v>
      </c>
    </row>
    <row r="77" spans="1:25" x14ac:dyDescent="0.3">
      <c r="A77" t="s">
        <v>126</v>
      </c>
      <c r="B77" t="s">
        <v>127</v>
      </c>
      <c r="C77">
        <v>3</v>
      </c>
      <c r="D77">
        <v>2</v>
      </c>
      <c r="E77">
        <v>3.41</v>
      </c>
      <c r="F77">
        <v>63</v>
      </c>
      <c r="G77">
        <v>0</v>
      </c>
      <c r="H77">
        <v>0</v>
      </c>
      <c r="I77">
        <v>0</v>
      </c>
      <c r="J77">
        <v>30</v>
      </c>
      <c r="K77">
        <v>1</v>
      </c>
      <c r="L77">
        <v>4</v>
      </c>
      <c r="M77">
        <v>63.1</v>
      </c>
      <c r="N77">
        <v>266</v>
      </c>
      <c r="O77">
        <v>64</v>
      </c>
      <c r="P77">
        <v>24</v>
      </c>
      <c r="Q77">
        <v>24</v>
      </c>
      <c r="R77">
        <v>6</v>
      </c>
      <c r="S77">
        <v>17</v>
      </c>
      <c r="T77">
        <v>1</v>
      </c>
      <c r="U77">
        <v>1</v>
      </c>
      <c r="V77">
        <v>3</v>
      </c>
      <c r="W77">
        <v>0</v>
      </c>
      <c r="X77">
        <v>73</v>
      </c>
      <c r="Y77">
        <v>6986</v>
      </c>
    </row>
    <row r="78" spans="1:25" x14ac:dyDescent="0.3">
      <c r="A78" t="s">
        <v>128</v>
      </c>
      <c r="B78" t="s">
        <v>98</v>
      </c>
      <c r="C78">
        <v>2</v>
      </c>
      <c r="D78">
        <v>7</v>
      </c>
      <c r="E78">
        <v>3.41</v>
      </c>
      <c r="F78">
        <v>70</v>
      </c>
      <c r="G78">
        <v>0</v>
      </c>
      <c r="H78">
        <v>0</v>
      </c>
      <c r="I78">
        <v>0</v>
      </c>
      <c r="J78">
        <v>1</v>
      </c>
      <c r="K78">
        <v>21</v>
      </c>
      <c r="L78">
        <v>3</v>
      </c>
      <c r="M78">
        <v>60.2</v>
      </c>
      <c r="N78">
        <v>246</v>
      </c>
      <c r="O78">
        <v>52</v>
      </c>
      <c r="P78">
        <v>27</v>
      </c>
      <c r="Q78">
        <v>23</v>
      </c>
      <c r="R78">
        <v>11</v>
      </c>
      <c r="S78">
        <v>17</v>
      </c>
      <c r="T78">
        <v>2</v>
      </c>
      <c r="U78">
        <v>0</v>
      </c>
      <c r="V78">
        <v>1</v>
      </c>
      <c r="W78">
        <v>0</v>
      </c>
      <c r="X78">
        <v>42</v>
      </c>
      <c r="Y78">
        <v>17181</v>
      </c>
    </row>
    <row r="79" spans="1:25" x14ac:dyDescent="0.3">
      <c r="A79" t="s">
        <v>129</v>
      </c>
      <c r="B79" t="s">
        <v>43</v>
      </c>
      <c r="C79">
        <v>14</v>
      </c>
      <c r="D79">
        <v>9</v>
      </c>
      <c r="E79">
        <v>3.41</v>
      </c>
      <c r="F79">
        <v>29</v>
      </c>
      <c r="G79">
        <v>29</v>
      </c>
      <c r="H79">
        <v>3</v>
      </c>
      <c r="I79">
        <v>2</v>
      </c>
      <c r="J79">
        <v>0</v>
      </c>
      <c r="K79">
        <v>0</v>
      </c>
      <c r="L79">
        <v>0</v>
      </c>
      <c r="M79">
        <v>176.2</v>
      </c>
      <c r="N79">
        <v>705</v>
      </c>
      <c r="O79">
        <v>131</v>
      </c>
      <c r="P79">
        <v>69</v>
      </c>
      <c r="Q79">
        <v>67</v>
      </c>
      <c r="R79">
        <v>24</v>
      </c>
      <c r="S79">
        <v>57</v>
      </c>
      <c r="T79">
        <v>1</v>
      </c>
      <c r="U79">
        <v>4</v>
      </c>
      <c r="V79">
        <v>6</v>
      </c>
      <c r="W79">
        <v>0</v>
      </c>
      <c r="X79">
        <v>228</v>
      </c>
      <c r="Y79">
        <v>15474</v>
      </c>
    </row>
    <row r="80" spans="1:25" x14ac:dyDescent="0.3">
      <c r="A80" t="s">
        <v>130</v>
      </c>
      <c r="B80" t="s">
        <v>48</v>
      </c>
      <c r="C80">
        <v>2</v>
      </c>
      <c r="D80">
        <v>1</v>
      </c>
      <c r="E80">
        <v>3.43</v>
      </c>
      <c r="F80">
        <v>65</v>
      </c>
      <c r="G80">
        <v>0</v>
      </c>
      <c r="H80">
        <v>0</v>
      </c>
      <c r="I80">
        <v>0</v>
      </c>
      <c r="J80">
        <v>20</v>
      </c>
      <c r="K80">
        <v>17</v>
      </c>
      <c r="L80">
        <v>3</v>
      </c>
      <c r="M80">
        <v>60.1</v>
      </c>
      <c r="N80">
        <v>249</v>
      </c>
      <c r="O80">
        <v>50</v>
      </c>
      <c r="P80">
        <v>27</v>
      </c>
      <c r="Q80">
        <v>23</v>
      </c>
      <c r="R80">
        <v>7</v>
      </c>
      <c r="S80">
        <v>17</v>
      </c>
      <c r="T80">
        <v>3</v>
      </c>
      <c r="U80">
        <v>2</v>
      </c>
      <c r="V80">
        <v>3</v>
      </c>
      <c r="W80">
        <v>1</v>
      </c>
      <c r="X80">
        <v>60</v>
      </c>
      <c r="Y80">
        <v>9817</v>
      </c>
    </row>
    <row r="81" spans="1:25" x14ac:dyDescent="0.3">
      <c r="A81" t="s">
        <v>131</v>
      </c>
      <c r="B81" t="s">
        <v>77</v>
      </c>
      <c r="C81">
        <v>11</v>
      </c>
      <c r="D81">
        <v>10</v>
      </c>
      <c r="E81">
        <v>3.46</v>
      </c>
      <c r="F81">
        <v>30</v>
      </c>
      <c r="G81">
        <v>30</v>
      </c>
      <c r="H81">
        <v>1</v>
      </c>
      <c r="I81">
        <v>1</v>
      </c>
      <c r="J81">
        <v>0</v>
      </c>
      <c r="K81">
        <v>0</v>
      </c>
      <c r="L81">
        <v>0</v>
      </c>
      <c r="M81">
        <v>177</v>
      </c>
      <c r="N81">
        <v>730</v>
      </c>
      <c r="O81">
        <v>168</v>
      </c>
      <c r="P81">
        <v>78</v>
      </c>
      <c r="Q81">
        <v>68</v>
      </c>
      <c r="R81">
        <v>19</v>
      </c>
      <c r="S81">
        <v>32</v>
      </c>
      <c r="T81">
        <v>1</v>
      </c>
      <c r="U81">
        <v>9</v>
      </c>
      <c r="V81">
        <v>1</v>
      </c>
      <c r="W81">
        <v>0</v>
      </c>
      <c r="X81">
        <v>150</v>
      </c>
      <c r="Y81">
        <v>12049</v>
      </c>
    </row>
    <row r="82" spans="1:25" x14ac:dyDescent="0.3">
      <c r="A82" t="s">
        <v>132</v>
      </c>
      <c r="B82" t="s">
        <v>30</v>
      </c>
      <c r="C82">
        <v>5</v>
      </c>
      <c r="D82">
        <v>3</v>
      </c>
      <c r="E82">
        <v>3.47</v>
      </c>
      <c r="F82">
        <v>69</v>
      </c>
      <c r="G82">
        <v>0</v>
      </c>
      <c r="H82">
        <v>0</v>
      </c>
      <c r="I82">
        <v>0</v>
      </c>
      <c r="J82">
        <v>0</v>
      </c>
      <c r="K82">
        <v>12</v>
      </c>
      <c r="L82">
        <v>4</v>
      </c>
      <c r="M82">
        <v>70</v>
      </c>
      <c r="N82">
        <v>301</v>
      </c>
      <c r="O82">
        <v>60</v>
      </c>
      <c r="P82">
        <v>32</v>
      </c>
      <c r="Q82">
        <v>27</v>
      </c>
      <c r="R82">
        <v>8</v>
      </c>
      <c r="S82">
        <v>35</v>
      </c>
      <c r="T82">
        <v>1</v>
      </c>
      <c r="U82">
        <v>3</v>
      </c>
      <c r="V82">
        <v>1</v>
      </c>
      <c r="W82">
        <v>0</v>
      </c>
      <c r="X82">
        <v>63</v>
      </c>
      <c r="Y82">
        <v>3201</v>
      </c>
    </row>
    <row r="83" spans="1:25" x14ac:dyDescent="0.3">
      <c r="A83" t="s">
        <v>133</v>
      </c>
      <c r="B83" t="s">
        <v>53</v>
      </c>
      <c r="C83">
        <v>4</v>
      </c>
      <c r="D83">
        <v>4</v>
      </c>
      <c r="E83">
        <v>3.47</v>
      </c>
      <c r="F83">
        <v>32</v>
      </c>
      <c r="G83">
        <v>15</v>
      </c>
      <c r="H83">
        <v>0</v>
      </c>
      <c r="I83">
        <v>0</v>
      </c>
      <c r="J83">
        <v>0</v>
      </c>
      <c r="K83">
        <v>3</v>
      </c>
      <c r="L83">
        <v>0</v>
      </c>
      <c r="M83">
        <v>90.2</v>
      </c>
      <c r="N83">
        <v>370</v>
      </c>
      <c r="O83">
        <v>84</v>
      </c>
      <c r="P83">
        <v>40</v>
      </c>
      <c r="Q83">
        <v>35</v>
      </c>
      <c r="R83">
        <v>11</v>
      </c>
      <c r="S83">
        <v>20</v>
      </c>
      <c r="T83">
        <v>0</v>
      </c>
      <c r="U83">
        <v>2</v>
      </c>
      <c r="V83">
        <v>4</v>
      </c>
      <c r="W83">
        <v>0</v>
      </c>
      <c r="X83">
        <v>93</v>
      </c>
      <c r="Y83">
        <v>13273</v>
      </c>
    </row>
    <row r="84" spans="1:25" x14ac:dyDescent="0.3">
      <c r="A84" t="s">
        <v>134</v>
      </c>
      <c r="B84" t="s">
        <v>71</v>
      </c>
      <c r="C84">
        <v>3</v>
      </c>
      <c r="D84">
        <v>2</v>
      </c>
      <c r="E84">
        <v>3.5</v>
      </c>
      <c r="F84">
        <v>19</v>
      </c>
      <c r="G84">
        <v>17</v>
      </c>
      <c r="H84">
        <v>0</v>
      </c>
      <c r="I84">
        <v>0</v>
      </c>
      <c r="J84">
        <v>0</v>
      </c>
      <c r="K84">
        <v>0</v>
      </c>
      <c r="L84">
        <v>0</v>
      </c>
      <c r="M84">
        <v>87.1</v>
      </c>
      <c r="N84">
        <v>366</v>
      </c>
      <c r="O84">
        <v>76</v>
      </c>
      <c r="P84">
        <v>36</v>
      </c>
      <c r="Q84">
        <v>34</v>
      </c>
      <c r="R84">
        <v>9</v>
      </c>
      <c r="S84">
        <v>37</v>
      </c>
      <c r="T84">
        <v>0</v>
      </c>
      <c r="U84">
        <v>0</v>
      </c>
      <c r="V84">
        <v>5</v>
      </c>
      <c r="W84">
        <v>0</v>
      </c>
      <c r="X84">
        <v>78</v>
      </c>
      <c r="Y84">
        <v>7448</v>
      </c>
    </row>
    <row r="85" spans="1:25" x14ac:dyDescent="0.3">
      <c r="A85" t="s">
        <v>135</v>
      </c>
      <c r="B85" t="s">
        <v>66</v>
      </c>
      <c r="C85">
        <v>15</v>
      </c>
      <c r="D85">
        <v>7</v>
      </c>
      <c r="E85">
        <v>3.51</v>
      </c>
      <c r="F85">
        <v>30</v>
      </c>
      <c r="G85">
        <v>30</v>
      </c>
      <c r="H85">
        <v>0</v>
      </c>
      <c r="I85">
        <v>0</v>
      </c>
      <c r="J85">
        <v>0</v>
      </c>
      <c r="K85">
        <v>0</v>
      </c>
      <c r="L85">
        <v>0</v>
      </c>
      <c r="M85">
        <v>159</v>
      </c>
      <c r="N85">
        <v>658</v>
      </c>
      <c r="O85">
        <v>139</v>
      </c>
      <c r="P85">
        <v>65</v>
      </c>
      <c r="Q85">
        <v>62</v>
      </c>
      <c r="R85">
        <v>16</v>
      </c>
      <c r="S85">
        <v>53</v>
      </c>
      <c r="T85">
        <v>0</v>
      </c>
      <c r="U85">
        <v>4</v>
      </c>
      <c r="V85">
        <v>4</v>
      </c>
      <c r="W85">
        <v>0</v>
      </c>
      <c r="X85">
        <v>178</v>
      </c>
      <c r="Y85">
        <v>6397</v>
      </c>
    </row>
    <row r="86" spans="1:25" x14ac:dyDescent="0.3">
      <c r="A86" t="s">
        <v>136</v>
      </c>
      <c r="B86" t="s">
        <v>98</v>
      </c>
      <c r="C86">
        <v>4</v>
      </c>
      <c r="D86">
        <v>5</v>
      </c>
      <c r="E86">
        <v>3.52</v>
      </c>
      <c r="F86">
        <v>66</v>
      </c>
      <c r="G86">
        <v>1</v>
      </c>
      <c r="H86">
        <v>0</v>
      </c>
      <c r="I86">
        <v>0</v>
      </c>
      <c r="J86">
        <v>18</v>
      </c>
      <c r="K86">
        <v>7</v>
      </c>
      <c r="L86">
        <v>3</v>
      </c>
      <c r="M86">
        <v>71.2</v>
      </c>
      <c r="N86">
        <v>317</v>
      </c>
      <c r="O86">
        <v>67</v>
      </c>
      <c r="P86">
        <v>30</v>
      </c>
      <c r="Q86">
        <v>28</v>
      </c>
      <c r="R86">
        <v>5</v>
      </c>
      <c r="S86">
        <v>36</v>
      </c>
      <c r="T86">
        <v>2</v>
      </c>
      <c r="U86">
        <v>5</v>
      </c>
      <c r="V86">
        <v>0</v>
      </c>
      <c r="W86">
        <v>0</v>
      </c>
      <c r="X86">
        <v>87</v>
      </c>
      <c r="Y86">
        <v>12918</v>
      </c>
    </row>
    <row r="87" spans="1:25" x14ac:dyDescent="0.3">
      <c r="A87" t="s">
        <v>137</v>
      </c>
      <c r="B87" t="s">
        <v>83</v>
      </c>
      <c r="C87">
        <v>11</v>
      </c>
      <c r="D87">
        <v>12</v>
      </c>
      <c r="E87">
        <v>3.52</v>
      </c>
      <c r="F87">
        <v>32</v>
      </c>
      <c r="G87">
        <v>32</v>
      </c>
      <c r="H87">
        <v>0</v>
      </c>
      <c r="I87">
        <v>0</v>
      </c>
      <c r="J87">
        <v>0</v>
      </c>
      <c r="K87">
        <v>0</v>
      </c>
      <c r="L87">
        <v>0</v>
      </c>
      <c r="M87">
        <v>181.1</v>
      </c>
      <c r="N87">
        <v>740</v>
      </c>
      <c r="O87">
        <v>152</v>
      </c>
      <c r="P87">
        <v>78</v>
      </c>
      <c r="Q87">
        <v>71</v>
      </c>
      <c r="R87">
        <v>28</v>
      </c>
      <c r="S87">
        <v>49</v>
      </c>
      <c r="T87">
        <v>4</v>
      </c>
      <c r="U87">
        <v>6</v>
      </c>
      <c r="V87">
        <v>5</v>
      </c>
      <c r="W87">
        <v>0</v>
      </c>
      <c r="X87">
        <v>140</v>
      </c>
      <c r="Y87">
        <v>3254</v>
      </c>
    </row>
    <row r="88" spans="1:25" x14ac:dyDescent="0.3">
      <c r="A88" t="s">
        <v>138</v>
      </c>
      <c r="B88" t="s">
        <v>77</v>
      </c>
      <c r="C88">
        <v>4</v>
      </c>
      <c r="D88">
        <v>2</v>
      </c>
      <c r="E88">
        <v>3.54</v>
      </c>
      <c r="F88">
        <v>73</v>
      </c>
      <c r="G88">
        <v>0</v>
      </c>
      <c r="H88">
        <v>0</v>
      </c>
      <c r="I88">
        <v>0</v>
      </c>
      <c r="J88">
        <v>0</v>
      </c>
      <c r="K88">
        <v>14</v>
      </c>
      <c r="L88">
        <v>2</v>
      </c>
      <c r="M88">
        <v>61</v>
      </c>
      <c r="N88">
        <v>260</v>
      </c>
      <c r="O88">
        <v>55</v>
      </c>
      <c r="P88">
        <v>26</v>
      </c>
      <c r="Q88">
        <v>24</v>
      </c>
      <c r="R88">
        <v>5</v>
      </c>
      <c r="S88">
        <v>29</v>
      </c>
      <c r="T88">
        <v>2</v>
      </c>
      <c r="U88">
        <v>1</v>
      </c>
      <c r="V88">
        <v>1</v>
      </c>
      <c r="W88">
        <v>0</v>
      </c>
      <c r="X88">
        <v>58</v>
      </c>
      <c r="Y88">
        <v>11753</v>
      </c>
    </row>
    <row r="89" spans="1:25" x14ac:dyDescent="0.3">
      <c r="A89" t="s">
        <v>139</v>
      </c>
      <c r="B89" t="s">
        <v>71</v>
      </c>
      <c r="C89">
        <v>9</v>
      </c>
      <c r="D89">
        <v>5</v>
      </c>
      <c r="E89">
        <v>3.55</v>
      </c>
      <c r="F89">
        <v>72</v>
      </c>
      <c r="G89">
        <v>0</v>
      </c>
      <c r="H89">
        <v>0</v>
      </c>
      <c r="I89">
        <v>0</v>
      </c>
      <c r="J89">
        <v>3</v>
      </c>
      <c r="K89">
        <v>20</v>
      </c>
      <c r="L89">
        <v>8</v>
      </c>
      <c r="M89">
        <v>83.2</v>
      </c>
      <c r="N89">
        <v>344</v>
      </c>
      <c r="O89">
        <v>58</v>
      </c>
      <c r="P89">
        <v>35</v>
      </c>
      <c r="Q89">
        <v>33</v>
      </c>
      <c r="R89">
        <v>11</v>
      </c>
      <c r="S89">
        <v>36</v>
      </c>
      <c r="T89">
        <v>2</v>
      </c>
      <c r="U89">
        <v>4</v>
      </c>
      <c r="V89">
        <v>5</v>
      </c>
      <c r="W89">
        <v>0</v>
      </c>
      <c r="X89">
        <v>77</v>
      </c>
      <c r="Y89">
        <v>5702</v>
      </c>
    </row>
    <row r="90" spans="1:25" x14ac:dyDescent="0.3">
      <c r="A90" t="s">
        <v>140</v>
      </c>
      <c r="B90" t="s">
        <v>71</v>
      </c>
      <c r="C90">
        <v>10</v>
      </c>
      <c r="D90">
        <v>7</v>
      </c>
      <c r="E90">
        <v>3.55</v>
      </c>
      <c r="F90">
        <v>31</v>
      </c>
      <c r="G90">
        <v>31</v>
      </c>
      <c r="H90">
        <v>0</v>
      </c>
      <c r="I90">
        <v>0</v>
      </c>
      <c r="J90">
        <v>0</v>
      </c>
      <c r="K90">
        <v>0</v>
      </c>
      <c r="L90">
        <v>0</v>
      </c>
      <c r="M90">
        <v>159.19999999999999</v>
      </c>
      <c r="N90">
        <v>672</v>
      </c>
      <c r="O90">
        <v>155</v>
      </c>
      <c r="P90">
        <v>73</v>
      </c>
      <c r="Q90">
        <v>63</v>
      </c>
      <c r="R90">
        <v>20</v>
      </c>
      <c r="S90">
        <v>51</v>
      </c>
      <c r="T90">
        <v>0</v>
      </c>
      <c r="U90">
        <v>2</v>
      </c>
      <c r="V90">
        <v>4</v>
      </c>
      <c r="W90">
        <v>0</v>
      </c>
      <c r="X90">
        <v>102</v>
      </c>
      <c r="Y90">
        <v>13183</v>
      </c>
    </row>
    <row r="91" spans="1:25" x14ac:dyDescent="0.3">
      <c r="A91" t="s">
        <v>141</v>
      </c>
      <c r="B91" t="s">
        <v>98</v>
      </c>
      <c r="C91">
        <v>7</v>
      </c>
      <c r="D91">
        <v>5</v>
      </c>
      <c r="E91">
        <v>3.56</v>
      </c>
      <c r="F91">
        <v>17</v>
      </c>
      <c r="G91">
        <v>15</v>
      </c>
      <c r="H91">
        <v>0</v>
      </c>
      <c r="I91">
        <v>0</v>
      </c>
      <c r="J91">
        <v>0</v>
      </c>
      <c r="K91">
        <v>0</v>
      </c>
      <c r="L91">
        <v>0</v>
      </c>
      <c r="M91">
        <v>83.1</v>
      </c>
      <c r="N91">
        <v>349</v>
      </c>
      <c r="O91">
        <v>72</v>
      </c>
      <c r="P91">
        <v>40</v>
      </c>
      <c r="Q91">
        <v>33</v>
      </c>
      <c r="R91">
        <v>14</v>
      </c>
      <c r="S91">
        <v>27</v>
      </c>
      <c r="T91">
        <v>4</v>
      </c>
      <c r="U91">
        <v>4</v>
      </c>
      <c r="V91">
        <v>2</v>
      </c>
      <c r="W91">
        <v>0</v>
      </c>
      <c r="X91">
        <v>71</v>
      </c>
      <c r="Y91">
        <v>18333</v>
      </c>
    </row>
    <row r="92" spans="1:25" x14ac:dyDescent="0.3">
      <c r="A92" t="s">
        <v>142</v>
      </c>
      <c r="B92" t="s">
        <v>143</v>
      </c>
      <c r="C92">
        <v>14</v>
      </c>
      <c r="D92">
        <v>10</v>
      </c>
      <c r="E92">
        <v>3.59</v>
      </c>
      <c r="F92">
        <v>32</v>
      </c>
      <c r="G92">
        <v>32</v>
      </c>
      <c r="H92">
        <v>2</v>
      </c>
      <c r="I92">
        <v>1</v>
      </c>
      <c r="J92">
        <v>0</v>
      </c>
      <c r="K92">
        <v>0</v>
      </c>
      <c r="L92">
        <v>0</v>
      </c>
      <c r="M92">
        <v>208.1</v>
      </c>
      <c r="N92">
        <v>863</v>
      </c>
      <c r="O92">
        <v>190</v>
      </c>
      <c r="P92">
        <v>86</v>
      </c>
      <c r="Q92">
        <v>83</v>
      </c>
      <c r="R92">
        <v>30</v>
      </c>
      <c r="S92">
        <v>68</v>
      </c>
      <c r="T92">
        <v>1</v>
      </c>
      <c r="U92">
        <v>7</v>
      </c>
      <c r="V92">
        <v>2</v>
      </c>
      <c r="W92">
        <v>0</v>
      </c>
      <c r="X92">
        <v>200</v>
      </c>
      <c r="Y92">
        <v>10021</v>
      </c>
    </row>
    <row r="93" spans="1:25" x14ac:dyDescent="0.3">
      <c r="A93" t="s">
        <v>144</v>
      </c>
      <c r="B93" t="s">
        <v>50</v>
      </c>
      <c r="C93">
        <v>3</v>
      </c>
      <c r="D93">
        <v>4</v>
      </c>
      <c r="E93">
        <v>3.59</v>
      </c>
      <c r="F93">
        <v>66</v>
      </c>
      <c r="G93">
        <v>0</v>
      </c>
      <c r="H93">
        <v>0</v>
      </c>
      <c r="I93">
        <v>0</v>
      </c>
      <c r="J93">
        <v>0</v>
      </c>
      <c r="K93">
        <v>12</v>
      </c>
      <c r="L93">
        <v>1</v>
      </c>
      <c r="M93">
        <v>72.2</v>
      </c>
      <c r="N93">
        <v>304</v>
      </c>
      <c r="O93">
        <v>59</v>
      </c>
      <c r="P93">
        <v>31</v>
      </c>
      <c r="Q93">
        <v>29</v>
      </c>
      <c r="R93">
        <v>6</v>
      </c>
      <c r="S93">
        <v>27</v>
      </c>
      <c r="T93">
        <v>2</v>
      </c>
      <c r="U93">
        <v>3</v>
      </c>
      <c r="V93">
        <v>0</v>
      </c>
      <c r="W93">
        <v>0</v>
      </c>
      <c r="X93">
        <v>87</v>
      </c>
      <c r="Y93">
        <v>12777</v>
      </c>
    </row>
    <row r="94" spans="1:25" x14ac:dyDescent="0.3">
      <c r="A94" t="s">
        <v>145</v>
      </c>
      <c r="B94" t="s">
        <v>146</v>
      </c>
      <c r="C94">
        <v>12</v>
      </c>
      <c r="D94">
        <v>11</v>
      </c>
      <c r="E94">
        <v>3.6</v>
      </c>
      <c r="F94">
        <v>31</v>
      </c>
      <c r="G94">
        <v>27</v>
      </c>
      <c r="H94">
        <v>0</v>
      </c>
      <c r="I94">
        <v>0</v>
      </c>
      <c r="J94">
        <v>0</v>
      </c>
      <c r="K94">
        <v>0</v>
      </c>
      <c r="L94">
        <v>0</v>
      </c>
      <c r="M94">
        <v>155</v>
      </c>
      <c r="N94">
        <v>637</v>
      </c>
      <c r="O94">
        <v>138</v>
      </c>
      <c r="P94">
        <v>68</v>
      </c>
      <c r="Q94">
        <v>62</v>
      </c>
      <c r="R94">
        <v>23</v>
      </c>
      <c r="S94">
        <v>38</v>
      </c>
      <c r="T94">
        <v>0</v>
      </c>
      <c r="U94">
        <v>5</v>
      </c>
      <c r="V94">
        <v>5</v>
      </c>
      <c r="W94">
        <v>0</v>
      </c>
      <c r="X94">
        <v>121</v>
      </c>
      <c r="Y94">
        <v>16269</v>
      </c>
    </row>
    <row r="95" spans="1:25" x14ac:dyDescent="0.3">
      <c r="A95" t="s">
        <v>147</v>
      </c>
      <c r="B95" t="s">
        <v>48</v>
      </c>
      <c r="C95">
        <v>5</v>
      </c>
      <c r="D95">
        <v>2</v>
      </c>
      <c r="E95">
        <v>3.61</v>
      </c>
      <c r="F95">
        <v>66</v>
      </c>
      <c r="G95">
        <v>0</v>
      </c>
      <c r="H95">
        <v>0</v>
      </c>
      <c r="I95">
        <v>0</v>
      </c>
      <c r="J95">
        <v>12</v>
      </c>
      <c r="K95">
        <v>5</v>
      </c>
      <c r="L95">
        <v>0</v>
      </c>
      <c r="M95">
        <v>67.099999999999994</v>
      </c>
      <c r="N95">
        <v>284</v>
      </c>
      <c r="O95">
        <v>71</v>
      </c>
      <c r="P95">
        <v>28</v>
      </c>
      <c r="Q95">
        <v>27</v>
      </c>
      <c r="R95">
        <v>4</v>
      </c>
      <c r="S95">
        <v>18</v>
      </c>
      <c r="T95">
        <v>2</v>
      </c>
      <c r="U95">
        <v>2</v>
      </c>
      <c r="V95">
        <v>4</v>
      </c>
      <c r="W95">
        <v>0</v>
      </c>
      <c r="X95">
        <v>68</v>
      </c>
      <c r="Y95">
        <v>4264</v>
      </c>
    </row>
    <row r="96" spans="1:25" x14ac:dyDescent="0.3">
      <c r="A96" t="s">
        <v>148</v>
      </c>
      <c r="B96" t="s">
        <v>53</v>
      </c>
      <c r="C96">
        <v>1</v>
      </c>
      <c r="D96">
        <v>4</v>
      </c>
      <c r="E96">
        <v>3.61</v>
      </c>
      <c r="F96">
        <v>64</v>
      </c>
      <c r="G96">
        <v>0</v>
      </c>
      <c r="H96">
        <v>0</v>
      </c>
      <c r="I96">
        <v>0</v>
      </c>
      <c r="J96">
        <v>0</v>
      </c>
      <c r="K96">
        <v>4</v>
      </c>
      <c r="L96">
        <v>3</v>
      </c>
      <c r="M96">
        <v>62.1</v>
      </c>
      <c r="N96">
        <v>247</v>
      </c>
      <c r="O96">
        <v>40</v>
      </c>
      <c r="P96">
        <v>28</v>
      </c>
      <c r="Q96">
        <v>25</v>
      </c>
      <c r="R96">
        <v>15</v>
      </c>
      <c r="S96">
        <v>14</v>
      </c>
      <c r="T96">
        <v>2</v>
      </c>
      <c r="U96">
        <v>6</v>
      </c>
      <c r="V96">
        <v>1</v>
      </c>
      <c r="W96">
        <v>1</v>
      </c>
      <c r="X96">
        <v>66</v>
      </c>
      <c r="Y96">
        <v>12095</v>
      </c>
    </row>
    <row r="97" spans="1:25" x14ac:dyDescent="0.3">
      <c r="A97" t="s">
        <v>149</v>
      </c>
      <c r="B97" t="s">
        <v>71</v>
      </c>
      <c r="C97">
        <v>11</v>
      </c>
      <c r="D97">
        <v>3</v>
      </c>
      <c r="E97">
        <v>3.62</v>
      </c>
      <c r="F97">
        <v>22</v>
      </c>
      <c r="G97">
        <v>22</v>
      </c>
      <c r="H97">
        <v>0</v>
      </c>
      <c r="I97">
        <v>0</v>
      </c>
      <c r="J97">
        <v>0</v>
      </c>
      <c r="K97">
        <v>0</v>
      </c>
      <c r="L97">
        <v>0</v>
      </c>
      <c r="M97">
        <v>121.2</v>
      </c>
      <c r="N97">
        <v>493</v>
      </c>
      <c r="O97">
        <v>109</v>
      </c>
      <c r="P97">
        <v>49</v>
      </c>
      <c r="Q97">
        <v>49</v>
      </c>
      <c r="R97">
        <v>12</v>
      </c>
      <c r="S97">
        <v>30</v>
      </c>
      <c r="T97">
        <v>0</v>
      </c>
      <c r="U97">
        <v>5</v>
      </c>
      <c r="V97">
        <v>1</v>
      </c>
      <c r="W97">
        <v>1</v>
      </c>
      <c r="X97">
        <v>143</v>
      </c>
      <c r="Y97">
        <v>16162</v>
      </c>
    </row>
    <row r="98" spans="1:25" x14ac:dyDescent="0.3">
      <c r="A98" t="s">
        <v>150</v>
      </c>
      <c r="B98" t="s">
        <v>50</v>
      </c>
      <c r="C98">
        <v>11</v>
      </c>
      <c r="D98">
        <v>1</v>
      </c>
      <c r="E98">
        <v>3.66</v>
      </c>
      <c r="F98">
        <v>64</v>
      </c>
      <c r="G98">
        <v>0</v>
      </c>
      <c r="H98">
        <v>0</v>
      </c>
      <c r="I98">
        <v>0</v>
      </c>
      <c r="J98">
        <v>3</v>
      </c>
      <c r="K98">
        <v>18</v>
      </c>
      <c r="L98">
        <v>3</v>
      </c>
      <c r="M98">
        <v>66.099999999999994</v>
      </c>
      <c r="N98">
        <v>269</v>
      </c>
      <c r="O98">
        <v>51</v>
      </c>
      <c r="P98">
        <v>29</v>
      </c>
      <c r="Q98">
        <v>27</v>
      </c>
      <c r="R98">
        <v>4</v>
      </c>
      <c r="S98">
        <v>34</v>
      </c>
      <c r="T98">
        <v>1</v>
      </c>
      <c r="U98">
        <v>0</v>
      </c>
      <c r="V98">
        <v>1</v>
      </c>
      <c r="W98">
        <v>0</v>
      </c>
      <c r="X98">
        <v>60</v>
      </c>
      <c r="Y98">
        <v>13684</v>
      </c>
    </row>
    <row r="99" spans="1:25" x14ac:dyDescent="0.3">
      <c r="A99" t="s">
        <v>151</v>
      </c>
      <c r="B99" t="s">
        <v>40</v>
      </c>
      <c r="C99">
        <v>3</v>
      </c>
      <c r="D99">
        <v>2</v>
      </c>
      <c r="E99">
        <v>3.67</v>
      </c>
      <c r="F99">
        <v>72</v>
      </c>
      <c r="G99">
        <v>0</v>
      </c>
      <c r="H99">
        <v>0</v>
      </c>
      <c r="I99">
        <v>0</v>
      </c>
      <c r="J99">
        <v>0</v>
      </c>
      <c r="K99">
        <v>27</v>
      </c>
      <c r="L99">
        <v>5</v>
      </c>
      <c r="M99">
        <v>61.1</v>
      </c>
      <c r="N99">
        <v>248</v>
      </c>
      <c r="O99">
        <v>45</v>
      </c>
      <c r="P99">
        <v>27</v>
      </c>
      <c r="Q99">
        <v>25</v>
      </c>
      <c r="R99">
        <v>9</v>
      </c>
      <c r="S99">
        <v>20</v>
      </c>
      <c r="T99">
        <v>0</v>
      </c>
      <c r="U99">
        <v>2</v>
      </c>
      <c r="V99">
        <v>8</v>
      </c>
      <c r="W99">
        <v>0</v>
      </c>
      <c r="X99">
        <v>88</v>
      </c>
      <c r="Y99">
        <v>11384</v>
      </c>
    </row>
    <row r="100" spans="1:25" x14ac:dyDescent="0.3">
      <c r="A100" t="s">
        <v>152</v>
      </c>
      <c r="B100" t="s">
        <v>143</v>
      </c>
      <c r="C100">
        <v>16</v>
      </c>
      <c r="D100">
        <v>11</v>
      </c>
      <c r="E100">
        <v>3.67</v>
      </c>
      <c r="F100">
        <v>33</v>
      </c>
      <c r="G100">
        <v>33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208.1</v>
      </c>
      <c r="N100">
        <v>875</v>
      </c>
      <c r="O100">
        <v>195</v>
      </c>
      <c r="P100">
        <v>89</v>
      </c>
      <c r="Q100">
        <v>85</v>
      </c>
      <c r="R100">
        <v>21</v>
      </c>
      <c r="S100">
        <v>59</v>
      </c>
      <c r="T100">
        <v>0</v>
      </c>
      <c r="U100">
        <v>8</v>
      </c>
      <c r="V100">
        <v>18</v>
      </c>
      <c r="W100">
        <v>0</v>
      </c>
      <c r="X100">
        <v>246</v>
      </c>
      <c r="Y100">
        <v>2520</v>
      </c>
    </row>
    <row r="101" spans="1:25" x14ac:dyDescent="0.3">
      <c r="A101" t="s">
        <v>153</v>
      </c>
      <c r="B101" t="s">
        <v>66</v>
      </c>
      <c r="C101">
        <v>14</v>
      </c>
      <c r="D101">
        <v>8</v>
      </c>
      <c r="E101">
        <v>3.68</v>
      </c>
      <c r="F101">
        <v>32</v>
      </c>
      <c r="G101">
        <v>32</v>
      </c>
      <c r="H101">
        <v>1</v>
      </c>
      <c r="I101">
        <v>0</v>
      </c>
      <c r="J101">
        <v>0</v>
      </c>
      <c r="K101">
        <v>0</v>
      </c>
      <c r="L101">
        <v>0</v>
      </c>
      <c r="M101">
        <v>200.1</v>
      </c>
      <c r="N101">
        <v>842</v>
      </c>
      <c r="O101">
        <v>194</v>
      </c>
      <c r="P101">
        <v>94</v>
      </c>
      <c r="Q101">
        <v>82</v>
      </c>
      <c r="R101">
        <v>26</v>
      </c>
      <c r="S101">
        <v>51</v>
      </c>
      <c r="T101">
        <v>0</v>
      </c>
      <c r="U101">
        <v>9</v>
      </c>
      <c r="V101">
        <v>8</v>
      </c>
      <c r="W101">
        <v>1</v>
      </c>
      <c r="X101">
        <v>195</v>
      </c>
      <c r="Y101">
        <v>14168</v>
      </c>
    </row>
    <row r="102" spans="1:25" x14ac:dyDescent="0.3">
      <c r="A102" t="s">
        <v>154</v>
      </c>
      <c r="B102" t="s">
        <v>28</v>
      </c>
      <c r="C102">
        <v>3</v>
      </c>
      <c r="D102">
        <v>2</v>
      </c>
      <c r="E102">
        <v>3.71</v>
      </c>
      <c r="F102">
        <v>62</v>
      </c>
      <c r="G102">
        <v>1</v>
      </c>
      <c r="H102">
        <v>0</v>
      </c>
      <c r="I102">
        <v>0</v>
      </c>
      <c r="J102">
        <v>0</v>
      </c>
      <c r="K102">
        <v>19</v>
      </c>
      <c r="L102">
        <v>3</v>
      </c>
      <c r="M102">
        <v>60.2</v>
      </c>
      <c r="N102">
        <v>257</v>
      </c>
      <c r="O102">
        <v>56</v>
      </c>
      <c r="P102">
        <v>25</v>
      </c>
      <c r="Q102">
        <v>25</v>
      </c>
      <c r="R102">
        <v>10</v>
      </c>
      <c r="S102">
        <v>20</v>
      </c>
      <c r="T102">
        <v>0</v>
      </c>
      <c r="U102">
        <v>4</v>
      </c>
      <c r="V102">
        <v>0</v>
      </c>
      <c r="W102">
        <v>0</v>
      </c>
      <c r="X102">
        <v>48</v>
      </c>
      <c r="Y102">
        <v>2391</v>
      </c>
    </row>
    <row r="103" spans="1:25" x14ac:dyDescent="0.3">
      <c r="A103" t="s">
        <v>155</v>
      </c>
      <c r="B103" t="s">
        <v>53</v>
      </c>
      <c r="C103">
        <v>5</v>
      </c>
      <c r="D103">
        <v>3</v>
      </c>
      <c r="E103">
        <v>3.71</v>
      </c>
      <c r="F103">
        <v>62</v>
      </c>
      <c r="G103">
        <v>0</v>
      </c>
      <c r="H103">
        <v>0</v>
      </c>
      <c r="I103">
        <v>0</v>
      </c>
      <c r="J103">
        <v>33</v>
      </c>
      <c r="K103">
        <v>0</v>
      </c>
      <c r="L103">
        <v>8</v>
      </c>
      <c r="M103">
        <v>63</v>
      </c>
      <c r="N103">
        <v>263</v>
      </c>
      <c r="O103">
        <v>51</v>
      </c>
      <c r="P103">
        <v>28</v>
      </c>
      <c r="Q103">
        <v>26</v>
      </c>
      <c r="R103">
        <v>9</v>
      </c>
      <c r="S103">
        <v>16</v>
      </c>
      <c r="T103">
        <v>0</v>
      </c>
      <c r="U103">
        <v>4</v>
      </c>
      <c r="V103">
        <v>2</v>
      </c>
      <c r="W103">
        <v>3</v>
      </c>
      <c r="X103">
        <v>80</v>
      </c>
      <c r="Y103">
        <v>3096</v>
      </c>
    </row>
    <row r="104" spans="1:25" x14ac:dyDescent="0.3">
      <c r="A104" t="s">
        <v>156</v>
      </c>
      <c r="B104" t="s">
        <v>71</v>
      </c>
      <c r="C104">
        <v>6</v>
      </c>
      <c r="D104">
        <v>7</v>
      </c>
      <c r="E104">
        <v>3.72</v>
      </c>
      <c r="F104">
        <v>35</v>
      </c>
      <c r="G104">
        <v>18</v>
      </c>
      <c r="H104">
        <v>0</v>
      </c>
      <c r="I104">
        <v>0</v>
      </c>
      <c r="J104">
        <v>0</v>
      </c>
      <c r="K104">
        <v>1</v>
      </c>
      <c r="L104">
        <v>0</v>
      </c>
      <c r="M104">
        <v>111.1</v>
      </c>
      <c r="N104">
        <v>462</v>
      </c>
      <c r="O104">
        <v>101</v>
      </c>
      <c r="P104">
        <v>49</v>
      </c>
      <c r="Q104">
        <v>46</v>
      </c>
      <c r="R104">
        <v>14</v>
      </c>
      <c r="S104">
        <v>37</v>
      </c>
      <c r="T104">
        <v>2</v>
      </c>
      <c r="U104">
        <v>5</v>
      </c>
      <c r="V104">
        <v>2</v>
      </c>
      <c r="W104">
        <v>0</v>
      </c>
      <c r="X104">
        <v>117</v>
      </c>
      <c r="Y104">
        <v>12718</v>
      </c>
    </row>
    <row r="105" spans="1:25" x14ac:dyDescent="0.3">
      <c r="A105" t="s">
        <v>157</v>
      </c>
      <c r="B105" t="s">
        <v>30</v>
      </c>
      <c r="C105">
        <v>4</v>
      </c>
      <c r="D105">
        <v>5</v>
      </c>
      <c r="E105">
        <v>3.72</v>
      </c>
      <c r="F105">
        <v>72</v>
      </c>
      <c r="G105">
        <v>0</v>
      </c>
      <c r="H105">
        <v>0</v>
      </c>
      <c r="I105">
        <v>0</v>
      </c>
      <c r="J105">
        <v>1</v>
      </c>
      <c r="K105">
        <v>16</v>
      </c>
      <c r="L105">
        <v>4</v>
      </c>
      <c r="M105">
        <v>65.099999999999994</v>
      </c>
      <c r="N105">
        <v>285</v>
      </c>
      <c r="O105">
        <v>65</v>
      </c>
      <c r="P105">
        <v>30</v>
      </c>
      <c r="Q105">
        <v>27</v>
      </c>
      <c r="R105">
        <v>14</v>
      </c>
      <c r="S105">
        <v>23</v>
      </c>
      <c r="T105">
        <v>3</v>
      </c>
      <c r="U105">
        <v>2</v>
      </c>
      <c r="V105">
        <v>1</v>
      </c>
      <c r="W105">
        <v>0</v>
      </c>
      <c r="X105">
        <v>63</v>
      </c>
      <c r="Y105">
        <v>13549</v>
      </c>
    </row>
    <row r="106" spans="1:25" x14ac:dyDescent="0.3">
      <c r="A106" t="s">
        <v>158</v>
      </c>
      <c r="B106" t="s">
        <v>159</v>
      </c>
      <c r="C106">
        <v>6</v>
      </c>
      <c r="D106">
        <v>6</v>
      </c>
      <c r="E106">
        <v>3.72</v>
      </c>
      <c r="F106">
        <v>73</v>
      </c>
      <c r="G106">
        <v>1</v>
      </c>
      <c r="H106">
        <v>0</v>
      </c>
      <c r="I106">
        <v>0</v>
      </c>
      <c r="J106">
        <v>0</v>
      </c>
      <c r="K106">
        <v>15</v>
      </c>
      <c r="L106">
        <v>3</v>
      </c>
      <c r="M106">
        <v>67.2</v>
      </c>
      <c r="N106">
        <v>288</v>
      </c>
      <c r="O106">
        <v>62</v>
      </c>
      <c r="P106">
        <v>32</v>
      </c>
      <c r="Q106">
        <v>28</v>
      </c>
      <c r="R106">
        <v>8</v>
      </c>
      <c r="S106">
        <v>24</v>
      </c>
      <c r="T106">
        <v>2</v>
      </c>
      <c r="U106">
        <v>5</v>
      </c>
      <c r="V106">
        <v>4</v>
      </c>
      <c r="W106">
        <v>0</v>
      </c>
      <c r="X106">
        <v>73</v>
      </c>
      <c r="Y106">
        <v>14814</v>
      </c>
    </row>
    <row r="107" spans="1:25" x14ac:dyDescent="0.3">
      <c r="A107" t="s">
        <v>160</v>
      </c>
      <c r="B107" t="s">
        <v>75</v>
      </c>
      <c r="C107">
        <v>2</v>
      </c>
      <c r="D107">
        <v>1</v>
      </c>
      <c r="E107">
        <v>3.74</v>
      </c>
      <c r="F107">
        <v>51</v>
      </c>
      <c r="G107">
        <v>1</v>
      </c>
      <c r="H107">
        <v>0</v>
      </c>
      <c r="I107">
        <v>0</v>
      </c>
      <c r="J107">
        <v>2</v>
      </c>
      <c r="K107">
        <v>7</v>
      </c>
      <c r="L107">
        <v>2</v>
      </c>
      <c r="M107">
        <v>79.099999999999994</v>
      </c>
      <c r="N107">
        <v>320</v>
      </c>
      <c r="O107">
        <v>82</v>
      </c>
      <c r="P107">
        <v>35</v>
      </c>
      <c r="Q107">
        <v>33</v>
      </c>
      <c r="R107">
        <v>14</v>
      </c>
      <c r="S107">
        <v>7</v>
      </c>
      <c r="T107">
        <v>0</v>
      </c>
      <c r="U107">
        <v>0</v>
      </c>
      <c r="V107">
        <v>2</v>
      </c>
      <c r="W107">
        <v>0</v>
      </c>
      <c r="X107">
        <v>51</v>
      </c>
      <c r="Y107">
        <v>9388</v>
      </c>
    </row>
    <row r="108" spans="1:25" x14ac:dyDescent="0.3">
      <c r="A108" t="s">
        <v>161</v>
      </c>
      <c r="B108" t="s">
        <v>46</v>
      </c>
      <c r="C108">
        <v>2</v>
      </c>
      <c r="D108">
        <v>2</v>
      </c>
      <c r="E108">
        <v>3.75</v>
      </c>
      <c r="F108">
        <v>71</v>
      </c>
      <c r="G108">
        <v>0</v>
      </c>
      <c r="H108">
        <v>0</v>
      </c>
      <c r="I108">
        <v>0</v>
      </c>
      <c r="J108">
        <v>0</v>
      </c>
      <c r="K108">
        <v>11</v>
      </c>
      <c r="L108">
        <v>2</v>
      </c>
      <c r="M108">
        <v>72</v>
      </c>
      <c r="N108">
        <v>308</v>
      </c>
      <c r="O108">
        <v>70</v>
      </c>
      <c r="P108">
        <v>34</v>
      </c>
      <c r="Q108">
        <v>30</v>
      </c>
      <c r="R108">
        <v>12</v>
      </c>
      <c r="S108">
        <v>23</v>
      </c>
      <c r="T108">
        <v>1</v>
      </c>
      <c r="U108">
        <v>1</v>
      </c>
      <c r="V108">
        <v>1</v>
      </c>
      <c r="W108">
        <v>1</v>
      </c>
      <c r="X108">
        <v>81</v>
      </c>
      <c r="Y108">
        <v>14542</v>
      </c>
    </row>
    <row r="109" spans="1:25" x14ac:dyDescent="0.3">
      <c r="A109" t="s">
        <v>162</v>
      </c>
      <c r="B109" t="s">
        <v>75</v>
      </c>
      <c r="C109">
        <v>8</v>
      </c>
      <c r="D109">
        <v>8</v>
      </c>
      <c r="E109">
        <v>3.75</v>
      </c>
      <c r="F109">
        <v>19</v>
      </c>
      <c r="G109">
        <v>19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112.2</v>
      </c>
      <c r="N109">
        <v>487</v>
      </c>
      <c r="O109">
        <v>115</v>
      </c>
      <c r="P109">
        <v>50</v>
      </c>
      <c r="Q109">
        <v>47</v>
      </c>
      <c r="R109">
        <v>16</v>
      </c>
      <c r="S109">
        <v>39</v>
      </c>
      <c r="T109">
        <v>1</v>
      </c>
      <c r="U109">
        <v>9</v>
      </c>
      <c r="V109">
        <v>6</v>
      </c>
      <c r="W109">
        <v>0</v>
      </c>
      <c r="X109">
        <v>91</v>
      </c>
      <c r="Y109">
        <v>9434</v>
      </c>
    </row>
    <row r="110" spans="1:25" x14ac:dyDescent="0.3">
      <c r="A110" t="s">
        <v>163</v>
      </c>
      <c r="B110" t="s">
        <v>77</v>
      </c>
      <c r="C110">
        <v>5</v>
      </c>
      <c r="D110">
        <v>3</v>
      </c>
      <c r="E110">
        <v>3.76</v>
      </c>
      <c r="F110">
        <v>38</v>
      </c>
      <c r="G110">
        <v>5</v>
      </c>
      <c r="H110">
        <v>0</v>
      </c>
      <c r="I110">
        <v>0</v>
      </c>
      <c r="J110">
        <v>2</v>
      </c>
      <c r="K110">
        <v>3</v>
      </c>
      <c r="L110">
        <v>2</v>
      </c>
      <c r="M110">
        <v>76.2</v>
      </c>
      <c r="N110">
        <v>324</v>
      </c>
      <c r="O110">
        <v>65</v>
      </c>
      <c r="P110">
        <v>33</v>
      </c>
      <c r="Q110">
        <v>32</v>
      </c>
      <c r="R110">
        <v>8</v>
      </c>
      <c r="S110">
        <v>37</v>
      </c>
      <c r="T110">
        <v>0</v>
      </c>
      <c r="U110">
        <v>5</v>
      </c>
      <c r="V110">
        <v>8</v>
      </c>
      <c r="W110">
        <v>0</v>
      </c>
      <c r="X110">
        <v>74</v>
      </c>
      <c r="Y110">
        <v>4338</v>
      </c>
    </row>
    <row r="111" spans="1:25" x14ac:dyDescent="0.3">
      <c r="A111" t="s">
        <v>164</v>
      </c>
      <c r="B111" t="s">
        <v>89</v>
      </c>
      <c r="C111">
        <v>3</v>
      </c>
      <c r="D111">
        <v>2</v>
      </c>
      <c r="E111">
        <v>3.76</v>
      </c>
      <c r="F111">
        <v>57</v>
      </c>
      <c r="G111">
        <v>0</v>
      </c>
      <c r="H111">
        <v>0</v>
      </c>
      <c r="I111">
        <v>0</v>
      </c>
      <c r="J111">
        <v>0</v>
      </c>
      <c r="K111">
        <v>11</v>
      </c>
      <c r="L111">
        <v>4</v>
      </c>
      <c r="M111">
        <v>64.2</v>
      </c>
      <c r="N111">
        <v>262</v>
      </c>
      <c r="O111">
        <v>43</v>
      </c>
      <c r="P111">
        <v>30</v>
      </c>
      <c r="Q111">
        <v>27</v>
      </c>
      <c r="R111">
        <v>9</v>
      </c>
      <c r="S111">
        <v>24</v>
      </c>
      <c r="T111">
        <v>4</v>
      </c>
      <c r="U111">
        <v>0</v>
      </c>
      <c r="V111">
        <v>3</v>
      </c>
      <c r="W111">
        <v>0</v>
      </c>
      <c r="X111">
        <v>81</v>
      </c>
      <c r="Y111">
        <v>13594</v>
      </c>
    </row>
    <row r="112" spans="1:25" x14ac:dyDescent="0.3">
      <c r="A112" t="s">
        <v>165</v>
      </c>
      <c r="B112" t="s">
        <v>98</v>
      </c>
      <c r="C112">
        <v>2</v>
      </c>
      <c r="D112">
        <v>2</v>
      </c>
      <c r="E112">
        <v>3.76</v>
      </c>
      <c r="F112">
        <v>77</v>
      </c>
      <c r="G112">
        <v>0</v>
      </c>
      <c r="H112">
        <v>0</v>
      </c>
      <c r="I112">
        <v>0</v>
      </c>
      <c r="J112">
        <v>0</v>
      </c>
      <c r="K112">
        <v>23</v>
      </c>
      <c r="L112">
        <v>4</v>
      </c>
      <c r="M112">
        <v>52.2</v>
      </c>
      <c r="N112">
        <v>225</v>
      </c>
      <c r="O112">
        <v>52</v>
      </c>
      <c r="P112">
        <v>23</v>
      </c>
      <c r="Q112">
        <v>22</v>
      </c>
      <c r="R112">
        <v>6</v>
      </c>
      <c r="S112">
        <v>18</v>
      </c>
      <c r="T112">
        <v>0</v>
      </c>
      <c r="U112">
        <v>2</v>
      </c>
      <c r="V112">
        <v>2</v>
      </c>
      <c r="W112">
        <v>0</v>
      </c>
      <c r="X112">
        <v>68</v>
      </c>
      <c r="Y112">
        <v>12988</v>
      </c>
    </row>
    <row r="113" spans="1:25" x14ac:dyDescent="0.3">
      <c r="A113" t="s">
        <v>166</v>
      </c>
      <c r="B113" t="s">
        <v>50</v>
      </c>
      <c r="C113">
        <v>2</v>
      </c>
      <c r="D113">
        <v>1</v>
      </c>
      <c r="E113">
        <v>3.76</v>
      </c>
      <c r="F113">
        <v>65</v>
      </c>
      <c r="G113">
        <v>0</v>
      </c>
      <c r="H113">
        <v>0</v>
      </c>
      <c r="I113">
        <v>0</v>
      </c>
      <c r="J113">
        <v>1</v>
      </c>
      <c r="K113">
        <v>8</v>
      </c>
      <c r="L113">
        <v>0</v>
      </c>
      <c r="M113">
        <v>55</v>
      </c>
      <c r="N113">
        <v>221</v>
      </c>
      <c r="O113">
        <v>33</v>
      </c>
      <c r="P113">
        <v>23</v>
      </c>
      <c r="Q113">
        <v>23</v>
      </c>
      <c r="R113">
        <v>7</v>
      </c>
      <c r="S113">
        <v>23</v>
      </c>
      <c r="T113">
        <v>3</v>
      </c>
      <c r="U113">
        <v>2</v>
      </c>
      <c r="V113">
        <v>2</v>
      </c>
      <c r="W113">
        <v>0</v>
      </c>
      <c r="X113">
        <v>48</v>
      </c>
      <c r="Y113">
        <v>14974</v>
      </c>
    </row>
    <row r="114" spans="1:25" x14ac:dyDescent="0.3">
      <c r="A114" t="s">
        <v>167</v>
      </c>
      <c r="B114" t="s">
        <v>38</v>
      </c>
      <c r="C114">
        <v>5</v>
      </c>
      <c r="D114">
        <v>4</v>
      </c>
      <c r="E114">
        <v>3.78</v>
      </c>
      <c r="F114">
        <v>70</v>
      </c>
      <c r="G114">
        <v>0</v>
      </c>
      <c r="H114">
        <v>0</v>
      </c>
      <c r="I114">
        <v>0</v>
      </c>
      <c r="J114">
        <v>4</v>
      </c>
      <c r="K114">
        <v>26</v>
      </c>
      <c r="L114">
        <v>8</v>
      </c>
      <c r="M114">
        <v>64.099999999999994</v>
      </c>
      <c r="N114">
        <v>285</v>
      </c>
      <c r="O114">
        <v>51</v>
      </c>
      <c r="P114">
        <v>29</v>
      </c>
      <c r="Q114">
        <v>27</v>
      </c>
      <c r="R114">
        <v>8</v>
      </c>
      <c r="S114">
        <v>38</v>
      </c>
      <c r="T114">
        <v>2</v>
      </c>
      <c r="U114">
        <v>2</v>
      </c>
      <c r="V114">
        <v>13</v>
      </c>
      <c r="W114">
        <v>1</v>
      </c>
      <c r="X114">
        <v>110</v>
      </c>
      <c r="Y114">
        <v>12863</v>
      </c>
    </row>
    <row r="115" spans="1:25" x14ac:dyDescent="0.3">
      <c r="A115" t="s">
        <v>168</v>
      </c>
      <c r="B115" t="s">
        <v>38</v>
      </c>
      <c r="C115">
        <v>19</v>
      </c>
      <c r="D115">
        <v>6</v>
      </c>
      <c r="E115">
        <v>3.81</v>
      </c>
      <c r="F115">
        <v>34</v>
      </c>
      <c r="G115">
        <v>34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203.1</v>
      </c>
      <c r="N115">
        <v>859</v>
      </c>
      <c r="O115">
        <v>195</v>
      </c>
      <c r="P115">
        <v>88</v>
      </c>
      <c r="Q115">
        <v>86</v>
      </c>
      <c r="R115">
        <v>24</v>
      </c>
      <c r="S115">
        <v>75</v>
      </c>
      <c r="T115">
        <v>2</v>
      </c>
      <c r="U115">
        <v>7</v>
      </c>
      <c r="V115">
        <v>3</v>
      </c>
      <c r="W115">
        <v>0</v>
      </c>
      <c r="X115">
        <v>213</v>
      </c>
      <c r="Y115">
        <v>13164</v>
      </c>
    </row>
    <row r="116" spans="1:25" x14ac:dyDescent="0.3">
      <c r="A116" t="s">
        <v>169</v>
      </c>
      <c r="B116" t="s">
        <v>38</v>
      </c>
      <c r="C116">
        <v>9</v>
      </c>
      <c r="D116">
        <v>2</v>
      </c>
      <c r="E116">
        <v>3.81</v>
      </c>
      <c r="F116">
        <v>70</v>
      </c>
      <c r="G116">
        <v>0</v>
      </c>
      <c r="H116">
        <v>0</v>
      </c>
      <c r="I116">
        <v>0</v>
      </c>
      <c r="J116">
        <v>2</v>
      </c>
      <c r="K116">
        <v>6</v>
      </c>
      <c r="L116">
        <v>4</v>
      </c>
      <c r="M116">
        <v>78</v>
      </c>
      <c r="N116">
        <v>327</v>
      </c>
      <c r="O116">
        <v>61</v>
      </c>
      <c r="P116">
        <v>38</v>
      </c>
      <c r="Q116">
        <v>33</v>
      </c>
      <c r="R116">
        <v>6</v>
      </c>
      <c r="S116">
        <v>32</v>
      </c>
      <c r="T116">
        <v>1</v>
      </c>
      <c r="U116">
        <v>5</v>
      </c>
      <c r="V116">
        <v>6</v>
      </c>
      <c r="W116">
        <v>1</v>
      </c>
      <c r="X116">
        <v>76</v>
      </c>
      <c r="Y116">
        <v>8004</v>
      </c>
    </row>
    <row r="117" spans="1:25" x14ac:dyDescent="0.3">
      <c r="A117" t="s">
        <v>170</v>
      </c>
      <c r="B117" t="s">
        <v>66</v>
      </c>
      <c r="C117">
        <v>4</v>
      </c>
      <c r="D117">
        <v>2</v>
      </c>
      <c r="E117">
        <v>3.81</v>
      </c>
      <c r="F117">
        <v>61</v>
      </c>
      <c r="G117">
        <v>0</v>
      </c>
      <c r="H117">
        <v>0</v>
      </c>
      <c r="I117">
        <v>0</v>
      </c>
      <c r="J117">
        <v>1</v>
      </c>
      <c r="K117">
        <v>12</v>
      </c>
      <c r="L117">
        <v>3</v>
      </c>
      <c r="M117">
        <v>54.1</v>
      </c>
      <c r="N117">
        <v>225</v>
      </c>
      <c r="O117">
        <v>54</v>
      </c>
      <c r="P117">
        <v>25</v>
      </c>
      <c r="Q117">
        <v>23</v>
      </c>
      <c r="R117">
        <v>7</v>
      </c>
      <c r="S117">
        <v>10</v>
      </c>
      <c r="T117">
        <v>0</v>
      </c>
      <c r="U117">
        <v>1</v>
      </c>
      <c r="V117">
        <v>5</v>
      </c>
      <c r="W117">
        <v>0</v>
      </c>
      <c r="X117">
        <v>50</v>
      </c>
      <c r="Y117">
        <v>12680</v>
      </c>
    </row>
    <row r="118" spans="1:25" x14ac:dyDescent="0.3">
      <c r="A118" t="s">
        <v>171</v>
      </c>
      <c r="B118" t="s">
        <v>77</v>
      </c>
      <c r="C118">
        <v>7</v>
      </c>
      <c r="D118">
        <v>7</v>
      </c>
      <c r="E118">
        <v>3.81</v>
      </c>
      <c r="F118">
        <v>27</v>
      </c>
      <c r="G118">
        <v>27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141.19999999999999</v>
      </c>
      <c r="N118">
        <v>617</v>
      </c>
      <c r="O118">
        <v>141</v>
      </c>
      <c r="P118">
        <v>64</v>
      </c>
      <c r="Q118">
        <v>60</v>
      </c>
      <c r="R118">
        <v>17</v>
      </c>
      <c r="S118">
        <v>56</v>
      </c>
      <c r="T118">
        <v>1</v>
      </c>
      <c r="U118">
        <v>7</v>
      </c>
      <c r="V118">
        <v>1</v>
      </c>
      <c r="W118">
        <v>0</v>
      </c>
      <c r="X118">
        <v>143</v>
      </c>
      <c r="Y118">
        <v>4972</v>
      </c>
    </row>
    <row r="119" spans="1:25" x14ac:dyDescent="0.3">
      <c r="A119" t="s">
        <v>172</v>
      </c>
      <c r="B119" t="s">
        <v>34</v>
      </c>
      <c r="C119">
        <v>10</v>
      </c>
      <c r="D119">
        <v>5</v>
      </c>
      <c r="E119">
        <v>3.81</v>
      </c>
      <c r="F119">
        <v>28</v>
      </c>
      <c r="G119">
        <v>25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144</v>
      </c>
      <c r="N119">
        <v>612</v>
      </c>
      <c r="O119">
        <v>125</v>
      </c>
      <c r="P119">
        <v>66</v>
      </c>
      <c r="Q119">
        <v>61</v>
      </c>
      <c r="R119">
        <v>21</v>
      </c>
      <c r="S119">
        <v>47</v>
      </c>
      <c r="T119">
        <v>0</v>
      </c>
      <c r="U119">
        <v>13</v>
      </c>
      <c r="V119">
        <v>3</v>
      </c>
      <c r="W119">
        <v>0</v>
      </c>
      <c r="X119">
        <v>141</v>
      </c>
      <c r="Y119">
        <v>12304</v>
      </c>
    </row>
    <row r="120" spans="1:25" x14ac:dyDescent="0.3">
      <c r="A120" t="s">
        <v>173</v>
      </c>
      <c r="B120" t="s">
        <v>56</v>
      </c>
      <c r="C120">
        <v>8</v>
      </c>
      <c r="D120">
        <v>6</v>
      </c>
      <c r="E120">
        <v>3.81</v>
      </c>
      <c r="F120">
        <v>21</v>
      </c>
      <c r="G120">
        <v>21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115.2</v>
      </c>
      <c r="N120">
        <v>475</v>
      </c>
      <c r="O120">
        <v>102</v>
      </c>
      <c r="P120">
        <v>52</v>
      </c>
      <c r="Q120">
        <v>49</v>
      </c>
      <c r="R120">
        <v>19</v>
      </c>
      <c r="S120">
        <v>40</v>
      </c>
      <c r="T120">
        <v>0</v>
      </c>
      <c r="U120">
        <v>3</v>
      </c>
      <c r="V120">
        <v>1</v>
      </c>
      <c r="W120">
        <v>0</v>
      </c>
      <c r="X120">
        <v>88</v>
      </c>
      <c r="Y120">
        <v>19979</v>
      </c>
    </row>
    <row r="121" spans="1:25" x14ac:dyDescent="0.3">
      <c r="A121" t="s">
        <v>174</v>
      </c>
      <c r="B121" t="s">
        <v>75</v>
      </c>
      <c r="C121">
        <v>10</v>
      </c>
      <c r="D121">
        <v>11</v>
      </c>
      <c r="E121">
        <v>3.81</v>
      </c>
      <c r="F121">
        <v>33</v>
      </c>
      <c r="G121">
        <v>33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174.2</v>
      </c>
      <c r="N121">
        <v>754</v>
      </c>
      <c r="O121">
        <v>148</v>
      </c>
      <c r="P121">
        <v>81</v>
      </c>
      <c r="Q121">
        <v>74</v>
      </c>
      <c r="R121">
        <v>22</v>
      </c>
      <c r="S121">
        <v>83</v>
      </c>
      <c r="T121">
        <v>3</v>
      </c>
      <c r="U121">
        <v>14</v>
      </c>
      <c r="V121">
        <v>5</v>
      </c>
      <c r="W121">
        <v>1</v>
      </c>
      <c r="X121">
        <v>162</v>
      </c>
      <c r="Y121">
        <v>6797</v>
      </c>
    </row>
    <row r="122" spans="1:25" x14ac:dyDescent="0.3">
      <c r="A122" t="s">
        <v>175</v>
      </c>
      <c r="B122" t="s">
        <v>40</v>
      </c>
      <c r="C122">
        <v>15</v>
      </c>
      <c r="D122">
        <v>6</v>
      </c>
      <c r="E122">
        <v>3.82</v>
      </c>
      <c r="F122">
        <v>29</v>
      </c>
      <c r="G122">
        <v>29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150.19999999999999</v>
      </c>
      <c r="N122">
        <v>633</v>
      </c>
      <c r="O122">
        <v>138</v>
      </c>
      <c r="P122">
        <v>71</v>
      </c>
      <c r="Q122">
        <v>64</v>
      </c>
      <c r="R122">
        <v>23</v>
      </c>
      <c r="S122">
        <v>55</v>
      </c>
      <c r="T122">
        <v>0</v>
      </c>
      <c r="U122">
        <v>2</v>
      </c>
      <c r="V122">
        <v>7</v>
      </c>
      <c r="W122">
        <v>1</v>
      </c>
      <c r="X122">
        <v>186</v>
      </c>
      <c r="Y122">
        <v>11828</v>
      </c>
    </row>
    <row r="123" spans="1:25" x14ac:dyDescent="0.3">
      <c r="A123" t="s">
        <v>176</v>
      </c>
      <c r="B123" t="s">
        <v>75</v>
      </c>
      <c r="C123">
        <v>9</v>
      </c>
      <c r="D123">
        <v>2</v>
      </c>
      <c r="E123">
        <v>3.84</v>
      </c>
      <c r="F123">
        <v>70</v>
      </c>
      <c r="G123">
        <v>0</v>
      </c>
      <c r="H123">
        <v>0</v>
      </c>
      <c r="I123">
        <v>0</v>
      </c>
      <c r="J123">
        <v>18</v>
      </c>
      <c r="K123">
        <v>9</v>
      </c>
      <c r="L123">
        <v>7</v>
      </c>
      <c r="M123">
        <v>72.2</v>
      </c>
      <c r="N123">
        <v>315</v>
      </c>
      <c r="O123">
        <v>76</v>
      </c>
      <c r="P123">
        <v>34</v>
      </c>
      <c r="Q123">
        <v>31</v>
      </c>
      <c r="R123">
        <v>10</v>
      </c>
      <c r="S123">
        <v>26</v>
      </c>
      <c r="T123">
        <v>4</v>
      </c>
      <c r="U123">
        <v>2</v>
      </c>
      <c r="V123">
        <v>3</v>
      </c>
      <c r="W123">
        <v>0</v>
      </c>
      <c r="X123">
        <v>106</v>
      </c>
      <c r="Y123">
        <v>11752</v>
      </c>
    </row>
    <row r="124" spans="1:25" x14ac:dyDescent="0.3">
      <c r="A124" t="s">
        <v>177</v>
      </c>
      <c r="B124" t="s">
        <v>46</v>
      </c>
      <c r="C124">
        <v>11</v>
      </c>
      <c r="D124">
        <v>8</v>
      </c>
      <c r="E124">
        <v>3.84</v>
      </c>
      <c r="F124">
        <v>26</v>
      </c>
      <c r="G124">
        <v>25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150</v>
      </c>
      <c r="N124">
        <v>637</v>
      </c>
      <c r="O124">
        <v>147</v>
      </c>
      <c r="P124">
        <v>70</v>
      </c>
      <c r="Q124">
        <v>64</v>
      </c>
      <c r="R124">
        <v>19</v>
      </c>
      <c r="S124">
        <v>56</v>
      </c>
      <c r="T124">
        <v>4</v>
      </c>
      <c r="U124">
        <v>4</v>
      </c>
      <c r="V124">
        <v>7</v>
      </c>
      <c r="W124">
        <v>0</v>
      </c>
      <c r="X124">
        <v>150</v>
      </c>
      <c r="Y124">
        <v>14916</v>
      </c>
    </row>
    <row r="125" spans="1:25" x14ac:dyDescent="0.3">
      <c r="A125" t="s">
        <v>178</v>
      </c>
      <c r="B125" t="s">
        <v>32</v>
      </c>
      <c r="C125">
        <v>9</v>
      </c>
      <c r="D125">
        <v>5</v>
      </c>
      <c r="E125">
        <v>3.85</v>
      </c>
      <c r="F125">
        <v>26</v>
      </c>
      <c r="G125">
        <v>18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133.1</v>
      </c>
      <c r="N125">
        <v>530</v>
      </c>
      <c r="O125">
        <v>112</v>
      </c>
      <c r="P125">
        <v>61</v>
      </c>
      <c r="Q125">
        <v>57</v>
      </c>
      <c r="R125">
        <v>23</v>
      </c>
      <c r="S125">
        <v>28</v>
      </c>
      <c r="T125">
        <v>1</v>
      </c>
      <c r="U125">
        <v>3</v>
      </c>
      <c r="V125">
        <v>4</v>
      </c>
      <c r="W125">
        <v>3</v>
      </c>
      <c r="X125">
        <v>114</v>
      </c>
      <c r="Y125">
        <v>16401</v>
      </c>
    </row>
    <row r="126" spans="1:25" x14ac:dyDescent="0.3">
      <c r="A126" t="s">
        <v>179</v>
      </c>
      <c r="B126" t="s">
        <v>93</v>
      </c>
      <c r="C126">
        <v>11</v>
      </c>
      <c r="D126">
        <v>8</v>
      </c>
      <c r="E126">
        <v>3.85</v>
      </c>
      <c r="F126">
        <v>30</v>
      </c>
      <c r="G126">
        <v>30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166</v>
      </c>
      <c r="N126">
        <v>712</v>
      </c>
      <c r="O126">
        <v>153</v>
      </c>
      <c r="P126">
        <v>77</v>
      </c>
      <c r="Q126">
        <v>71</v>
      </c>
      <c r="R126">
        <v>22</v>
      </c>
      <c r="S126">
        <v>58</v>
      </c>
      <c r="T126">
        <v>10</v>
      </c>
      <c r="U126">
        <v>4</v>
      </c>
      <c r="V126">
        <v>1</v>
      </c>
      <c r="W126">
        <v>3</v>
      </c>
      <c r="X126">
        <v>134</v>
      </c>
      <c r="Y126">
        <v>3284</v>
      </c>
    </row>
    <row r="127" spans="1:25" x14ac:dyDescent="0.3">
      <c r="A127" t="s">
        <v>180</v>
      </c>
      <c r="B127" t="s">
        <v>95</v>
      </c>
      <c r="C127">
        <v>12</v>
      </c>
      <c r="D127">
        <v>7</v>
      </c>
      <c r="E127">
        <v>3.87</v>
      </c>
      <c r="F127">
        <v>34</v>
      </c>
      <c r="G127">
        <v>34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202.1</v>
      </c>
      <c r="N127">
        <v>852</v>
      </c>
      <c r="O127">
        <v>176</v>
      </c>
      <c r="P127">
        <v>91</v>
      </c>
      <c r="Q127">
        <v>87</v>
      </c>
      <c r="R127">
        <v>27</v>
      </c>
      <c r="S127">
        <v>80</v>
      </c>
      <c r="T127">
        <v>3</v>
      </c>
      <c r="U127">
        <v>11</v>
      </c>
      <c r="V127">
        <v>3</v>
      </c>
      <c r="W127">
        <v>0</v>
      </c>
      <c r="X127">
        <v>229</v>
      </c>
      <c r="Y127">
        <v>16149</v>
      </c>
    </row>
    <row r="128" spans="1:25" x14ac:dyDescent="0.3">
      <c r="A128" t="s">
        <v>181</v>
      </c>
      <c r="B128" t="s">
        <v>102</v>
      </c>
      <c r="C128">
        <v>6</v>
      </c>
      <c r="D128">
        <v>14</v>
      </c>
      <c r="E128">
        <v>3.88</v>
      </c>
      <c r="F128">
        <v>32</v>
      </c>
      <c r="G128">
        <v>32</v>
      </c>
      <c r="H128">
        <v>2</v>
      </c>
      <c r="I128">
        <v>2</v>
      </c>
      <c r="J128">
        <v>0</v>
      </c>
      <c r="K128">
        <v>0</v>
      </c>
      <c r="L128">
        <v>0</v>
      </c>
      <c r="M128">
        <v>197.1</v>
      </c>
      <c r="N128">
        <v>838</v>
      </c>
      <c r="O128">
        <v>179</v>
      </c>
      <c r="P128">
        <v>94</v>
      </c>
      <c r="Q128">
        <v>85</v>
      </c>
      <c r="R128">
        <v>23</v>
      </c>
      <c r="S128">
        <v>81</v>
      </c>
      <c r="T128">
        <v>5</v>
      </c>
      <c r="U128">
        <v>8</v>
      </c>
      <c r="V128">
        <v>4</v>
      </c>
      <c r="W128">
        <v>1</v>
      </c>
      <c r="X128">
        <v>151</v>
      </c>
      <c r="Y128">
        <v>18684</v>
      </c>
    </row>
    <row r="129" spans="1:25" x14ac:dyDescent="0.3">
      <c r="A129" t="s">
        <v>182</v>
      </c>
      <c r="B129" t="s">
        <v>34</v>
      </c>
      <c r="C129">
        <v>13</v>
      </c>
      <c r="D129">
        <v>9</v>
      </c>
      <c r="E129">
        <v>3.89</v>
      </c>
      <c r="F129">
        <v>31</v>
      </c>
      <c r="G129">
        <v>31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176</v>
      </c>
      <c r="N129">
        <v>743</v>
      </c>
      <c r="O129">
        <v>181</v>
      </c>
      <c r="P129">
        <v>80</v>
      </c>
      <c r="Q129">
        <v>76</v>
      </c>
      <c r="R129">
        <v>20</v>
      </c>
      <c r="S129">
        <v>49</v>
      </c>
      <c r="T129">
        <v>2</v>
      </c>
      <c r="U129">
        <v>4</v>
      </c>
      <c r="V129">
        <v>4</v>
      </c>
      <c r="W129">
        <v>0</v>
      </c>
      <c r="X129">
        <v>90</v>
      </c>
      <c r="Y129">
        <v>8223</v>
      </c>
    </row>
    <row r="130" spans="1:25" x14ac:dyDescent="0.3">
      <c r="A130" t="s">
        <v>183</v>
      </c>
      <c r="B130" t="s">
        <v>89</v>
      </c>
      <c r="C130">
        <v>9</v>
      </c>
      <c r="D130">
        <v>9</v>
      </c>
      <c r="E130">
        <v>3.89</v>
      </c>
      <c r="F130">
        <v>31</v>
      </c>
      <c r="G130">
        <v>31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166.2</v>
      </c>
      <c r="N130">
        <v>696</v>
      </c>
      <c r="O130">
        <v>151</v>
      </c>
      <c r="P130">
        <v>77</v>
      </c>
      <c r="Q130">
        <v>72</v>
      </c>
      <c r="R130">
        <v>29</v>
      </c>
      <c r="S130">
        <v>49</v>
      </c>
      <c r="T130">
        <v>5</v>
      </c>
      <c r="U130">
        <v>4</v>
      </c>
      <c r="V130">
        <v>2</v>
      </c>
      <c r="W130">
        <v>1</v>
      </c>
      <c r="X130">
        <v>167</v>
      </c>
      <c r="Y130">
        <v>13050</v>
      </c>
    </row>
    <row r="131" spans="1:25" x14ac:dyDescent="0.3">
      <c r="A131" t="s">
        <v>184</v>
      </c>
      <c r="B131" t="s">
        <v>34</v>
      </c>
      <c r="C131">
        <v>15</v>
      </c>
      <c r="D131">
        <v>4</v>
      </c>
      <c r="E131">
        <v>3.9</v>
      </c>
      <c r="F131">
        <v>33</v>
      </c>
      <c r="G131">
        <v>33</v>
      </c>
      <c r="H131">
        <v>1</v>
      </c>
      <c r="I131">
        <v>1</v>
      </c>
      <c r="J131">
        <v>0</v>
      </c>
      <c r="K131">
        <v>0</v>
      </c>
      <c r="L131">
        <v>0</v>
      </c>
      <c r="M131">
        <v>184.2</v>
      </c>
      <c r="N131">
        <v>754</v>
      </c>
      <c r="O131">
        <v>166</v>
      </c>
      <c r="P131">
        <v>82</v>
      </c>
      <c r="Q131">
        <v>80</v>
      </c>
      <c r="R131">
        <v>30</v>
      </c>
      <c r="S131">
        <v>53</v>
      </c>
      <c r="T131">
        <v>0</v>
      </c>
      <c r="U131">
        <v>9</v>
      </c>
      <c r="V131">
        <v>13</v>
      </c>
      <c r="W131">
        <v>1</v>
      </c>
      <c r="X131">
        <v>126</v>
      </c>
      <c r="Y131">
        <v>7754</v>
      </c>
    </row>
    <row r="132" spans="1:25" x14ac:dyDescent="0.3">
      <c r="A132" t="s">
        <v>185</v>
      </c>
      <c r="B132" t="s">
        <v>83</v>
      </c>
      <c r="C132">
        <v>9</v>
      </c>
      <c r="D132">
        <v>9</v>
      </c>
      <c r="E132">
        <v>3.9</v>
      </c>
      <c r="F132">
        <v>34</v>
      </c>
      <c r="G132">
        <v>34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207.2</v>
      </c>
      <c r="N132">
        <v>844</v>
      </c>
      <c r="O132">
        <v>191</v>
      </c>
      <c r="P132">
        <v>99</v>
      </c>
      <c r="Q132">
        <v>90</v>
      </c>
      <c r="R132">
        <v>30</v>
      </c>
      <c r="S132">
        <v>43</v>
      </c>
      <c r="T132">
        <v>3</v>
      </c>
      <c r="U132">
        <v>10</v>
      </c>
      <c r="V132">
        <v>3</v>
      </c>
      <c r="W132">
        <v>0</v>
      </c>
      <c r="X132">
        <v>203</v>
      </c>
      <c r="Y132">
        <v>5524</v>
      </c>
    </row>
    <row r="133" spans="1:25" x14ac:dyDescent="0.3">
      <c r="A133" t="s">
        <v>186</v>
      </c>
      <c r="B133" t="s">
        <v>48</v>
      </c>
      <c r="C133">
        <v>4</v>
      </c>
      <c r="D133">
        <v>2</v>
      </c>
      <c r="E133">
        <v>3.96</v>
      </c>
      <c r="F133">
        <v>48</v>
      </c>
      <c r="G133">
        <v>0</v>
      </c>
      <c r="H133">
        <v>0</v>
      </c>
      <c r="I133">
        <v>0</v>
      </c>
      <c r="J133">
        <v>14</v>
      </c>
      <c r="K133">
        <v>2</v>
      </c>
      <c r="L133">
        <v>3</v>
      </c>
      <c r="M133">
        <v>50</v>
      </c>
      <c r="N133">
        <v>216</v>
      </c>
      <c r="O133">
        <v>46</v>
      </c>
      <c r="P133">
        <v>32</v>
      </c>
      <c r="Q133">
        <v>22</v>
      </c>
      <c r="R133">
        <v>10</v>
      </c>
      <c r="S133">
        <v>18</v>
      </c>
      <c r="T133">
        <v>1</v>
      </c>
      <c r="U133">
        <v>1</v>
      </c>
      <c r="V133">
        <v>1</v>
      </c>
      <c r="W133">
        <v>1</v>
      </c>
      <c r="X133">
        <v>47</v>
      </c>
      <c r="Y133">
        <v>12673</v>
      </c>
    </row>
    <row r="134" spans="1:25" x14ac:dyDescent="0.3">
      <c r="A134" t="s">
        <v>187</v>
      </c>
      <c r="B134" t="s">
        <v>58</v>
      </c>
      <c r="C134">
        <v>11</v>
      </c>
      <c r="D134">
        <v>8</v>
      </c>
      <c r="E134">
        <v>3.96</v>
      </c>
      <c r="F134">
        <v>31</v>
      </c>
      <c r="G134">
        <v>31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195.1</v>
      </c>
      <c r="N134">
        <v>828</v>
      </c>
      <c r="O134">
        <v>196</v>
      </c>
      <c r="P134">
        <v>93</v>
      </c>
      <c r="Q134">
        <v>86</v>
      </c>
      <c r="R134">
        <v>22</v>
      </c>
      <c r="S134">
        <v>50</v>
      </c>
      <c r="T134">
        <v>4</v>
      </c>
      <c r="U134">
        <v>2</v>
      </c>
      <c r="V134">
        <v>5</v>
      </c>
      <c r="W134">
        <v>0</v>
      </c>
      <c r="X134">
        <v>195</v>
      </c>
      <c r="Y134">
        <v>10310</v>
      </c>
    </row>
    <row r="135" spans="1:25" x14ac:dyDescent="0.3">
      <c r="A135" t="s">
        <v>188</v>
      </c>
      <c r="B135" t="s">
        <v>48</v>
      </c>
      <c r="C135">
        <v>0</v>
      </c>
      <c r="D135">
        <v>4</v>
      </c>
      <c r="E135">
        <v>3.97</v>
      </c>
      <c r="F135">
        <v>63</v>
      </c>
      <c r="G135">
        <v>27</v>
      </c>
      <c r="H135">
        <v>0</v>
      </c>
      <c r="I135">
        <v>0</v>
      </c>
      <c r="J135">
        <v>1</v>
      </c>
      <c r="K135">
        <v>7</v>
      </c>
      <c r="L135">
        <v>4</v>
      </c>
      <c r="M135">
        <v>77</v>
      </c>
      <c r="N135">
        <v>327</v>
      </c>
      <c r="O135">
        <v>61</v>
      </c>
      <c r="P135">
        <v>39</v>
      </c>
      <c r="Q135">
        <v>34</v>
      </c>
      <c r="R135">
        <v>11</v>
      </c>
      <c r="S135">
        <v>39</v>
      </c>
      <c r="T135">
        <v>3</v>
      </c>
      <c r="U135">
        <v>0</v>
      </c>
      <c r="V135">
        <v>5</v>
      </c>
      <c r="W135">
        <v>0</v>
      </c>
      <c r="X135">
        <v>89</v>
      </c>
      <c r="Y135">
        <v>15947</v>
      </c>
    </row>
    <row r="136" spans="1:25" x14ac:dyDescent="0.3">
      <c r="A136" t="s">
        <v>189</v>
      </c>
      <c r="B136" t="s">
        <v>77</v>
      </c>
      <c r="C136">
        <v>6</v>
      </c>
      <c r="D136">
        <v>8</v>
      </c>
      <c r="E136">
        <v>3.98</v>
      </c>
      <c r="F136">
        <v>31</v>
      </c>
      <c r="G136">
        <v>31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178.2</v>
      </c>
      <c r="N136">
        <v>731</v>
      </c>
      <c r="O136">
        <v>140</v>
      </c>
      <c r="P136">
        <v>82</v>
      </c>
      <c r="Q136">
        <v>79</v>
      </c>
      <c r="R136">
        <v>33</v>
      </c>
      <c r="S136">
        <v>56</v>
      </c>
      <c r="T136">
        <v>1</v>
      </c>
      <c r="U136">
        <v>11</v>
      </c>
      <c r="V136">
        <v>11</v>
      </c>
      <c r="W136">
        <v>0</v>
      </c>
      <c r="X136">
        <v>229</v>
      </c>
      <c r="Y136">
        <v>13074</v>
      </c>
    </row>
    <row r="137" spans="1:25" x14ac:dyDescent="0.3">
      <c r="A137" t="s">
        <v>190</v>
      </c>
      <c r="B137" t="s">
        <v>28</v>
      </c>
      <c r="C137">
        <v>14</v>
      </c>
      <c r="D137">
        <v>6</v>
      </c>
      <c r="E137">
        <v>3.98</v>
      </c>
      <c r="F137">
        <v>33</v>
      </c>
      <c r="G137">
        <v>33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167.1</v>
      </c>
      <c r="N137">
        <v>720</v>
      </c>
      <c r="O137">
        <v>164</v>
      </c>
      <c r="P137">
        <v>83</v>
      </c>
      <c r="Q137">
        <v>74</v>
      </c>
      <c r="R137">
        <v>23</v>
      </c>
      <c r="S137">
        <v>61</v>
      </c>
      <c r="T137">
        <v>0</v>
      </c>
      <c r="U137">
        <v>5</v>
      </c>
      <c r="V137">
        <v>4</v>
      </c>
      <c r="W137">
        <v>2</v>
      </c>
      <c r="X137">
        <v>140</v>
      </c>
      <c r="Y137">
        <v>8779</v>
      </c>
    </row>
    <row r="138" spans="1:25" x14ac:dyDescent="0.3">
      <c r="A138" t="s">
        <v>191</v>
      </c>
      <c r="B138" t="s">
        <v>62</v>
      </c>
      <c r="C138">
        <v>6</v>
      </c>
      <c r="D138">
        <v>7</v>
      </c>
      <c r="E138">
        <v>3.98</v>
      </c>
      <c r="F138">
        <v>72</v>
      </c>
      <c r="G138">
        <v>0</v>
      </c>
      <c r="H138">
        <v>0</v>
      </c>
      <c r="I138">
        <v>0</v>
      </c>
      <c r="J138">
        <v>2</v>
      </c>
      <c r="K138">
        <v>26</v>
      </c>
      <c r="L138">
        <v>4</v>
      </c>
      <c r="M138">
        <v>72.099999999999994</v>
      </c>
      <c r="N138">
        <v>309</v>
      </c>
      <c r="O138">
        <v>69</v>
      </c>
      <c r="P138">
        <v>34</v>
      </c>
      <c r="Q138">
        <v>32</v>
      </c>
      <c r="R138">
        <v>8</v>
      </c>
      <c r="S138">
        <v>23</v>
      </c>
      <c r="T138">
        <v>0</v>
      </c>
      <c r="U138">
        <v>5</v>
      </c>
      <c r="V138">
        <v>6</v>
      </c>
      <c r="W138">
        <v>0</v>
      </c>
      <c r="X138">
        <v>84</v>
      </c>
      <c r="Y138">
        <v>14719</v>
      </c>
    </row>
    <row r="139" spans="1:25" x14ac:dyDescent="0.3">
      <c r="A139" t="s">
        <v>192</v>
      </c>
      <c r="B139" t="s">
        <v>193</v>
      </c>
      <c r="C139">
        <v>16</v>
      </c>
      <c r="D139">
        <v>13</v>
      </c>
      <c r="E139">
        <v>3.99</v>
      </c>
      <c r="F139">
        <v>34</v>
      </c>
      <c r="G139">
        <v>34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203</v>
      </c>
      <c r="N139">
        <v>866</v>
      </c>
      <c r="O139">
        <v>210</v>
      </c>
      <c r="P139">
        <v>106</v>
      </c>
      <c r="Q139">
        <v>90</v>
      </c>
      <c r="R139">
        <v>23</v>
      </c>
      <c r="S139">
        <v>56</v>
      </c>
      <c r="T139">
        <v>1</v>
      </c>
      <c r="U139">
        <v>6</v>
      </c>
      <c r="V139">
        <v>2</v>
      </c>
      <c r="W139">
        <v>1</v>
      </c>
      <c r="X139">
        <v>147</v>
      </c>
      <c r="Y139">
        <v>15467</v>
      </c>
    </row>
    <row r="140" spans="1:25" x14ac:dyDescent="0.3">
      <c r="A140" t="s">
        <v>194</v>
      </c>
      <c r="B140" t="s">
        <v>62</v>
      </c>
      <c r="C140">
        <v>5</v>
      </c>
      <c r="D140">
        <v>4</v>
      </c>
      <c r="E140">
        <v>3.99</v>
      </c>
      <c r="F140">
        <v>51</v>
      </c>
      <c r="G140">
        <v>7</v>
      </c>
      <c r="H140">
        <v>0</v>
      </c>
      <c r="I140">
        <v>0</v>
      </c>
      <c r="J140">
        <v>0</v>
      </c>
      <c r="K140">
        <v>3</v>
      </c>
      <c r="L140">
        <v>0</v>
      </c>
      <c r="M140">
        <v>67.2</v>
      </c>
      <c r="N140">
        <v>280</v>
      </c>
      <c r="O140">
        <v>59</v>
      </c>
      <c r="P140">
        <v>30</v>
      </c>
      <c r="Q140">
        <v>30</v>
      </c>
      <c r="R140">
        <v>9</v>
      </c>
      <c r="S140">
        <v>20</v>
      </c>
      <c r="T140">
        <v>1</v>
      </c>
      <c r="U140">
        <v>5</v>
      </c>
      <c r="V140">
        <v>2</v>
      </c>
      <c r="W140">
        <v>0</v>
      </c>
      <c r="X140">
        <v>79</v>
      </c>
      <c r="Y140">
        <v>12800</v>
      </c>
    </row>
    <row r="141" spans="1:25" x14ac:dyDescent="0.3">
      <c r="A141" t="s">
        <v>195</v>
      </c>
      <c r="B141" t="s">
        <v>30</v>
      </c>
      <c r="C141">
        <v>4</v>
      </c>
      <c r="D141">
        <v>4</v>
      </c>
      <c r="E141">
        <v>3.99</v>
      </c>
      <c r="F141">
        <v>58</v>
      </c>
      <c r="G141">
        <v>1</v>
      </c>
      <c r="H141">
        <v>0</v>
      </c>
      <c r="I141">
        <v>0</v>
      </c>
      <c r="J141">
        <v>0</v>
      </c>
      <c r="K141">
        <v>3</v>
      </c>
      <c r="L141">
        <v>1</v>
      </c>
      <c r="M141">
        <v>56.1</v>
      </c>
      <c r="N141">
        <v>239</v>
      </c>
      <c r="O141">
        <v>44</v>
      </c>
      <c r="P141">
        <v>27</v>
      </c>
      <c r="Q141">
        <v>25</v>
      </c>
      <c r="R141">
        <v>11</v>
      </c>
      <c r="S141">
        <v>27</v>
      </c>
      <c r="T141">
        <v>1</v>
      </c>
      <c r="U141">
        <v>2</v>
      </c>
      <c r="V141">
        <v>0</v>
      </c>
      <c r="W141">
        <v>1</v>
      </c>
      <c r="X141">
        <v>73</v>
      </c>
      <c r="Y141">
        <v>11903</v>
      </c>
    </row>
    <row r="142" spans="1:25" x14ac:dyDescent="0.3">
      <c r="A142" t="s">
        <v>196</v>
      </c>
      <c r="B142" t="s">
        <v>26</v>
      </c>
      <c r="C142">
        <v>2</v>
      </c>
      <c r="D142">
        <v>4</v>
      </c>
      <c r="E142">
        <v>4</v>
      </c>
      <c r="F142">
        <v>47</v>
      </c>
      <c r="G142">
        <v>1</v>
      </c>
      <c r="H142">
        <v>0</v>
      </c>
      <c r="I142">
        <v>0</v>
      </c>
      <c r="J142">
        <v>0</v>
      </c>
      <c r="K142">
        <v>7</v>
      </c>
      <c r="L142">
        <v>1</v>
      </c>
      <c r="M142">
        <v>72</v>
      </c>
      <c r="N142">
        <v>296</v>
      </c>
      <c r="O142">
        <v>69</v>
      </c>
      <c r="P142">
        <v>34</v>
      </c>
      <c r="Q142">
        <v>32</v>
      </c>
      <c r="R142">
        <v>6</v>
      </c>
      <c r="S142">
        <v>18</v>
      </c>
      <c r="T142">
        <v>1</v>
      </c>
      <c r="U142">
        <v>2</v>
      </c>
      <c r="V142">
        <v>3</v>
      </c>
      <c r="W142">
        <v>0</v>
      </c>
      <c r="X142">
        <v>55</v>
      </c>
      <c r="Y142">
        <v>14682</v>
      </c>
    </row>
    <row r="143" spans="1:25" x14ac:dyDescent="0.3">
      <c r="A143" t="s">
        <v>197</v>
      </c>
      <c r="B143" t="s">
        <v>66</v>
      </c>
      <c r="C143">
        <v>11</v>
      </c>
      <c r="D143">
        <v>5</v>
      </c>
      <c r="E143">
        <v>4.01</v>
      </c>
      <c r="F143">
        <v>26</v>
      </c>
      <c r="G143">
        <v>26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146</v>
      </c>
      <c r="N143">
        <v>600</v>
      </c>
      <c r="O143">
        <v>141</v>
      </c>
      <c r="P143">
        <v>68</v>
      </c>
      <c r="Q143">
        <v>65</v>
      </c>
      <c r="R143">
        <v>23</v>
      </c>
      <c r="S143">
        <v>28</v>
      </c>
      <c r="T143">
        <v>1</v>
      </c>
      <c r="U143">
        <v>5</v>
      </c>
      <c r="V143">
        <v>8</v>
      </c>
      <c r="W143">
        <v>0</v>
      </c>
      <c r="X143">
        <v>140</v>
      </c>
      <c r="Y143">
        <v>5372</v>
      </c>
    </row>
    <row r="144" spans="1:25" x14ac:dyDescent="0.3">
      <c r="A144" t="s">
        <v>198</v>
      </c>
      <c r="B144" t="s">
        <v>75</v>
      </c>
      <c r="C144">
        <v>17</v>
      </c>
      <c r="D144">
        <v>6</v>
      </c>
      <c r="E144">
        <v>4.0199999999999996</v>
      </c>
      <c r="F144">
        <v>33</v>
      </c>
      <c r="G144">
        <v>30</v>
      </c>
      <c r="H144">
        <v>1</v>
      </c>
      <c r="I144">
        <v>0</v>
      </c>
      <c r="J144">
        <v>0</v>
      </c>
      <c r="K144">
        <v>0</v>
      </c>
      <c r="L144">
        <v>0</v>
      </c>
      <c r="M144">
        <v>165.2</v>
      </c>
      <c r="N144">
        <v>702</v>
      </c>
      <c r="O144">
        <v>174</v>
      </c>
      <c r="P144">
        <v>80</v>
      </c>
      <c r="Q144">
        <v>74</v>
      </c>
      <c r="R144">
        <v>21</v>
      </c>
      <c r="S144">
        <v>47</v>
      </c>
      <c r="T144">
        <v>3</v>
      </c>
      <c r="U144">
        <v>5</v>
      </c>
      <c r="V144">
        <v>11</v>
      </c>
      <c r="W144">
        <v>1</v>
      </c>
      <c r="X144">
        <v>173</v>
      </c>
      <c r="Y144">
        <v>13743</v>
      </c>
    </row>
    <row r="145" spans="1:25" x14ac:dyDescent="0.3">
      <c r="A145" t="s">
        <v>199</v>
      </c>
      <c r="B145" t="s">
        <v>40</v>
      </c>
      <c r="C145">
        <v>18</v>
      </c>
      <c r="D145">
        <v>4</v>
      </c>
      <c r="E145">
        <v>4.03</v>
      </c>
      <c r="F145">
        <v>27</v>
      </c>
      <c r="G145">
        <v>24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143</v>
      </c>
      <c r="N145">
        <v>594</v>
      </c>
      <c r="O145">
        <v>125</v>
      </c>
      <c r="P145">
        <v>69</v>
      </c>
      <c r="Q145">
        <v>64</v>
      </c>
      <c r="R145">
        <v>30</v>
      </c>
      <c r="S145">
        <v>39</v>
      </c>
      <c r="T145">
        <v>0</v>
      </c>
      <c r="U145">
        <v>5</v>
      </c>
      <c r="V145">
        <v>5</v>
      </c>
      <c r="W145">
        <v>0</v>
      </c>
      <c r="X145">
        <v>153</v>
      </c>
      <c r="Y145">
        <v>17149</v>
      </c>
    </row>
    <row r="146" spans="1:25" x14ac:dyDescent="0.3">
      <c r="A146" t="s">
        <v>200</v>
      </c>
      <c r="B146" t="s">
        <v>48</v>
      </c>
      <c r="C146">
        <v>5</v>
      </c>
      <c r="D146">
        <v>5</v>
      </c>
      <c r="E146">
        <v>4.04</v>
      </c>
      <c r="F146">
        <v>72</v>
      </c>
      <c r="G146">
        <v>0</v>
      </c>
      <c r="H146">
        <v>0</v>
      </c>
      <c r="I146">
        <v>0</v>
      </c>
      <c r="J146">
        <v>1</v>
      </c>
      <c r="K146">
        <v>7</v>
      </c>
      <c r="L146">
        <v>3</v>
      </c>
      <c r="M146">
        <v>71.099999999999994</v>
      </c>
      <c r="N146">
        <v>289</v>
      </c>
      <c r="O146">
        <v>57</v>
      </c>
      <c r="P146">
        <v>37</v>
      </c>
      <c r="Q146">
        <v>32</v>
      </c>
      <c r="R146">
        <v>13</v>
      </c>
      <c r="S146">
        <v>27</v>
      </c>
      <c r="T146">
        <v>1</v>
      </c>
      <c r="U146">
        <v>2</v>
      </c>
      <c r="V146">
        <v>1</v>
      </c>
      <c r="W146">
        <v>0</v>
      </c>
      <c r="X146">
        <v>54</v>
      </c>
      <c r="Y146">
        <v>9325</v>
      </c>
    </row>
    <row r="147" spans="1:25" x14ac:dyDescent="0.3">
      <c r="A147" t="s">
        <v>201</v>
      </c>
      <c r="B147" t="s">
        <v>53</v>
      </c>
      <c r="C147">
        <v>10</v>
      </c>
      <c r="D147">
        <v>8</v>
      </c>
      <c r="E147">
        <v>4.04</v>
      </c>
      <c r="F147">
        <v>37</v>
      </c>
      <c r="G147">
        <v>26</v>
      </c>
      <c r="H147">
        <v>0</v>
      </c>
      <c r="I147">
        <v>0</v>
      </c>
      <c r="J147">
        <v>3</v>
      </c>
      <c r="K147">
        <v>4</v>
      </c>
      <c r="L147">
        <v>0</v>
      </c>
      <c r="M147">
        <v>153.19999999999999</v>
      </c>
      <c r="N147">
        <v>624</v>
      </c>
      <c r="O147">
        <v>114</v>
      </c>
      <c r="P147">
        <v>70</v>
      </c>
      <c r="Q147">
        <v>69</v>
      </c>
      <c r="R147">
        <v>22</v>
      </c>
      <c r="S147">
        <v>51</v>
      </c>
      <c r="T147">
        <v>1</v>
      </c>
      <c r="U147">
        <v>4</v>
      </c>
      <c r="V147">
        <v>3</v>
      </c>
      <c r="W147">
        <v>0</v>
      </c>
      <c r="X147">
        <v>169</v>
      </c>
      <c r="Y147">
        <v>18498</v>
      </c>
    </row>
    <row r="148" spans="1:25" x14ac:dyDescent="0.3">
      <c r="A148" t="s">
        <v>202</v>
      </c>
      <c r="B148" t="s">
        <v>93</v>
      </c>
      <c r="C148">
        <v>6</v>
      </c>
      <c r="D148">
        <v>5</v>
      </c>
      <c r="E148">
        <v>4.05</v>
      </c>
      <c r="F148">
        <v>63</v>
      </c>
      <c r="G148">
        <v>0</v>
      </c>
      <c r="H148">
        <v>0</v>
      </c>
      <c r="I148">
        <v>0</v>
      </c>
      <c r="J148">
        <v>29</v>
      </c>
      <c r="K148">
        <v>2</v>
      </c>
      <c r="L148">
        <v>6</v>
      </c>
      <c r="M148">
        <v>60</v>
      </c>
      <c r="N148">
        <v>260</v>
      </c>
      <c r="O148">
        <v>63</v>
      </c>
      <c r="P148">
        <v>27</v>
      </c>
      <c r="Q148">
        <v>27</v>
      </c>
      <c r="R148">
        <v>11</v>
      </c>
      <c r="S148">
        <v>15</v>
      </c>
      <c r="T148">
        <v>2</v>
      </c>
      <c r="U148">
        <v>2</v>
      </c>
      <c r="V148">
        <v>0</v>
      </c>
      <c r="W148">
        <v>0</v>
      </c>
      <c r="X148">
        <v>66</v>
      </c>
      <c r="Y148">
        <v>1581</v>
      </c>
    </row>
    <row r="149" spans="1:25" x14ac:dyDescent="0.3">
      <c r="A149" t="s">
        <v>203</v>
      </c>
      <c r="B149" t="s">
        <v>48</v>
      </c>
      <c r="C149">
        <v>6</v>
      </c>
      <c r="D149">
        <v>12</v>
      </c>
      <c r="E149">
        <v>4.0599999999999996</v>
      </c>
      <c r="F149">
        <v>30</v>
      </c>
      <c r="G149">
        <v>23</v>
      </c>
      <c r="H149">
        <v>0</v>
      </c>
      <c r="I149">
        <v>0</v>
      </c>
      <c r="J149">
        <v>0</v>
      </c>
      <c r="K149">
        <v>1</v>
      </c>
      <c r="L149">
        <v>0</v>
      </c>
      <c r="M149">
        <v>135.1</v>
      </c>
      <c r="N149">
        <v>580</v>
      </c>
      <c r="O149">
        <v>127</v>
      </c>
      <c r="P149">
        <v>63</v>
      </c>
      <c r="Q149">
        <v>61</v>
      </c>
      <c r="R149">
        <v>19</v>
      </c>
      <c r="S149">
        <v>56</v>
      </c>
      <c r="T149">
        <v>6</v>
      </c>
      <c r="U149">
        <v>5</v>
      </c>
      <c r="V149">
        <v>4</v>
      </c>
      <c r="W149">
        <v>0</v>
      </c>
      <c r="X149">
        <v>127</v>
      </c>
      <c r="Y149">
        <v>19309</v>
      </c>
    </row>
    <row r="150" spans="1:25" x14ac:dyDescent="0.3">
      <c r="A150" t="s">
        <v>204</v>
      </c>
      <c r="B150" t="s">
        <v>32</v>
      </c>
      <c r="C150">
        <v>1</v>
      </c>
      <c r="D150">
        <v>3</v>
      </c>
      <c r="E150">
        <v>4.0599999999999996</v>
      </c>
      <c r="F150">
        <v>71</v>
      </c>
      <c r="G150">
        <v>0</v>
      </c>
      <c r="H150">
        <v>0</v>
      </c>
      <c r="I150">
        <v>0</v>
      </c>
      <c r="J150">
        <v>1</v>
      </c>
      <c r="K150">
        <v>23</v>
      </c>
      <c r="L150">
        <v>4</v>
      </c>
      <c r="M150">
        <v>51</v>
      </c>
      <c r="N150">
        <v>229</v>
      </c>
      <c r="O150">
        <v>49</v>
      </c>
      <c r="P150">
        <v>27</v>
      </c>
      <c r="Q150">
        <v>23</v>
      </c>
      <c r="R150">
        <v>3</v>
      </c>
      <c r="S150">
        <v>31</v>
      </c>
      <c r="T150">
        <v>2</v>
      </c>
      <c r="U150">
        <v>1</v>
      </c>
      <c r="V150">
        <v>3</v>
      </c>
      <c r="W150">
        <v>1</v>
      </c>
      <c r="X150">
        <v>65</v>
      </c>
      <c r="Y150">
        <v>9866</v>
      </c>
    </row>
    <row r="151" spans="1:25" x14ac:dyDescent="0.3">
      <c r="A151" t="s">
        <v>205</v>
      </c>
      <c r="B151" t="s">
        <v>71</v>
      </c>
      <c r="C151">
        <v>2</v>
      </c>
      <c r="D151">
        <v>2</v>
      </c>
      <c r="E151">
        <v>4.0599999999999996</v>
      </c>
      <c r="F151">
        <v>83</v>
      </c>
      <c r="G151">
        <v>0</v>
      </c>
      <c r="H151">
        <v>0</v>
      </c>
      <c r="I151">
        <v>0</v>
      </c>
      <c r="J151">
        <v>0</v>
      </c>
      <c r="K151">
        <v>22</v>
      </c>
      <c r="L151">
        <v>3</v>
      </c>
      <c r="M151">
        <v>62</v>
      </c>
      <c r="N151">
        <v>267</v>
      </c>
      <c r="O151">
        <v>57</v>
      </c>
      <c r="P151">
        <v>29</v>
      </c>
      <c r="Q151">
        <v>28</v>
      </c>
      <c r="R151">
        <v>8</v>
      </c>
      <c r="S151">
        <v>24</v>
      </c>
      <c r="T151">
        <v>2</v>
      </c>
      <c r="U151">
        <v>6</v>
      </c>
      <c r="V151">
        <v>1</v>
      </c>
      <c r="W151">
        <v>0</v>
      </c>
      <c r="X151">
        <v>44</v>
      </c>
      <c r="Y151">
        <v>12890</v>
      </c>
    </row>
    <row r="152" spans="1:25" x14ac:dyDescent="0.3">
      <c r="A152" t="s">
        <v>206</v>
      </c>
      <c r="B152" t="s">
        <v>48</v>
      </c>
      <c r="C152">
        <v>1</v>
      </c>
      <c r="D152">
        <v>3</v>
      </c>
      <c r="E152">
        <v>4.07</v>
      </c>
      <c r="F152">
        <v>66</v>
      </c>
      <c r="G152">
        <v>2</v>
      </c>
      <c r="H152">
        <v>0</v>
      </c>
      <c r="I152">
        <v>0</v>
      </c>
      <c r="J152">
        <v>0</v>
      </c>
      <c r="K152">
        <v>13</v>
      </c>
      <c r="L152">
        <v>0</v>
      </c>
      <c r="M152">
        <v>55.1</v>
      </c>
      <c r="N152">
        <v>241</v>
      </c>
      <c r="O152">
        <v>55</v>
      </c>
      <c r="P152">
        <v>25</v>
      </c>
      <c r="Q152">
        <v>25</v>
      </c>
      <c r="R152">
        <v>5</v>
      </c>
      <c r="S152">
        <v>25</v>
      </c>
      <c r="T152">
        <v>1</v>
      </c>
      <c r="U152">
        <v>4</v>
      </c>
      <c r="V152">
        <v>4</v>
      </c>
      <c r="W152">
        <v>1</v>
      </c>
      <c r="X152">
        <v>47</v>
      </c>
      <c r="Y152">
        <v>7947</v>
      </c>
    </row>
    <row r="153" spans="1:25" x14ac:dyDescent="0.3">
      <c r="A153" t="s">
        <v>207</v>
      </c>
      <c r="B153" t="s">
        <v>159</v>
      </c>
      <c r="C153">
        <v>5</v>
      </c>
      <c r="D153">
        <v>4</v>
      </c>
      <c r="E153">
        <v>4.07</v>
      </c>
      <c r="F153">
        <v>46</v>
      </c>
      <c r="G153">
        <v>0</v>
      </c>
      <c r="H153">
        <v>0</v>
      </c>
      <c r="I153">
        <v>0</v>
      </c>
      <c r="J153">
        <v>0</v>
      </c>
      <c r="K153">
        <v>1</v>
      </c>
      <c r="L153">
        <v>1</v>
      </c>
      <c r="M153">
        <v>79.2</v>
      </c>
      <c r="N153">
        <v>348</v>
      </c>
      <c r="O153">
        <v>76</v>
      </c>
      <c r="P153">
        <v>45</v>
      </c>
      <c r="Q153">
        <v>36</v>
      </c>
      <c r="R153">
        <v>11</v>
      </c>
      <c r="S153">
        <v>35</v>
      </c>
      <c r="T153">
        <v>4</v>
      </c>
      <c r="U153">
        <v>1</v>
      </c>
      <c r="V153">
        <v>6</v>
      </c>
      <c r="W153">
        <v>0</v>
      </c>
      <c r="X153">
        <v>74</v>
      </c>
      <c r="Y153">
        <v>12575</v>
      </c>
    </row>
    <row r="154" spans="1:25" x14ac:dyDescent="0.3">
      <c r="A154" t="s">
        <v>208</v>
      </c>
      <c r="B154" t="s">
        <v>26</v>
      </c>
      <c r="C154">
        <v>3</v>
      </c>
      <c r="D154">
        <v>5</v>
      </c>
      <c r="E154">
        <v>4.07</v>
      </c>
      <c r="F154">
        <v>14</v>
      </c>
      <c r="G154">
        <v>14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73</v>
      </c>
      <c r="N154">
        <v>313</v>
      </c>
      <c r="O154">
        <v>62</v>
      </c>
      <c r="P154">
        <v>38</v>
      </c>
      <c r="Q154">
        <v>33</v>
      </c>
      <c r="R154">
        <v>12</v>
      </c>
      <c r="S154">
        <v>30</v>
      </c>
      <c r="T154">
        <v>0</v>
      </c>
      <c r="U154">
        <v>5</v>
      </c>
      <c r="V154">
        <v>6</v>
      </c>
      <c r="W154">
        <v>0</v>
      </c>
      <c r="X154">
        <v>105</v>
      </c>
      <c r="Y154">
        <v>17186</v>
      </c>
    </row>
    <row r="155" spans="1:25" x14ac:dyDescent="0.3">
      <c r="A155" t="s">
        <v>209</v>
      </c>
      <c r="B155" t="s">
        <v>48</v>
      </c>
      <c r="C155">
        <v>5</v>
      </c>
      <c r="D155">
        <v>2</v>
      </c>
      <c r="E155">
        <v>4.09</v>
      </c>
      <c r="F155">
        <v>50</v>
      </c>
      <c r="G155">
        <v>0</v>
      </c>
      <c r="H155">
        <v>0</v>
      </c>
      <c r="I155">
        <v>0</v>
      </c>
      <c r="J155">
        <v>5</v>
      </c>
      <c r="K155">
        <v>1</v>
      </c>
      <c r="L155">
        <v>2</v>
      </c>
      <c r="M155">
        <v>50.2</v>
      </c>
      <c r="N155">
        <v>229</v>
      </c>
      <c r="O155">
        <v>51</v>
      </c>
      <c r="P155">
        <v>31</v>
      </c>
      <c r="Q155">
        <v>23</v>
      </c>
      <c r="R155">
        <v>7</v>
      </c>
      <c r="S155">
        <v>20</v>
      </c>
      <c r="T155">
        <v>3</v>
      </c>
      <c r="U155">
        <v>2</v>
      </c>
      <c r="V155">
        <v>5</v>
      </c>
      <c r="W155">
        <v>0</v>
      </c>
      <c r="X155">
        <v>64</v>
      </c>
      <c r="Y155">
        <v>3950</v>
      </c>
    </row>
    <row r="156" spans="1:25" x14ac:dyDescent="0.3">
      <c r="A156" t="s">
        <v>210</v>
      </c>
      <c r="B156" t="s">
        <v>40</v>
      </c>
      <c r="C156">
        <v>2</v>
      </c>
      <c r="D156">
        <v>1</v>
      </c>
      <c r="E156">
        <v>4.1100000000000003</v>
      </c>
      <c r="F156">
        <v>43</v>
      </c>
      <c r="G156">
        <v>0</v>
      </c>
      <c r="H156">
        <v>0</v>
      </c>
      <c r="I156">
        <v>0</v>
      </c>
      <c r="J156">
        <v>1</v>
      </c>
      <c r="K156">
        <v>4</v>
      </c>
      <c r="L156">
        <v>0</v>
      </c>
      <c r="M156">
        <v>81</v>
      </c>
      <c r="N156">
        <v>343</v>
      </c>
      <c r="O156">
        <v>75</v>
      </c>
      <c r="P156">
        <v>42</v>
      </c>
      <c r="Q156">
        <v>37</v>
      </c>
      <c r="R156">
        <v>14</v>
      </c>
      <c r="S156">
        <v>31</v>
      </c>
      <c r="T156">
        <v>1</v>
      </c>
      <c r="U156">
        <v>3</v>
      </c>
      <c r="V156">
        <v>1</v>
      </c>
      <c r="W156">
        <v>0</v>
      </c>
      <c r="X156">
        <v>75</v>
      </c>
      <c r="Y156">
        <v>13345</v>
      </c>
    </row>
    <row r="157" spans="1:25" x14ac:dyDescent="0.3">
      <c r="A157" t="s">
        <v>211</v>
      </c>
      <c r="B157" t="s">
        <v>38</v>
      </c>
      <c r="C157">
        <v>1</v>
      </c>
      <c r="D157">
        <v>2</v>
      </c>
      <c r="E157">
        <v>4.12</v>
      </c>
      <c r="F157">
        <v>58</v>
      </c>
      <c r="G157">
        <v>0</v>
      </c>
      <c r="H157">
        <v>0</v>
      </c>
      <c r="I157">
        <v>0</v>
      </c>
      <c r="J157">
        <v>0</v>
      </c>
      <c r="K157">
        <v>6</v>
      </c>
      <c r="L157">
        <v>1</v>
      </c>
      <c r="M157">
        <v>54.2</v>
      </c>
      <c r="N157">
        <v>253</v>
      </c>
      <c r="O157">
        <v>59</v>
      </c>
      <c r="P157">
        <v>26</v>
      </c>
      <c r="Q157">
        <v>25</v>
      </c>
      <c r="R157">
        <v>6</v>
      </c>
      <c r="S157">
        <v>34</v>
      </c>
      <c r="T157">
        <v>1</v>
      </c>
      <c r="U157">
        <v>2</v>
      </c>
      <c r="V157">
        <v>9</v>
      </c>
      <c r="W157">
        <v>0</v>
      </c>
      <c r="X157">
        <v>52</v>
      </c>
      <c r="Y157">
        <v>12997</v>
      </c>
    </row>
    <row r="158" spans="1:25" x14ac:dyDescent="0.3">
      <c r="A158" t="s">
        <v>212</v>
      </c>
      <c r="B158" t="s">
        <v>28</v>
      </c>
      <c r="C158">
        <v>7</v>
      </c>
      <c r="D158">
        <v>6</v>
      </c>
      <c r="E158">
        <v>4.12</v>
      </c>
      <c r="F158">
        <v>23</v>
      </c>
      <c r="G158">
        <v>15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91.2</v>
      </c>
      <c r="N158">
        <v>383</v>
      </c>
      <c r="O158">
        <v>78</v>
      </c>
      <c r="P158">
        <v>43</v>
      </c>
      <c r="Q158">
        <v>42</v>
      </c>
      <c r="R158">
        <v>15</v>
      </c>
      <c r="S158">
        <v>31</v>
      </c>
      <c r="T158">
        <v>0</v>
      </c>
      <c r="U158">
        <v>5</v>
      </c>
      <c r="V158">
        <v>1</v>
      </c>
      <c r="W158">
        <v>1</v>
      </c>
      <c r="X158">
        <v>96</v>
      </c>
      <c r="Y158">
        <v>5401</v>
      </c>
    </row>
    <row r="159" spans="1:25" x14ac:dyDescent="0.3">
      <c r="A159" t="s">
        <v>213</v>
      </c>
      <c r="B159" t="s">
        <v>32</v>
      </c>
      <c r="C159">
        <v>11</v>
      </c>
      <c r="D159">
        <v>6</v>
      </c>
      <c r="E159">
        <v>4.13</v>
      </c>
      <c r="F159">
        <v>28</v>
      </c>
      <c r="G159">
        <v>14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141.19999999999999</v>
      </c>
      <c r="N159">
        <v>563</v>
      </c>
      <c r="O159">
        <v>121</v>
      </c>
      <c r="P159">
        <v>69</v>
      </c>
      <c r="Q159">
        <v>65</v>
      </c>
      <c r="R159">
        <v>15</v>
      </c>
      <c r="S159">
        <v>20</v>
      </c>
      <c r="T159">
        <v>2</v>
      </c>
      <c r="U159">
        <v>9</v>
      </c>
      <c r="V159">
        <v>0</v>
      </c>
      <c r="W159">
        <v>1</v>
      </c>
      <c r="X159">
        <v>117</v>
      </c>
      <c r="Y159">
        <v>16502</v>
      </c>
    </row>
    <row r="160" spans="1:25" x14ac:dyDescent="0.3">
      <c r="A160" t="s">
        <v>214</v>
      </c>
      <c r="B160" t="s">
        <v>95</v>
      </c>
      <c r="C160">
        <v>10</v>
      </c>
      <c r="D160">
        <v>13</v>
      </c>
      <c r="E160">
        <v>4.13</v>
      </c>
      <c r="F160">
        <v>32</v>
      </c>
      <c r="G160">
        <v>28</v>
      </c>
      <c r="H160">
        <v>2</v>
      </c>
      <c r="I160">
        <v>1</v>
      </c>
      <c r="J160">
        <v>0</v>
      </c>
      <c r="K160">
        <v>0</v>
      </c>
      <c r="L160">
        <v>0</v>
      </c>
      <c r="M160">
        <v>163.1</v>
      </c>
      <c r="N160">
        <v>705</v>
      </c>
      <c r="O160">
        <v>172</v>
      </c>
      <c r="P160">
        <v>88</v>
      </c>
      <c r="Q160">
        <v>75</v>
      </c>
      <c r="R160">
        <v>28</v>
      </c>
      <c r="S160">
        <v>48</v>
      </c>
      <c r="T160">
        <v>5</v>
      </c>
      <c r="U160">
        <v>6</v>
      </c>
      <c r="V160">
        <v>1</v>
      </c>
      <c r="W160">
        <v>0</v>
      </c>
      <c r="X160">
        <v>129</v>
      </c>
      <c r="Y160">
        <v>13774</v>
      </c>
    </row>
    <row r="161" spans="1:25" x14ac:dyDescent="0.3">
      <c r="A161" t="s">
        <v>215</v>
      </c>
      <c r="B161" t="s">
        <v>48</v>
      </c>
      <c r="C161">
        <v>12</v>
      </c>
      <c r="D161">
        <v>8</v>
      </c>
      <c r="E161">
        <v>4.1500000000000004</v>
      </c>
      <c r="F161">
        <v>28</v>
      </c>
      <c r="G161">
        <v>28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141</v>
      </c>
      <c r="N161">
        <v>599</v>
      </c>
      <c r="O161">
        <v>131</v>
      </c>
      <c r="P161">
        <v>72</v>
      </c>
      <c r="Q161">
        <v>65</v>
      </c>
      <c r="R161">
        <v>25</v>
      </c>
      <c r="S161">
        <v>55</v>
      </c>
      <c r="T161">
        <v>2</v>
      </c>
      <c r="U161">
        <v>1</v>
      </c>
      <c r="V161">
        <v>4</v>
      </c>
      <c r="W161">
        <v>0</v>
      </c>
      <c r="X161">
        <v>146</v>
      </c>
      <c r="Y161">
        <v>7593</v>
      </c>
    </row>
    <row r="162" spans="1:25" x14ac:dyDescent="0.3">
      <c r="A162" t="s">
        <v>216</v>
      </c>
      <c r="B162" t="s">
        <v>50</v>
      </c>
      <c r="C162">
        <v>9</v>
      </c>
      <c r="D162">
        <v>14</v>
      </c>
      <c r="E162">
        <v>4.16</v>
      </c>
      <c r="F162">
        <v>32</v>
      </c>
      <c r="G162">
        <v>32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184</v>
      </c>
      <c r="N162">
        <v>764</v>
      </c>
      <c r="O162">
        <v>193</v>
      </c>
      <c r="P162">
        <v>90</v>
      </c>
      <c r="Q162">
        <v>85</v>
      </c>
      <c r="R162">
        <v>27</v>
      </c>
      <c r="S162">
        <v>32</v>
      </c>
      <c r="T162">
        <v>1</v>
      </c>
      <c r="U162">
        <v>12</v>
      </c>
      <c r="V162">
        <v>5</v>
      </c>
      <c r="W162">
        <v>2</v>
      </c>
      <c r="X162">
        <v>144</v>
      </c>
      <c r="Y162">
        <v>9803</v>
      </c>
    </row>
    <row r="163" spans="1:25" x14ac:dyDescent="0.3">
      <c r="A163" t="s">
        <v>217</v>
      </c>
      <c r="B163" t="s">
        <v>89</v>
      </c>
      <c r="C163">
        <v>3</v>
      </c>
      <c r="D163">
        <v>12</v>
      </c>
      <c r="E163">
        <v>4.16</v>
      </c>
      <c r="F163">
        <v>68</v>
      </c>
      <c r="G163">
        <v>0</v>
      </c>
      <c r="H163">
        <v>0</v>
      </c>
      <c r="I163">
        <v>0</v>
      </c>
      <c r="J163">
        <v>34</v>
      </c>
      <c r="K163">
        <v>3</v>
      </c>
      <c r="L163">
        <v>6</v>
      </c>
      <c r="M163">
        <v>67</v>
      </c>
      <c r="N163">
        <v>279</v>
      </c>
      <c r="O163">
        <v>61</v>
      </c>
      <c r="P163">
        <v>31</v>
      </c>
      <c r="Q163">
        <v>31</v>
      </c>
      <c r="R163">
        <v>12</v>
      </c>
      <c r="S163">
        <v>21</v>
      </c>
      <c r="T163">
        <v>4</v>
      </c>
      <c r="U163">
        <v>2</v>
      </c>
      <c r="V163">
        <v>3</v>
      </c>
      <c r="W163">
        <v>0</v>
      </c>
      <c r="X163">
        <v>89</v>
      </c>
      <c r="Y163">
        <v>17130</v>
      </c>
    </row>
    <row r="164" spans="1:25" x14ac:dyDescent="0.3">
      <c r="A164" t="s">
        <v>218</v>
      </c>
      <c r="B164" t="s">
        <v>83</v>
      </c>
      <c r="C164">
        <v>2</v>
      </c>
      <c r="D164">
        <v>2</v>
      </c>
      <c r="E164">
        <v>4.17</v>
      </c>
      <c r="F164">
        <v>60</v>
      </c>
      <c r="G164">
        <v>0</v>
      </c>
      <c r="H164">
        <v>0</v>
      </c>
      <c r="I164">
        <v>0</v>
      </c>
      <c r="J164">
        <v>0</v>
      </c>
      <c r="K164">
        <v>25</v>
      </c>
      <c r="L164">
        <v>3</v>
      </c>
      <c r="M164">
        <v>54</v>
      </c>
      <c r="N164">
        <v>231</v>
      </c>
      <c r="O164">
        <v>56</v>
      </c>
      <c r="P164">
        <v>26</v>
      </c>
      <c r="Q164">
        <v>25</v>
      </c>
      <c r="R164">
        <v>9</v>
      </c>
      <c r="S164">
        <v>12</v>
      </c>
      <c r="T164">
        <v>1</v>
      </c>
      <c r="U164">
        <v>5</v>
      </c>
      <c r="V164">
        <v>1</v>
      </c>
      <c r="W164">
        <v>0</v>
      </c>
      <c r="X164">
        <v>41</v>
      </c>
      <c r="Y164">
        <v>3132</v>
      </c>
    </row>
    <row r="165" spans="1:25" x14ac:dyDescent="0.3">
      <c r="A165" t="s">
        <v>219</v>
      </c>
      <c r="B165" t="s">
        <v>40</v>
      </c>
      <c r="C165">
        <v>4</v>
      </c>
      <c r="D165">
        <v>4</v>
      </c>
      <c r="E165">
        <v>4.17</v>
      </c>
      <c r="F165">
        <v>54</v>
      </c>
      <c r="G165">
        <v>15</v>
      </c>
      <c r="H165">
        <v>0</v>
      </c>
      <c r="I165">
        <v>0</v>
      </c>
      <c r="J165">
        <v>2</v>
      </c>
      <c r="K165">
        <v>4</v>
      </c>
      <c r="L165">
        <v>0</v>
      </c>
      <c r="M165">
        <v>69</v>
      </c>
      <c r="N165">
        <v>295</v>
      </c>
      <c r="O165">
        <v>66</v>
      </c>
      <c r="P165">
        <v>35</v>
      </c>
      <c r="Q165">
        <v>32</v>
      </c>
      <c r="R165">
        <v>10</v>
      </c>
      <c r="S165">
        <v>19</v>
      </c>
      <c r="T165">
        <v>0</v>
      </c>
      <c r="U165">
        <v>6</v>
      </c>
      <c r="V165">
        <v>2</v>
      </c>
      <c r="W165">
        <v>0</v>
      </c>
      <c r="X165">
        <v>98</v>
      </c>
      <c r="Y165">
        <v>15552</v>
      </c>
    </row>
    <row r="166" spans="1:25" x14ac:dyDescent="0.3">
      <c r="A166" t="s">
        <v>220</v>
      </c>
      <c r="B166" t="s">
        <v>26</v>
      </c>
      <c r="C166">
        <v>10</v>
      </c>
      <c r="D166">
        <v>10</v>
      </c>
      <c r="E166">
        <v>4.18</v>
      </c>
      <c r="F166">
        <v>30</v>
      </c>
      <c r="G166">
        <v>30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163.19999999999999</v>
      </c>
      <c r="N166">
        <v>686</v>
      </c>
      <c r="O166">
        <v>144</v>
      </c>
      <c r="P166">
        <v>78</v>
      </c>
      <c r="Q166">
        <v>76</v>
      </c>
      <c r="R166">
        <v>23</v>
      </c>
      <c r="S166">
        <v>56</v>
      </c>
      <c r="T166">
        <v>0</v>
      </c>
      <c r="U166">
        <v>2</v>
      </c>
      <c r="V166">
        <v>8</v>
      </c>
      <c r="W166">
        <v>0</v>
      </c>
      <c r="X166">
        <v>158</v>
      </c>
      <c r="Y166">
        <v>19320</v>
      </c>
    </row>
    <row r="167" spans="1:25" x14ac:dyDescent="0.3">
      <c r="A167" t="s">
        <v>221</v>
      </c>
      <c r="B167" t="s">
        <v>127</v>
      </c>
      <c r="C167">
        <v>7</v>
      </c>
      <c r="D167">
        <v>14</v>
      </c>
      <c r="E167">
        <v>4.1900000000000004</v>
      </c>
      <c r="F167">
        <v>28</v>
      </c>
      <c r="G167">
        <v>28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165.1</v>
      </c>
      <c r="N167">
        <v>709</v>
      </c>
      <c r="O167">
        <v>154</v>
      </c>
      <c r="P167">
        <v>80</v>
      </c>
      <c r="Q167">
        <v>77</v>
      </c>
      <c r="R167">
        <v>15</v>
      </c>
      <c r="S167">
        <v>70</v>
      </c>
      <c r="T167">
        <v>2</v>
      </c>
      <c r="U167">
        <v>9</v>
      </c>
      <c r="V167">
        <v>9</v>
      </c>
      <c r="W167">
        <v>1</v>
      </c>
      <c r="X167">
        <v>122</v>
      </c>
      <c r="Y167">
        <v>15734</v>
      </c>
    </row>
    <row r="168" spans="1:25" x14ac:dyDescent="0.3">
      <c r="A168" t="s">
        <v>222</v>
      </c>
      <c r="B168" t="s">
        <v>50</v>
      </c>
      <c r="C168">
        <v>14</v>
      </c>
      <c r="D168">
        <v>10</v>
      </c>
      <c r="E168">
        <v>4.1900000000000004</v>
      </c>
      <c r="F168">
        <v>31</v>
      </c>
      <c r="G168">
        <v>31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171.2</v>
      </c>
      <c r="N168">
        <v>745</v>
      </c>
      <c r="O168">
        <v>181</v>
      </c>
      <c r="P168">
        <v>83</v>
      </c>
      <c r="Q168">
        <v>80</v>
      </c>
      <c r="R168">
        <v>22</v>
      </c>
      <c r="S168">
        <v>64</v>
      </c>
      <c r="T168">
        <v>7</v>
      </c>
      <c r="U168">
        <v>8</v>
      </c>
      <c r="V168">
        <v>2</v>
      </c>
      <c r="W168">
        <v>0</v>
      </c>
      <c r="X168">
        <v>153</v>
      </c>
      <c r="Y168">
        <v>2233</v>
      </c>
    </row>
    <row r="169" spans="1:25" x14ac:dyDescent="0.3">
      <c r="A169" t="s">
        <v>223</v>
      </c>
      <c r="B169" t="s">
        <v>71</v>
      </c>
      <c r="C169">
        <v>8</v>
      </c>
      <c r="D169">
        <v>4</v>
      </c>
      <c r="E169">
        <v>4.21</v>
      </c>
      <c r="F169">
        <v>32</v>
      </c>
      <c r="G169">
        <v>27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139</v>
      </c>
      <c r="N169">
        <v>592</v>
      </c>
      <c r="O169">
        <v>126</v>
      </c>
      <c r="P169">
        <v>67</v>
      </c>
      <c r="Q169">
        <v>65</v>
      </c>
      <c r="R169">
        <v>23</v>
      </c>
      <c r="S169">
        <v>50</v>
      </c>
      <c r="T169">
        <v>2</v>
      </c>
      <c r="U169">
        <v>8</v>
      </c>
      <c r="V169">
        <v>1</v>
      </c>
      <c r="W169">
        <v>1</v>
      </c>
      <c r="X169">
        <v>124</v>
      </c>
      <c r="Y169">
        <v>6895</v>
      </c>
    </row>
    <row r="170" spans="1:25" x14ac:dyDescent="0.3">
      <c r="A170" t="s">
        <v>224</v>
      </c>
      <c r="B170" t="s">
        <v>58</v>
      </c>
      <c r="C170">
        <v>11</v>
      </c>
      <c r="D170">
        <v>10</v>
      </c>
      <c r="E170">
        <v>4.21</v>
      </c>
      <c r="F170">
        <v>32</v>
      </c>
      <c r="G170">
        <v>30</v>
      </c>
      <c r="H170">
        <v>1</v>
      </c>
      <c r="I170">
        <v>1</v>
      </c>
      <c r="J170">
        <v>0</v>
      </c>
      <c r="K170">
        <v>1</v>
      </c>
      <c r="L170">
        <v>0</v>
      </c>
      <c r="M170">
        <v>160.1</v>
      </c>
      <c r="N170">
        <v>691</v>
      </c>
      <c r="O170">
        <v>163</v>
      </c>
      <c r="P170">
        <v>83</v>
      </c>
      <c r="Q170">
        <v>75</v>
      </c>
      <c r="R170">
        <v>27</v>
      </c>
      <c r="S170">
        <v>52</v>
      </c>
      <c r="T170">
        <v>7</v>
      </c>
      <c r="U170">
        <v>7</v>
      </c>
      <c r="V170">
        <v>3</v>
      </c>
      <c r="W170">
        <v>0</v>
      </c>
      <c r="X170">
        <v>153</v>
      </c>
      <c r="Y170">
        <v>13361</v>
      </c>
    </row>
    <row r="171" spans="1:25" x14ac:dyDescent="0.3">
      <c r="A171" t="s">
        <v>225</v>
      </c>
      <c r="B171" t="s">
        <v>127</v>
      </c>
      <c r="C171">
        <v>3</v>
      </c>
      <c r="D171">
        <v>3</v>
      </c>
      <c r="E171">
        <v>4.22</v>
      </c>
      <c r="F171">
        <v>61</v>
      </c>
      <c r="G171">
        <v>0</v>
      </c>
      <c r="H171">
        <v>0</v>
      </c>
      <c r="I171">
        <v>0</v>
      </c>
      <c r="J171">
        <v>1</v>
      </c>
      <c r="K171">
        <v>14</v>
      </c>
      <c r="L171">
        <v>2</v>
      </c>
      <c r="M171">
        <v>70.099999999999994</v>
      </c>
      <c r="N171">
        <v>310</v>
      </c>
      <c r="O171">
        <v>64</v>
      </c>
      <c r="P171">
        <v>33</v>
      </c>
      <c r="Q171">
        <v>33</v>
      </c>
      <c r="R171">
        <v>6</v>
      </c>
      <c r="S171">
        <v>37</v>
      </c>
      <c r="T171">
        <v>3</v>
      </c>
      <c r="U171">
        <v>3</v>
      </c>
      <c r="V171">
        <v>5</v>
      </c>
      <c r="W171">
        <v>1</v>
      </c>
      <c r="X171">
        <v>92</v>
      </c>
      <c r="Y171">
        <v>14993</v>
      </c>
    </row>
    <row r="172" spans="1:25" x14ac:dyDescent="0.3">
      <c r="A172" t="s">
        <v>226</v>
      </c>
      <c r="B172" t="s">
        <v>38</v>
      </c>
      <c r="C172">
        <v>7</v>
      </c>
      <c r="D172">
        <v>5</v>
      </c>
      <c r="E172">
        <v>4.28</v>
      </c>
      <c r="F172">
        <v>22</v>
      </c>
      <c r="G172">
        <v>22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107.1</v>
      </c>
      <c r="N172">
        <v>458</v>
      </c>
      <c r="O172">
        <v>109</v>
      </c>
      <c r="P172">
        <v>57</v>
      </c>
      <c r="Q172">
        <v>51</v>
      </c>
      <c r="R172">
        <v>15</v>
      </c>
      <c r="S172">
        <v>32</v>
      </c>
      <c r="T172">
        <v>0</v>
      </c>
      <c r="U172">
        <v>3</v>
      </c>
      <c r="V172">
        <v>3</v>
      </c>
      <c r="W172">
        <v>1</v>
      </c>
      <c r="X172">
        <v>128</v>
      </c>
      <c r="Y172">
        <v>3184</v>
      </c>
    </row>
    <row r="173" spans="1:25" x14ac:dyDescent="0.3">
      <c r="A173" t="s">
        <v>227</v>
      </c>
      <c r="B173" t="s">
        <v>58</v>
      </c>
      <c r="C173">
        <v>10</v>
      </c>
      <c r="D173">
        <v>8</v>
      </c>
      <c r="E173">
        <v>4.28</v>
      </c>
      <c r="F173">
        <v>32</v>
      </c>
      <c r="G173">
        <v>32</v>
      </c>
      <c r="H173">
        <v>1</v>
      </c>
      <c r="I173">
        <v>1</v>
      </c>
      <c r="J173">
        <v>0</v>
      </c>
      <c r="K173">
        <v>0</v>
      </c>
      <c r="L173">
        <v>0</v>
      </c>
      <c r="M173">
        <v>197.2</v>
      </c>
      <c r="N173">
        <v>825</v>
      </c>
      <c r="O173">
        <v>194</v>
      </c>
      <c r="P173">
        <v>101</v>
      </c>
      <c r="Q173">
        <v>94</v>
      </c>
      <c r="R173">
        <v>24</v>
      </c>
      <c r="S173">
        <v>50</v>
      </c>
      <c r="T173">
        <v>2</v>
      </c>
      <c r="U173">
        <v>6</v>
      </c>
      <c r="V173">
        <v>4</v>
      </c>
      <c r="W173">
        <v>0</v>
      </c>
      <c r="X173">
        <v>202</v>
      </c>
      <c r="Y173">
        <v>11762</v>
      </c>
    </row>
    <row r="174" spans="1:25" x14ac:dyDescent="0.3">
      <c r="A174" t="s">
        <v>228</v>
      </c>
      <c r="B174" t="s">
        <v>32</v>
      </c>
      <c r="C174">
        <v>6</v>
      </c>
      <c r="D174">
        <v>8</v>
      </c>
      <c r="E174">
        <v>4.29</v>
      </c>
      <c r="F174">
        <v>23</v>
      </c>
      <c r="G174">
        <v>23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107</v>
      </c>
      <c r="N174">
        <v>441</v>
      </c>
      <c r="O174">
        <v>96</v>
      </c>
      <c r="P174">
        <v>53</v>
      </c>
      <c r="Q174">
        <v>51</v>
      </c>
      <c r="R174">
        <v>14</v>
      </c>
      <c r="S174">
        <v>40</v>
      </c>
      <c r="T174">
        <v>1</v>
      </c>
      <c r="U174">
        <v>1</v>
      </c>
      <c r="V174">
        <v>11</v>
      </c>
      <c r="W174">
        <v>1</v>
      </c>
      <c r="X174">
        <v>147</v>
      </c>
      <c r="Y174">
        <v>13543</v>
      </c>
    </row>
    <row r="175" spans="1:25" x14ac:dyDescent="0.3">
      <c r="A175" t="s">
        <v>229</v>
      </c>
      <c r="B175" t="s">
        <v>62</v>
      </c>
      <c r="C175">
        <v>7</v>
      </c>
      <c r="D175">
        <v>7</v>
      </c>
      <c r="E175">
        <v>4.29</v>
      </c>
      <c r="F175">
        <v>15</v>
      </c>
      <c r="G175">
        <v>15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79.2</v>
      </c>
      <c r="N175">
        <v>335</v>
      </c>
      <c r="O175">
        <v>73</v>
      </c>
      <c r="P175">
        <v>41</v>
      </c>
      <c r="Q175">
        <v>38</v>
      </c>
      <c r="R175">
        <v>9</v>
      </c>
      <c r="S175">
        <v>28</v>
      </c>
      <c r="T175">
        <v>0</v>
      </c>
      <c r="U175">
        <v>2</v>
      </c>
      <c r="V175">
        <v>2</v>
      </c>
      <c r="W175">
        <v>2</v>
      </c>
      <c r="X175">
        <v>78</v>
      </c>
      <c r="Y175">
        <v>10190</v>
      </c>
    </row>
    <row r="176" spans="1:25" x14ac:dyDescent="0.3">
      <c r="A176" t="s">
        <v>230</v>
      </c>
      <c r="B176" t="s">
        <v>48</v>
      </c>
      <c r="C176">
        <v>12</v>
      </c>
      <c r="D176">
        <v>11</v>
      </c>
      <c r="E176">
        <v>4.29</v>
      </c>
      <c r="F176">
        <v>32</v>
      </c>
      <c r="G176">
        <v>32</v>
      </c>
      <c r="H176">
        <v>2</v>
      </c>
      <c r="I176">
        <v>1</v>
      </c>
      <c r="J176">
        <v>0</v>
      </c>
      <c r="K176">
        <v>0</v>
      </c>
      <c r="L176">
        <v>0</v>
      </c>
      <c r="M176">
        <v>197</v>
      </c>
      <c r="N176">
        <v>835</v>
      </c>
      <c r="O176">
        <v>227</v>
      </c>
      <c r="P176">
        <v>114</v>
      </c>
      <c r="Q176">
        <v>94</v>
      </c>
      <c r="R176">
        <v>41</v>
      </c>
      <c r="S176">
        <v>27</v>
      </c>
      <c r="T176">
        <v>2</v>
      </c>
      <c r="U176">
        <v>10</v>
      </c>
      <c r="V176">
        <v>2</v>
      </c>
      <c r="W176">
        <v>0</v>
      </c>
      <c r="X176">
        <v>127</v>
      </c>
      <c r="Y176">
        <v>10130</v>
      </c>
    </row>
    <row r="177" spans="1:25" x14ac:dyDescent="0.3">
      <c r="A177" t="s">
        <v>231</v>
      </c>
      <c r="B177" t="s">
        <v>34</v>
      </c>
      <c r="C177">
        <v>2</v>
      </c>
      <c r="D177">
        <v>4</v>
      </c>
      <c r="E177">
        <v>4.3</v>
      </c>
      <c r="F177">
        <v>71</v>
      </c>
      <c r="G177">
        <v>1</v>
      </c>
      <c r="H177">
        <v>0</v>
      </c>
      <c r="I177">
        <v>0</v>
      </c>
      <c r="J177">
        <v>1</v>
      </c>
      <c r="K177">
        <v>21</v>
      </c>
      <c r="L177">
        <v>5</v>
      </c>
      <c r="M177">
        <v>69</v>
      </c>
      <c r="N177">
        <v>278</v>
      </c>
      <c r="O177">
        <v>51</v>
      </c>
      <c r="P177">
        <v>33</v>
      </c>
      <c r="Q177">
        <v>33</v>
      </c>
      <c r="R177">
        <v>9</v>
      </c>
      <c r="S177">
        <v>20</v>
      </c>
      <c r="T177">
        <v>1</v>
      </c>
      <c r="U177">
        <v>3</v>
      </c>
      <c r="V177">
        <v>5</v>
      </c>
      <c r="W177">
        <v>1</v>
      </c>
      <c r="X177">
        <v>79</v>
      </c>
      <c r="Y177">
        <v>6941</v>
      </c>
    </row>
    <row r="178" spans="1:25" x14ac:dyDescent="0.3">
      <c r="A178" t="s">
        <v>232</v>
      </c>
      <c r="B178" t="s">
        <v>32</v>
      </c>
      <c r="C178">
        <v>6</v>
      </c>
      <c r="D178">
        <v>3</v>
      </c>
      <c r="E178">
        <v>4.3099999999999996</v>
      </c>
      <c r="F178">
        <v>33</v>
      </c>
      <c r="G178">
        <v>3</v>
      </c>
      <c r="H178">
        <v>0</v>
      </c>
      <c r="I178">
        <v>0</v>
      </c>
      <c r="J178">
        <v>1</v>
      </c>
      <c r="K178">
        <v>2</v>
      </c>
      <c r="L178">
        <v>0</v>
      </c>
      <c r="M178">
        <v>104.1</v>
      </c>
      <c r="N178">
        <v>464</v>
      </c>
      <c r="O178">
        <v>115</v>
      </c>
      <c r="P178">
        <v>56</v>
      </c>
      <c r="Q178">
        <v>50</v>
      </c>
      <c r="R178">
        <v>12</v>
      </c>
      <c r="S178">
        <v>40</v>
      </c>
      <c r="T178">
        <v>1</v>
      </c>
      <c r="U178">
        <v>9</v>
      </c>
      <c r="V178">
        <v>3</v>
      </c>
      <c r="W178">
        <v>0</v>
      </c>
      <c r="X178">
        <v>89</v>
      </c>
      <c r="Y178">
        <v>17192</v>
      </c>
    </row>
    <row r="179" spans="1:25" x14ac:dyDescent="0.3">
      <c r="A179" t="s">
        <v>233</v>
      </c>
      <c r="B179" t="s">
        <v>143</v>
      </c>
      <c r="C179">
        <v>2</v>
      </c>
      <c r="D179">
        <v>4</v>
      </c>
      <c r="E179">
        <v>4.33</v>
      </c>
      <c r="F179">
        <v>70</v>
      </c>
      <c r="G179">
        <v>3</v>
      </c>
      <c r="H179">
        <v>0</v>
      </c>
      <c r="I179">
        <v>0</v>
      </c>
      <c r="J179">
        <v>14</v>
      </c>
      <c r="K179">
        <v>7</v>
      </c>
      <c r="L179">
        <v>4</v>
      </c>
      <c r="M179">
        <v>68.2</v>
      </c>
      <c r="N179">
        <v>299</v>
      </c>
      <c r="O179">
        <v>52</v>
      </c>
      <c r="P179">
        <v>34</v>
      </c>
      <c r="Q179">
        <v>33</v>
      </c>
      <c r="R179">
        <v>7</v>
      </c>
      <c r="S179">
        <v>39</v>
      </c>
      <c r="T179">
        <v>1</v>
      </c>
      <c r="U179">
        <v>6</v>
      </c>
      <c r="V179">
        <v>7</v>
      </c>
      <c r="W179">
        <v>0</v>
      </c>
      <c r="X179">
        <v>100</v>
      </c>
      <c r="Y179">
        <v>14524</v>
      </c>
    </row>
    <row r="180" spans="1:25" x14ac:dyDescent="0.3">
      <c r="A180" t="s">
        <v>234</v>
      </c>
      <c r="B180" t="s">
        <v>98</v>
      </c>
      <c r="C180">
        <v>12</v>
      </c>
      <c r="D180">
        <v>8</v>
      </c>
      <c r="E180">
        <v>4.34</v>
      </c>
      <c r="F180">
        <v>33</v>
      </c>
      <c r="G180">
        <v>33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174.1</v>
      </c>
      <c r="N180">
        <v>747</v>
      </c>
      <c r="O180">
        <v>150</v>
      </c>
      <c r="P180">
        <v>91</v>
      </c>
      <c r="Q180">
        <v>84</v>
      </c>
      <c r="R180">
        <v>30</v>
      </c>
      <c r="S180">
        <v>84</v>
      </c>
      <c r="T180">
        <v>5</v>
      </c>
      <c r="U180">
        <v>5</v>
      </c>
      <c r="V180">
        <v>7</v>
      </c>
      <c r="W180">
        <v>0</v>
      </c>
      <c r="X180">
        <v>235</v>
      </c>
      <c r="Y180">
        <v>11486</v>
      </c>
    </row>
    <row r="181" spans="1:25" x14ac:dyDescent="0.3">
      <c r="A181" t="s">
        <v>235</v>
      </c>
      <c r="B181" t="s">
        <v>127</v>
      </c>
      <c r="C181">
        <v>7</v>
      </c>
      <c r="D181">
        <v>6</v>
      </c>
      <c r="E181">
        <v>4.34</v>
      </c>
      <c r="F181">
        <v>23</v>
      </c>
      <c r="G181">
        <v>23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130.19999999999999</v>
      </c>
      <c r="N181">
        <v>555</v>
      </c>
      <c r="O181">
        <v>125</v>
      </c>
      <c r="P181">
        <v>69</v>
      </c>
      <c r="Q181">
        <v>63</v>
      </c>
      <c r="R181">
        <v>21</v>
      </c>
      <c r="S181">
        <v>46</v>
      </c>
      <c r="T181">
        <v>0</v>
      </c>
      <c r="U181">
        <v>8</v>
      </c>
      <c r="V181">
        <v>4</v>
      </c>
      <c r="W181">
        <v>0</v>
      </c>
      <c r="X181">
        <v>115</v>
      </c>
      <c r="Y181">
        <v>3542</v>
      </c>
    </row>
    <row r="182" spans="1:25" x14ac:dyDescent="0.3">
      <c r="A182" t="s">
        <v>236</v>
      </c>
      <c r="B182" t="s">
        <v>48</v>
      </c>
      <c r="C182">
        <v>10</v>
      </c>
      <c r="D182">
        <v>10</v>
      </c>
      <c r="E182">
        <v>4.3499999999999996</v>
      </c>
      <c r="F182">
        <v>31</v>
      </c>
      <c r="G182">
        <v>31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165.1</v>
      </c>
      <c r="N182">
        <v>722</v>
      </c>
      <c r="O182">
        <v>180</v>
      </c>
      <c r="P182">
        <v>84</v>
      </c>
      <c r="Q182">
        <v>80</v>
      </c>
      <c r="R182">
        <v>28</v>
      </c>
      <c r="S182">
        <v>51</v>
      </c>
      <c r="T182">
        <v>1</v>
      </c>
      <c r="U182">
        <v>13</v>
      </c>
      <c r="V182">
        <v>3</v>
      </c>
      <c r="W182">
        <v>0</v>
      </c>
      <c r="X182">
        <v>158</v>
      </c>
      <c r="Y182">
        <v>8753</v>
      </c>
    </row>
    <row r="183" spans="1:25" x14ac:dyDescent="0.3">
      <c r="A183" t="s">
        <v>237</v>
      </c>
      <c r="B183" t="s">
        <v>62</v>
      </c>
      <c r="C183">
        <v>2</v>
      </c>
      <c r="D183">
        <v>1</v>
      </c>
      <c r="E183">
        <v>4.3499999999999996</v>
      </c>
      <c r="F183">
        <v>64</v>
      </c>
      <c r="G183">
        <v>2</v>
      </c>
      <c r="H183">
        <v>0</v>
      </c>
      <c r="I183">
        <v>0</v>
      </c>
      <c r="J183">
        <v>1</v>
      </c>
      <c r="K183">
        <v>6</v>
      </c>
      <c r="L183">
        <v>2</v>
      </c>
      <c r="M183">
        <v>62</v>
      </c>
      <c r="N183">
        <v>278</v>
      </c>
      <c r="O183">
        <v>61</v>
      </c>
      <c r="P183">
        <v>35</v>
      </c>
      <c r="Q183">
        <v>30</v>
      </c>
      <c r="R183">
        <v>13</v>
      </c>
      <c r="S183">
        <v>33</v>
      </c>
      <c r="T183">
        <v>1</v>
      </c>
      <c r="U183">
        <v>5</v>
      </c>
      <c r="V183">
        <v>7</v>
      </c>
      <c r="W183">
        <v>0</v>
      </c>
      <c r="X183">
        <v>57</v>
      </c>
      <c r="Y183">
        <v>6984</v>
      </c>
    </row>
    <row r="184" spans="1:25" x14ac:dyDescent="0.3">
      <c r="A184" t="s">
        <v>238</v>
      </c>
      <c r="B184" t="s">
        <v>159</v>
      </c>
      <c r="C184">
        <v>4</v>
      </c>
      <c r="D184">
        <v>7</v>
      </c>
      <c r="E184">
        <v>4.37</v>
      </c>
      <c r="F184">
        <v>66</v>
      </c>
      <c r="G184">
        <v>0</v>
      </c>
      <c r="H184">
        <v>0</v>
      </c>
      <c r="I184">
        <v>0</v>
      </c>
      <c r="J184">
        <v>9</v>
      </c>
      <c r="K184">
        <v>15</v>
      </c>
      <c r="L184">
        <v>5</v>
      </c>
      <c r="M184">
        <v>59.2</v>
      </c>
      <c r="N184">
        <v>257</v>
      </c>
      <c r="O184">
        <v>56</v>
      </c>
      <c r="P184">
        <v>33</v>
      </c>
      <c r="Q184">
        <v>29</v>
      </c>
      <c r="R184">
        <v>13</v>
      </c>
      <c r="S184">
        <v>23</v>
      </c>
      <c r="T184">
        <v>1</v>
      </c>
      <c r="U184">
        <v>4</v>
      </c>
      <c r="V184">
        <v>1</v>
      </c>
      <c r="W184">
        <v>1</v>
      </c>
      <c r="X184">
        <v>82</v>
      </c>
      <c r="Y184">
        <v>15761</v>
      </c>
    </row>
    <row r="185" spans="1:25" x14ac:dyDescent="0.3">
      <c r="A185" t="s">
        <v>239</v>
      </c>
      <c r="B185" t="s">
        <v>36</v>
      </c>
      <c r="C185">
        <v>5</v>
      </c>
      <c r="D185">
        <v>5</v>
      </c>
      <c r="E185">
        <v>4.38</v>
      </c>
      <c r="F185">
        <v>16</v>
      </c>
      <c r="G185">
        <v>13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78</v>
      </c>
      <c r="N185">
        <v>335</v>
      </c>
      <c r="O185">
        <v>75</v>
      </c>
      <c r="P185">
        <v>43</v>
      </c>
      <c r="Q185">
        <v>38</v>
      </c>
      <c r="R185">
        <v>12</v>
      </c>
      <c r="S185">
        <v>29</v>
      </c>
      <c r="T185">
        <v>0</v>
      </c>
      <c r="U185">
        <v>5</v>
      </c>
      <c r="V185">
        <v>2</v>
      </c>
      <c r="W185">
        <v>0</v>
      </c>
      <c r="X185">
        <v>63</v>
      </c>
      <c r="Y185">
        <v>18318</v>
      </c>
    </row>
    <row r="186" spans="1:25" x14ac:dyDescent="0.3">
      <c r="A186" t="s">
        <v>240</v>
      </c>
      <c r="B186" t="s">
        <v>38</v>
      </c>
      <c r="C186">
        <v>6</v>
      </c>
      <c r="D186">
        <v>11</v>
      </c>
      <c r="E186">
        <v>4.4000000000000004</v>
      </c>
      <c r="F186">
        <v>25</v>
      </c>
      <c r="G186">
        <v>25</v>
      </c>
      <c r="H186">
        <v>1</v>
      </c>
      <c r="I186">
        <v>1</v>
      </c>
      <c r="J186">
        <v>0</v>
      </c>
      <c r="K186">
        <v>0</v>
      </c>
      <c r="L186">
        <v>0</v>
      </c>
      <c r="M186">
        <v>147.1</v>
      </c>
      <c r="N186">
        <v>612</v>
      </c>
      <c r="O186">
        <v>123</v>
      </c>
      <c r="P186">
        <v>80</v>
      </c>
      <c r="Q186">
        <v>72</v>
      </c>
      <c r="R186">
        <v>24</v>
      </c>
      <c r="S186">
        <v>37</v>
      </c>
      <c r="T186">
        <v>0</v>
      </c>
      <c r="U186">
        <v>13</v>
      </c>
      <c r="V186">
        <v>2</v>
      </c>
      <c r="W186">
        <v>0</v>
      </c>
      <c r="X186">
        <v>218</v>
      </c>
      <c r="Y186">
        <v>10603</v>
      </c>
    </row>
    <row r="187" spans="1:25" x14ac:dyDescent="0.3">
      <c r="A187" t="s">
        <v>241</v>
      </c>
      <c r="B187" t="s">
        <v>98</v>
      </c>
      <c r="C187">
        <v>13</v>
      </c>
      <c r="D187">
        <v>14</v>
      </c>
      <c r="E187">
        <v>4.42</v>
      </c>
      <c r="F187">
        <v>32</v>
      </c>
      <c r="G187">
        <v>32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183.1</v>
      </c>
      <c r="N187">
        <v>777</v>
      </c>
      <c r="O187">
        <v>184</v>
      </c>
      <c r="P187">
        <v>95</v>
      </c>
      <c r="Q187">
        <v>90</v>
      </c>
      <c r="R187">
        <v>29</v>
      </c>
      <c r="S187">
        <v>57</v>
      </c>
      <c r="T187">
        <v>4</v>
      </c>
      <c r="U187">
        <v>2</v>
      </c>
      <c r="V187">
        <v>4</v>
      </c>
      <c r="W187">
        <v>0</v>
      </c>
      <c r="X187">
        <v>158</v>
      </c>
      <c r="Y187">
        <v>11156</v>
      </c>
    </row>
    <row r="188" spans="1:25" x14ac:dyDescent="0.3">
      <c r="A188" t="s">
        <v>242</v>
      </c>
      <c r="B188" t="s">
        <v>30</v>
      </c>
      <c r="C188">
        <v>11</v>
      </c>
      <c r="D188">
        <v>12</v>
      </c>
      <c r="E188">
        <v>4.4400000000000004</v>
      </c>
      <c r="F188">
        <v>32</v>
      </c>
      <c r="G188">
        <v>31</v>
      </c>
      <c r="H188">
        <v>0</v>
      </c>
      <c r="I188">
        <v>0</v>
      </c>
      <c r="J188">
        <v>0</v>
      </c>
      <c r="K188">
        <v>1</v>
      </c>
      <c r="L188">
        <v>0</v>
      </c>
      <c r="M188">
        <v>170.1</v>
      </c>
      <c r="N188">
        <v>718</v>
      </c>
      <c r="O188">
        <v>168</v>
      </c>
      <c r="P188">
        <v>98</v>
      </c>
      <c r="Q188">
        <v>84</v>
      </c>
      <c r="R188">
        <v>21</v>
      </c>
      <c r="S188">
        <v>39</v>
      </c>
      <c r="T188">
        <v>1</v>
      </c>
      <c r="U188">
        <v>9</v>
      </c>
      <c r="V188">
        <v>2</v>
      </c>
      <c r="W188">
        <v>0</v>
      </c>
      <c r="X188">
        <v>157</v>
      </c>
      <c r="Y188">
        <v>12970</v>
      </c>
    </row>
    <row r="189" spans="1:25" x14ac:dyDescent="0.3">
      <c r="A189" t="s">
        <v>243</v>
      </c>
      <c r="B189" t="s">
        <v>83</v>
      </c>
      <c r="C189">
        <v>7</v>
      </c>
      <c r="D189">
        <v>0</v>
      </c>
      <c r="E189">
        <v>4.4400000000000004</v>
      </c>
      <c r="F189">
        <v>50</v>
      </c>
      <c r="G189">
        <v>0</v>
      </c>
      <c r="H189">
        <v>0</v>
      </c>
      <c r="I189">
        <v>0</v>
      </c>
      <c r="J189">
        <v>1</v>
      </c>
      <c r="K189">
        <v>1</v>
      </c>
      <c r="L189">
        <v>1</v>
      </c>
      <c r="M189">
        <v>52.2</v>
      </c>
      <c r="N189">
        <v>214</v>
      </c>
      <c r="O189">
        <v>41</v>
      </c>
      <c r="P189">
        <v>26</v>
      </c>
      <c r="Q189">
        <v>26</v>
      </c>
      <c r="R189">
        <v>4</v>
      </c>
      <c r="S189">
        <v>17</v>
      </c>
      <c r="T189">
        <v>0</v>
      </c>
      <c r="U189">
        <v>2</v>
      </c>
      <c r="V189">
        <v>1</v>
      </c>
      <c r="W189">
        <v>0</v>
      </c>
      <c r="X189">
        <v>57</v>
      </c>
      <c r="Y189">
        <v>15046</v>
      </c>
    </row>
    <row r="190" spans="1:25" x14ac:dyDescent="0.3">
      <c r="A190" t="s">
        <v>244</v>
      </c>
      <c r="B190" t="s">
        <v>50</v>
      </c>
      <c r="C190">
        <v>5</v>
      </c>
      <c r="D190">
        <v>6</v>
      </c>
      <c r="E190">
        <v>4.45</v>
      </c>
      <c r="F190">
        <v>73</v>
      </c>
      <c r="G190">
        <v>0</v>
      </c>
      <c r="H190">
        <v>0</v>
      </c>
      <c r="I190">
        <v>0</v>
      </c>
      <c r="J190">
        <v>6</v>
      </c>
      <c r="K190">
        <v>28</v>
      </c>
      <c r="L190">
        <v>5</v>
      </c>
      <c r="M190">
        <v>54.2</v>
      </c>
      <c r="N190">
        <v>236</v>
      </c>
      <c r="O190">
        <v>45</v>
      </c>
      <c r="P190">
        <v>32</v>
      </c>
      <c r="Q190">
        <v>27</v>
      </c>
      <c r="R190">
        <v>11</v>
      </c>
      <c r="S190">
        <v>27</v>
      </c>
      <c r="T190">
        <v>1</v>
      </c>
      <c r="U190">
        <v>8</v>
      </c>
      <c r="V190">
        <v>4</v>
      </c>
      <c r="W190">
        <v>0</v>
      </c>
      <c r="X190">
        <v>70</v>
      </c>
      <c r="Y190">
        <v>6785</v>
      </c>
    </row>
    <row r="191" spans="1:25" x14ac:dyDescent="0.3">
      <c r="A191" t="s">
        <v>245</v>
      </c>
      <c r="B191" t="s">
        <v>56</v>
      </c>
      <c r="C191">
        <v>6</v>
      </c>
      <c r="D191">
        <v>3</v>
      </c>
      <c r="E191">
        <v>4.45</v>
      </c>
      <c r="F191">
        <v>68</v>
      </c>
      <c r="G191">
        <v>0</v>
      </c>
      <c r="H191">
        <v>0</v>
      </c>
      <c r="I191">
        <v>0</v>
      </c>
      <c r="J191">
        <v>1</v>
      </c>
      <c r="K191">
        <v>19</v>
      </c>
      <c r="L191">
        <v>2</v>
      </c>
      <c r="M191">
        <v>56.2</v>
      </c>
      <c r="N191">
        <v>244</v>
      </c>
      <c r="O191">
        <v>56</v>
      </c>
      <c r="P191">
        <v>29</v>
      </c>
      <c r="Q191">
        <v>28</v>
      </c>
      <c r="R191">
        <v>6</v>
      </c>
      <c r="S191">
        <v>19</v>
      </c>
      <c r="T191">
        <v>2</v>
      </c>
      <c r="U191">
        <v>4</v>
      </c>
      <c r="V191">
        <v>0</v>
      </c>
      <c r="W191">
        <v>0</v>
      </c>
      <c r="X191">
        <v>41</v>
      </c>
      <c r="Y191">
        <v>15288</v>
      </c>
    </row>
    <row r="192" spans="1:25" x14ac:dyDescent="0.3">
      <c r="A192" t="s">
        <v>246</v>
      </c>
      <c r="B192" t="s">
        <v>26</v>
      </c>
      <c r="C192">
        <v>8</v>
      </c>
      <c r="D192">
        <v>10</v>
      </c>
      <c r="E192">
        <v>4.45</v>
      </c>
      <c r="F192">
        <v>30</v>
      </c>
      <c r="G192">
        <v>29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149.19999999999999</v>
      </c>
      <c r="N192">
        <v>651</v>
      </c>
      <c r="O192">
        <v>158</v>
      </c>
      <c r="P192">
        <v>82</v>
      </c>
      <c r="Q192">
        <v>74</v>
      </c>
      <c r="R192">
        <v>20</v>
      </c>
      <c r="S192">
        <v>51</v>
      </c>
      <c r="T192">
        <v>4</v>
      </c>
      <c r="U192">
        <v>5</v>
      </c>
      <c r="V192">
        <v>4</v>
      </c>
      <c r="W192">
        <v>1</v>
      </c>
      <c r="X192">
        <v>138</v>
      </c>
      <c r="Y192">
        <v>19316</v>
      </c>
    </row>
    <row r="193" spans="1:25" x14ac:dyDescent="0.3">
      <c r="A193" t="s">
        <v>247</v>
      </c>
      <c r="B193" t="s">
        <v>40</v>
      </c>
      <c r="C193">
        <v>11</v>
      </c>
      <c r="D193">
        <v>9</v>
      </c>
      <c r="E193">
        <v>4.45</v>
      </c>
      <c r="F193">
        <v>32</v>
      </c>
      <c r="G193">
        <v>31</v>
      </c>
      <c r="H193">
        <v>1</v>
      </c>
      <c r="I193">
        <v>1</v>
      </c>
      <c r="J193">
        <v>0</v>
      </c>
      <c r="K193">
        <v>0</v>
      </c>
      <c r="L193">
        <v>0</v>
      </c>
      <c r="M193">
        <v>182</v>
      </c>
      <c r="N193">
        <v>759</v>
      </c>
      <c r="O193">
        <v>186</v>
      </c>
      <c r="P193">
        <v>95</v>
      </c>
      <c r="Q193">
        <v>90</v>
      </c>
      <c r="R193">
        <v>28</v>
      </c>
      <c r="S193">
        <v>40</v>
      </c>
      <c r="T193">
        <v>0</v>
      </c>
      <c r="U193">
        <v>2</v>
      </c>
      <c r="V193">
        <v>7</v>
      </c>
      <c r="W193">
        <v>0</v>
      </c>
      <c r="X193">
        <v>149</v>
      </c>
      <c r="Y193">
        <v>15764</v>
      </c>
    </row>
    <row r="194" spans="1:25" x14ac:dyDescent="0.3">
      <c r="A194" t="s">
        <v>248</v>
      </c>
      <c r="B194" t="s">
        <v>77</v>
      </c>
      <c r="C194">
        <v>13</v>
      </c>
      <c r="D194">
        <v>10</v>
      </c>
      <c r="E194">
        <v>4.46</v>
      </c>
      <c r="F194">
        <v>31</v>
      </c>
      <c r="G194">
        <v>31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171.2</v>
      </c>
      <c r="N194">
        <v>764</v>
      </c>
      <c r="O194">
        <v>205</v>
      </c>
      <c r="P194">
        <v>101</v>
      </c>
      <c r="Q194">
        <v>85</v>
      </c>
      <c r="R194">
        <v>26</v>
      </c>
      <c r="S194">
        <v>52</v>
      </c>
      <c r="T194">
        <v>0</v>
      </c>
      <c r="U194">
        <v>5</v>
      </c>
      <c r="V194">
        <v>3</v>
      </c>
      <c r="W194">
        <v>0</v>
      </c>
      <c r="X194">
        <v>165</v>
      </c>
      <c r="Y194">
        <v>4930</v>
      </c>
    </row>
    <row r="195" spans="1:25" x14ac:dyDescent="0.3">
      <c r="A195" t="s">
        <v>249</v>
      </c>
      <c r="B195" t="s">
        <v>102</v>
      </c>
      <c r="C195">
        <v>4</v>
      </c>
      <c r="D195">
        <v>5</v>
      </c>
      <c r="E195">
        <v>4.46</v>
      </c>
      <c r="F195">
        <v>15</v>
      </c>
      <c r="G195">
        <v>15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78.2</v>
      </c>
      <c r="N195">
        <v>325</v>
      </c>
      <c r="O195">
        <v>54</v>
      </c>
      <c r="P195">
        <v>42</v>
      </c>
      <c r="Q195">
        <v>39</v>
      </c>
      <c r="R195">
        <v>11</v>
      </c>
      <c r="S195">
        <v>36</v>
      </c>
      <c r="T195">
        <v>1</v>
      </c>
      <c r="U195">
        <v>5</v>
      </c>
      <c r="V195">
        <v>5</v>
      </c>
      <c r="W195">
        <v>0</v>
      </c>
      <c r="X195">
        <v>82</v>
      </c>
      <c r="Y195">
        <v>17585</v>
      </c>
    </row>
    <row r="196" spans="1:25" x14ac:dyDescent="0.3">
      <c r="A196" t="s">
        <v>250</v>
      </c>
      <c r="B196" t="s">
        <v>127</v>
      </c>
      <c r="C196">
        <v>4</v>
      </c>
      <c r="D196">
        <v>2</v>
      </c>
      <c r="E196">
        <v>4.4800000000000004</v>
      </c>
      <c r="F196">
        <v>56</v>
      </c>
      <c r="G196">
        <v>0</v>
      </c>
      <c r="H196">
        <v>0</v>
      </c>
      <c r="I196">
        <v>0</v>
      </c>
      <c r="J196">
        <v>1</v>
      </c>
      <c r="K196">
        <v>6</v>
      </c>
      <c r="L196">
        <v>4</v>
      </c>
      <c r="M196">
        <v>60.1</v>
      </c>
      <c r="N196">
        <v>268</v>
      </c>
      <c r="O196">
        <v>68</v>
      </c>
      <c r="P196">
        <v>31</v>
      </c>
      <c r="Q196">
        <v>30</v>
      </c>
      <c r="R196">
        <v>4</v>
      </c>
      <c r="S196">
        <v>21</v>
      </c>
      <c r="T196">
        <v>6</v>
      </c>
      <c r="U196">
        <v>2</v>
      </c>
      <c r="V196">
        <v>2</v>
      </c>
      <c r="W196">
        <v>0</v>
      </c>
      <c r="X196">
        <v>38</v>
      </c>
      <c r="Y196">
        <v>15240</v>
      </c>
    </row>
    <row r="197" spans="1:25" x14ac:dyDescent="0.3">
      <c r="A197" t="s">
        <v>251</v>
      </c>
      <c r="B197" t="s">
        <v>48</v>
      </c>
      <c r="C197">
        <v>11</v>
      </c>
      <c r="D197">
        <v>13</v>
      </c>
      <c r="E197">
        <v>4.4800000000000004</v>
      </c>
      <c r="F197">
        <v>34</v>
      </c>
      <c r="G197">
        <v>34</v>
      </c>
      <c r="H197">
        <v>1</v>
      </c>
      <c r="I197">
        <v>1</v>
      </c>
      <c r="J197">
        <v>0</v>
      </c>
      <c r="K197">
        <v>0</v>
      </c>
      <c r="L197">
        <v>0</v>
      </c>
      <c r="M197">
        <v>213</v>
      </c>
      <c r="N197">
        <v>911</v>
      </c>
      <c r="O197">
        <v>184</v>
      </c>
      <c r="P197">
        <v>118</v>
      </c>
      <c r="Q197">
        <v>106</v>
      </c>
      <c r="R197">
        <v>34</v>
      </c>
      <c r="S197">
        <v>82</v>
      </c>
      <c r="T197">
        <v>0</v>
      </c>
      <c r="U197">
        <v>19</v>
      </c>
      <c r="V197">
        <v>10</v>
      </c>
      <c r="W197">
        <v>0</v>
      </c>
      <c r="X197">
        <v>253</v>
      </c>
      <c r="Y197">
        <v>12703</v>
      </c>
    </row>
    <row r="198" spans="1:25" x14ac:dyDescent="0.3">
      <c r="A198" t="s">
        <v>252</v>
      </c>
      <c r="B198" t="s">
        <v>48</v>
      </c>
      <c r="C198">
        <v>4</v>
      </c>
      <c r="D198">
        <v>5</v>
      </c>
      <c r="E198">
        <v>4.4800000000000004</v>
      </c>
      <c r="F198">
        <v>48</v>
      </c>
      <c r="G198">
        <v>17</v>
      </c>
      <c r="H198">
        <v>0</v>
      </c>
      <c r="I198">
        <v>0</v>
      </c>
      <c r="J198">
        <v>0</v>
      </c>
      <c r="K198">
        <v>2</v>
      </c>
      <c r="L198">
        <v>1</v>
      </c>
      <c r="M198">
        <v>84.1</v>
      </c>
      <c r="N198">
        <v>356</v>
      </c>
      <c r="O198">
        <v>78</v>
      </c>
      <c r="P198">
        <v>42</v>
      </c>
      <c r="Q198">
        <v>42</v>
      </c>
      <c r="R198">
        <v>17</v>
      </c>
      <c r="S198">
        <v>29</v>
      </c>
      <c r="T198">
        <v>2</v>
      </c>
      <c r="U198">
        <v>3</v>
      </c>
      <c r="V198">
        <v>2</v>
      </c>
      <c r="W198">
        <v>1</v>
      </c>
      <c r="X198">
        <v>95</v>
      </c>
      <c r="Y198">
        <v>5257</v>
      </c>
    </row>
    <row r="199" spans="1:25" x14ac:dyDescent="0.3">
      <c r="A199" t="s">
        <v>253</v>
      </c>
      <c r="B199" t="s">
        <v>159</v>
      </c>
      <c r="C199">
        <v>3</v>
      </c>
      <c r="D199">
        <v>13</v>
      </c>
      <c r="E199">
        <v>4.49</v>
      </c>
      <c r="F199">
        <v>32</v>
      </c>
      <c r="G199">
        <v>29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144.1</v>
      </c>
      <c r="N199">
        <v>610</v>
      </c>
      <c r="O199">
        <v>154</v>
      </c>
      <c r="P199">
        <v>75</v>
      </c>
      <c r="Q199">
        <v>72</v>
      </c>
      <c r="R199">
        <v>25</v>
      </c>
      <c r="S199">
        <v>38</v>
      </c>
      <c r="T199">
        <v>0</v>
      </c>
      <c r="U199">
        <v>4</v>
      </c>
      <c r="V199">
        <v>5</v>
      </c>
      <c r="W199">
        <v>0</v>
      </c>
      <c r="X199">
        <v>125</v>
      </c>
      <c r="Y199">
        <v>13475</v>
      </c>
    </row>
    <row r="200" spans="1:25" x14ac:dyDescent="0.3">
      <c r="A200" t="s">
        <v>254</v>
      </c>
      <c r="B200" t="s">
        <v>93</v>
      </c>
      <c r="C200">
        <v>4</v>
      </c>
      <c r="D200">
        <v>2</v>
      </c>
      <c r="E200">
        <v>4.5</v>
      </c>
      <c r="F200">
        <v>21</v>
      </c>
      <c r="G200">
        <v>12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78</v>
      </c>
      <c r="N200">
        <v>334</v>
      </c>
      <c r="O200">
        <v>81</v>
      </c>
      <c r="P200">
        <v>39</v>
      </c>
      <c r="Q200">
        <v>39</v>
      </c>
      <c r="R200">
        <v>11</v>
      </c>
      <c r="S200">
        <v>33</v>
      </c>
      <c r="T200">
        <v>2</v>
      </c>
      <c r="U200">
        <v>2</v>
      </c>
      <c r="V200">
        <v>1</v>
      </c>
      <c r="W200">
        <v>0</v>
      </c>
      <c r="X200">
        <v>41</v>
      </c>
      <c r="Y200">
        <v>17425</v>
      </c>
    </row>
    <row r="201" spans="1:25" x14ac:dyDescent="0.3">
      <c r="A201" t="s">
        <v>255</v>
      </c>
      <c r="B201" t="s">
        <v>48</v>
      </c>
      <c r="C201">
        <v>7</v>
      </c>
      <c r="D201">
        <v>9</v>
      </c>
      <c r="E201">
        <v>4.51</v>
      </c>
      <c r="F201">
        <v>30</v>
      </c>
      <c r="G201">
        <v>29</v>
      </c>
      <c r="H201">
        <v>1</v>
      </c>
      <c r="I201">
        <v>1</v>
      </c>
      <c r="J201">
        <v>0</v>
      </c>
      <c r="K201">
        <v>0</v>
      </c>
      <c r="L201">
        <v>0</v>
      </c>
      <c r="M201">
        <v>149.19999999999999</v>
      </c>
      <c r="N201">
        <v>649</v>
      </c>
      <c r="O201">
        <v>141</v>
      </c>
      <c r="P201">
        <v>84</v>
      </c>
      <c r="Q201">
        <v>75</v>
      </c>
      <c r="R201">
        <v>21</v>
      </c>
      <c r="S201">
        <v>63</v>
      </c>
      <c r="T201">
        <v>2</v>
      </c>
      <c r="U201">
        <v>6</v>
      </c>
      <c r="V201">
        <v>5</v>
      </c>
      <c r="W201">
        <v>0</v>
      </c>
      <c r="X201">
        <v>124</v>
      </c>
      <c r="Y201">
        <v>8044</v>
      </c>
    </row>
    <row r="202" spans="1:25" x14ac:dyDescent="0.3">
      <c r="A202" t="s">
        <v>256</v>
      </c>
      <c r="B202" t="s">
        <v>102</v>
      </c>
      <c r="C202">
        <v>10</v>
      </c>
      <c r="D202">
        <v>11</v>
      </c>
      <c r="E202">
        <v>4.5199999999999996</v>
      </c>
      <c r="F202">
        <v>28</v>
      </c>
      <c r="G202">
        <v>28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153.1</v>
      </c>
      <c r="N202">
        <v>646</v>
      </c>
      <c r="O202">
        <v>128</v>
      </c>
      <c r="P202">
        <v>82</v>
      </c>
      <c r="Q202">
        <v>77</v>
      </c>
      <c r="R202">
        <v>33</v>
      </c>
      <c r="S202">
        <v>60</v>
      </c>
      <c r="T202">
        <v>2</v>
      </c>
      <c r="U202">
        <v>6</v>
      </c>
      <c r="V202">
        <v>6</v>
      </c>
      <c r="W202">
        <v>1</v>
      </c>
      <c r="X202">
        <v>168</v>
      </c>
      <c r="Y202">
        <v>14875</v>
      </c>
    </row>
    <row r="203" spans="1:25" x14ac:dyDescent="0.3">
      <c r="A203" t="s">
        <v>257</v>
      </c>
      <c r="B203" t="s">
        <v>46</v>
      </c>
      <c r="C203">
        <v>6</v>
      </c>
      <c r="D203">
        <v>4</v>
      </c>
      <c r="E203">
        <v>4.53</v>
      </c>
      <c r="F203">
        <v>56</v>
      </c>
      <c r="G203">
        <v>0</v>
      </c>
      <c r="H203">
        <v>0</v>
      </c>
      <c r="I203">
        <v>0</v>
      </c>
      <c r="J203">
        <v>5</v>
      </c>
      <c r="K203">
        <v>7</v>
      </c>
      <c r="L203">
        <v>3</v>
      </c>
      <c r="M203">
        <v>57.2</v>
      </c>
      <c r="N203">
        <v>245</v>
      </c>
      <c r="O203">
        <v>56</v>
      </c>
      <c r="P203">
        <v>34</v>
      </c>
      <c r="Q203">
        <v>29</v>
      </c>
      <c r="R203">
        <v>7</v>
      </c>
      <c r="S203">
        <v>19</v>
      </c>
      <c r="T203">
        <v>0</v>
      </c>
      <c r="U203">
        <v>2</v>
      </c>
      <c r="V203">
        <v>4</v>
      </c>
      <c r="W203">
        <v>0</v>
      </c>
      <c r="X203">
        <v>63</v>
      </c>
      <c r="Y203">
        <v>12774</v>
      </c>
    </row>
    <row r="204" spans="1:25" x14ac:dyDescent="0.3">
      <c r="A204" t="s">
        <v>258</v>
      </c>
      <c r="B204" t="s">
        <v>75</v>
      </c>
      <c r="C204">
        <v>8</v>
      </c>
      <c r="D204">
        <v>6</v>
      </c>
      <c r="E204">
        <v>4.54</v>
      </c>
      <c r="F204">
        <v>21</v>
      </c>
      <c r="G204">
        <v>21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117</v>
      </c>
      <c r="N204">
        <v>491</v>
      </c>
      <c r="O204">
        <v>109</v>
      </c>
      <c r="P204">
        <v>65</v>
      </c>
      <c r="Q204">
        <v>59</v>
      </c>
      <c r="R204">
        <v>23</v>
      </c>
      <c r="S204">
        <v>37</v>
      </c>
      <c r="T204">
        <v>2</v>
      </c>
      <c r="U204">
        <v>2</v>
      </c>
      <c r="V204">
        <v>5</v>
      </c>
      <c r="W204">
        <v>0</v>
      </c>
      <c r="X204">
        <v>105</v>
      </c>
      <c r="Y204">
        <v>10811</v>
      </c>
    </row>
    <row r="205" spans="1:25" x14ac:dyDescent="0.3">
      <c r="A205" t="s">
        <v>259</v>
      </c>
      <c r="B205" t="s">
        <v>93</v>
      </c>
      <c r="C205">
        <v>6</v>
      </c>
      <c r="D205">
        <v>9</v>
      </c>
      <c r="E205">
        <v>4.54</v>
      </c>
      <c r="F205">
        <v>78</v>
      </c>
      <c r="G205">
        <v>0</v>
      </c>
      <c r="H205">
        <v>0</v>
      </c>
      <c r="I205">
        <v>0</v>
      </c>
      <c r="J205">
        <v>1</v>
      </c>
      <c r="K205">
        <v>19</v>
      </c>
      <c r="L205">
        <v>6</v>
      </c>
      <c r="M205">
        <v>71.099999999999994</v>
      </c>
      <c r="N205">
        <v>296</v>
      </c>
      <c r="O205">
        <v>64</v>
      </c>
      <c r="P205">
        <v>36</v>
      </c>
      <c r="Q205">
        <v>36</v>
      </c>
      <c r="R205">
        <v>5</v>
      </c>
      <c r="S205">
        <v>26</v>
      </c>
      <c r="T205">
        <v>3</v>
      </c>
      <c r="U205">
        <v>3</v>
      </c>
      <c r="V205">
        <v>2</v>
      </c>
      <c r="W205">
        <v>1</v>
      </c>
      <c r="X205">
        <v>81</v>
      </c>
      <c r="Y205">
        <v>15855</v>
      </c>
    </row>
    <row r="206" spans="1:25" x14ac:dyDescent="0.3">
      <c r="A206" t="s">
        <v>260</v>
      </c>
      <c r="B206" t="s">
        <v>48</v>
      </c>
      <c r="C206">
        <v>3</v>
      </c>
      <c r="D206">
        <v>3</v>
      </c>
      <c r="E206">
        <v>4.55</v>
      </c>
      <c r="F206">
        <v>60</v>
      </c>
      <c r="G206">
        <v>2</v>
      </c>
      <c r="H206">
        <v>0</v>
      </c>
      <c r="I206">
        <v>0</v>
      </c>
      <c r="J206">
        <v>10</v>
      </c>
      <c r="K206">
        <v>13</v>
      </c>
      <c r="L206">
        <v>1</v>
      </c>
      <c r="M206">
        <v>61.1</v>
      </c>
      <c r="N206">
        <v>255</v>
      </c>
      <c r="O206">
        <v>53</v>
      </c>
      <c r="P206">
        <v>32</v>
      </c>
      <c r="Q206">
        <v>31</v>
      </c>
      <c r="R206">
        <v>13</v>
      </c>
      <c r="S206">
        <v>22</v>
      </c>
      <c r="T206">
        <v>0</v>
      </c>
      <c r="U206">
        <v>3</v>
      </c>
      <c r="V206">
        <v>4</v>
      </c>
      <c r="W206">
        <v>0</v>
      </c>
      <c r="X206">
        <v>65</v>
      </c>
      <c r="Y206">
        <v>5224</v>
      </c>
    </row>
    <row r="207" spans="1:25" x14ac:dyDescent="0.3">
      <c r="A207" t="s">
        <v>261</v>
      </c>
      <c r="B207" t="s">
        <v>48</v>
      </c>
      <c r="C207">
        <v>3</v>
      </c>
      <c r="D207">
        <v>4</v>
      </c>
      <c r="E207">
        <v>4.5599999999999996</v>
      </c>
      <c r="F207">
        <v>59</v>
      </c>
      <c r="G207">
        <v>0</v>
      </c>
      <c r="H207">
        <v>0</v>
      </c>
      <c r="I207">
        <v>0</v>
      </c>
      <c r="J207">
        <v>4</v>
      </c>
      <c r="K207">
        <v>17</v>
      </c>
      <c r="L207">
        <v>3</v>
      </c>
      <c r="M207">
        <v>53.1</v>
      </c>
      <c r="N207">
        <v>234</v>
      </c>
      <c r="O207">
        <v>52</v>
      </c>
      <c r="P207">
        <v>30</v>
      </c>
      <c r="Q207">
        <v>27</v>
      </c>
      <c r="R207">
        <v>12</v>
      </c>
      <c r="S207">
        <v>27</v>
      </c>
      <c r="T207">
        <v>3</v>
      </c>
      <c r="U207">
        <v>0</v>
      </c>
      <c r="V207">
        <v>2</v>
      </c>
      <c r="W207">
        <v>0</v>
      </c>
      <c r="X207">
        <v>52</v>
      </c>
      <c r="Y207">
        <v>7466</v>
      </c>
    </row>
    <row r="208" spans="1:25" x14ac:dyDescent="0.3">
      <c r="A208" t="s">
        <v>262</v>
      </c>
      <c r="B208" t="s">
        <v>53</v>
      </c>
      <c r="C208">
        <v>5</v>
      </c>
      <c r="D208">
        <v>4</v>
      </c>
      <c r="E208">
        <v>4.5599999999999996</v>
      </c>
      <c r="F208">
        <v>55</v>
      </c>
      <c r="G208">
        <v>0</v>
      </c>
      <c r="H208">
        <v>0</v>
      </c>
      <c r="I208">
        <v>0</v>
      </c>
      <c r="J208">
        <v>1</v>
      </c>
      <c r="K208">
        <v>8</v>
      </c>
      <c r="L208">
        <v>5</v>
      </c>
      <c r="M208">
        <v>51.1</v>
      </c>
      <c r="N208">
        <v>226</v>
      </c>
      <c r="O208">
        <v>49</v>
      </c>
      <c r="P208">
        <v>31</v>
      </c>
      <c r="Q208">
        <v>26</v>
      </c>
      <c r="R208">
        <v>6</v>
      </c>
      <c r="S208">
        <v>22</v>
      </c>
      <c r="T208">
        <v>2</v>
      </c>
      <c r="U208">
        <v>3</v>
      </c>
      <c r="V208">
        <v>10</v>
      </c>
      <c r="W208">
        <v>0</v>
      </c>
      <c r="X208">
        <v>62</v>
      </c>
      <c r="Y208">
        <v>9761</v>
      </c>
    </row>
    <row r="209" spans="1:25" x14ac:dyDescent="0.3">
      <c r="A209" t="s">
        <v>263</v>
      </c>
      <c r="B209" t="s">
        <v>159</v>
      </c>
      <c r="C209">
        <v>9</v>
      </c>
      <c r="D209">
        <v>12</v>
      </c>
      <c r="E209">
        <v>4.5599999999999996</v>
      </c>
      <c r="F209">
        <v>32</v>
      </c>
      <c r="G209">
        <v>32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185.1</v>
      </c>
      <c r="N209">
        <v>788</v>
      </c>
      <c r="O209">
        <v>178</v>
      </c>
      <c r="P209">
        <v>101</v>
      </c>
      <c r="Q209">
        <v>94</v>
      </c>
      <c r="R209">
        <v>39</v>
      </c>
      <c r="S209">
        <v>50</v>
      </c>
      <c r="T209">
        <v>1</v>
      </c>
      <c r="U209">
        <v>8</v>
      </c>
      <c r="V209">
        <v>6</v>
      </c>
      <c r="W209">
        <v>4</v>
      </c>
      <c r="X209">
        <v>238</v>
      </c>
      <c r="Y209">
        <v>15440</v>
      </c>
    </row>
    <row r="210" spans="1:25" x14ac:dyDescent="0.3">
      <c r="A210" t="s">
        <v>264</v>
      </c>
      <c r="B210" t="s">
        <v>146</v>
      </c>
      <c r="C210">
        <v>2</v>
      </c>
      <c r="D210">
        <v>6</v>
      </c>
      <c r="E210">
        <v>4.57</v>
      </c>
      <c r="F210">
        <v>58</v>
      </c>
      <c r="G210">
        <v>0</v>
      </c>
      <c r="H210">
        <v>0</v>
      </c>
      <c r="I210">
        <v>0</v>
      </c>
      <c r="J210">
        <v>11</v>
      </c>
      <c r="K210">
        <v>7</v>
      </c>
      <c r="L210">
        <v>8</v>
      </c>
      <c r="M210">
        <v>63</v>
      </c>
      <c r="N210">
        <v>260</v>
      </c>
      <c r="O210">
        <v>49</v>
      </c>
      <c r="P210">
        <v>35</v>
      </c>
      <c r="Q210">
        <v>32</v>
      </c>
      <c r="R210">
        <v>13</v>
      </c>
      <c r="S210">
        <v>26</v>
      </c>
      <c r="T210">
        <v>1</v>
      </c>
      <c r="U210">
        <v>2</v>
      </c>
      <c r="V210">
        <v>5</v>
      </c>
      <c r="W210">
        <v>0</v>
      </c>
      <c r="X210">
        <v>86</v>
      </c>
      <c r="Y210">
        <v>10430</v>
      </c>
    </row>
    <row r="211" spans="1:25" x14ac:dyDescent="0.3">
      <c r="A211" t="s">
        <v>265</v>
      </c>
      <c r="B211" t="s">
        <v>48</v>
      </c>
      <c r="C211">
        <v>13</v>
      </c>
      <c r="D211">
        <v>9</v>
      </c>
      <c r="E211">
        <v>4.57</v>
      </c>
      <c r="F211">
        <v>31</v>
      </c>
      <c r="G211">
        <v>31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163.1</v>
      </c>
      <c r="N211">
        <v>696</v>
      </c>
      <c r="O211">
        <v>162</v>
      </c>
      <c r="P211">
        <v>84</v>
      </c>
      <c r="Q211">
        <v>83</v>
      </c>
      <c r="R211">
        <v>21</v>
      </c>
      <c r="S211">
        <v>53</v>
      </c>
      <c r="T211">
        <v>1</v>
      </c>
      <c r="U211">
        <v>4</v>
      </c>
      <c r="V211">
        <v>4</v>
      </c>
      <c r="W211">
        <v>1</v>
      </c>
      <c r="X211">
        <v>149</v>
      </c>
      <c r="Y211">
        <v>8362</v>
      </c>
    </row>
    <row r="212" spans="1:25" x14ac:dyDescent="0.3">
      <c r="A212" t="s">
        <v>266</v>
      </c>
      <c r="B212" t="s">
        <v>62</v>
      </c>
      <c r="C212">
        <v>8</v>
      </c>
      <c r="D212">
        <v>3</v>
      </c>
      <c r="E212">
        <v>4.58</v>
      </c>
      <c r="F212">
        <v>22</v>
      </c>
      <c r="G212">
        <v>7</v>
      </c>
      <c r="H212">
        <v>0</v>
      </c>
      <c r="I212">
        <v>0</v>
      </c>
      <c r="J212">
        <v>0</v>
      </c>
      <c r="K212">
        <v>1</v>
      </c>
      <c r="L212">
        <v>0</v>
      </c>
      <c r="M212">
        <v>96.1</v>
      </c>
      <c r="N212">
        <v>407</v>
      </c>
      <c r="O212">
        <v>80</v>
      </c>
      <c r="P212">
        <v>56</v>
      </c>
      <c r="Q212">
        <v>49</v>
      </c>
      <c r="R212">
        <v>16</v>
      </c>
      <c r="S212">
        <v>34</v>
      </c>
      <c r="T212">
        <v>0</v>
      </c>
      <c r="U212">
        <v>6</v>
      </c>
      <c r="V212">
        <v>8</v>
      </c>
      <c r="W212">
        <v>0</v>
      </c>
      <c r="X212">
        <v>101</v>
      </c>
      <c r="Y212">
        <v>13403</v>
      </c>
    </row>
    <row r="213" spans="1:25" x14ac:dyDescent="0.3">
      <c r="A213" t="s">
        <v>267</v>
      </c>
      <c r="B213" t="s">
        <v>62</v>
      </c>
      <c r="C213">
        <v>5</v>
      </c>
      <c r="D213">
        <v>6</v>
      </c>
      <c r="E213">
        <v>4.58</v>
      </c>
      <c r="F213">
        <v>18</v>
      </c>
      <c r="G213">
        <v>17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90.1</v>
      </c>
      <c r="N213">
        <v>384</v>
      </c>
      <c r="O213">
        <v>80</v>
      </c>
      <c r="P213">
        <v>46</v>
      </c>
      <c r="Q213">
        <v>46</v>
      </c>
      <c r="R213">
        <v>14</v>
      </c>
      <c r="S213">
        <v>30</v>
      </c>
      <c r="T213">
        <v>0</v>
      </c>
      <c r="U213">
        <v>8</v>
      </c>
      <c r="V213">
        <v>9</v>
      </c>
      <c r="W213">
        <v>1</v>
      </c>
      <c r="X213">
        <v>96</v>
      </c>
      <c r="Y213">
        <v>19867</v>
      </c>
    </row>
    <row r="214" spans="1:25" x14ac:dyDescent="0.3">
      <c r="A214" t="s">
        <v>268</v>
      </c>
      <c r="B214" t="s">
        <v>48</v>
      </c>
      <c r="C214">
        <v>3</v>
      </c>
      <c r="D214">
        <v>2</v>
      </c>
      <c r="E214">
        <v>4.59</v>
      </c>
      <c r="F214">
        <v>63</v>
      </c>
      <c r="G214">
        <v>0</v>
      </c>
      <c r="H214">
        <v>0</v>
      </c>
      <c r="I214">
        <v>0</v>
      </c>
      <c r="J214">
        <v>1</v>
      </c>
      <c r="K214">
        <v>10</v>
      </c>
      <c r="L214">
        <v>2</v>
      </c>
      <c r="M214">
        <v>64.2</v>
      </c>
      <c r="N214">
        <v>281</v>
      </c>
      <c r="O214">
        <v>71</v>
      </c>
      <c r="P214">
        <v>35</v>
      </c>
      <c r="Q214">
        <v>33</v>
      </c>
      <c r="R214">
        <v>14</v>
      </c>
      <c r="S214">
        <v>26</v>
      </c>
      <c r="T214">
        <v>3</v>
      </c>
      <c r="U214">
        <v>1</v>
      </c>
      <c r="V214">
        <v>3</v>
      </c>
      <c r="W214">
        <v>0</v>
      </c>
      <c r="X214">
        <v>60</v>
      </c>
      <c r="Y214">
        <v>13194</v>
      </c>
    </row>
    <row r="215" spans="1:25" x14ac:dyDescent="0.3">
      <c r="A215" t="s">
        <v>269</v>
      </c>
      <c r="B215" t="s">
        <v>36</v>
      </c>
      <c r="C215">
        <v>4</v>
      </c>
      <c r="D215">
        <v>2</v>
      </c>
      <c r="E215">
        <v>4.6100000000000003</v>
      </c>
      <c r="F215">
        <v>52</v>
      </c>
      <c r="G215">
        <v>0</v>
      </c>
      <c r="H215">
        <v>0</v>
      </c>
      <c r="I215">
        <v>0</v>
      </c>
      <c r="J215">
        <v>0</v>
      </c>
      <c r="K215">
        <v>3</v>
      </c>
      <c r="L215">
        <v>0</v>
      </c>
      <c r="M215">
        <v>95.2</v>
      </c>
      <c r="N215">
        <v>392</v>
      </c>
      <c r="O215">
        <v>85</v>
      </c>
      <c r="P215">
        <v>51</v>
      </c>
      <c r="Q215">
        <v>49</v>
      </c>
      <c r="R215">
        <v>18</v>
      </c>
      <c r="S215">
        <v>22</v>
      </c>
      <c r="T215">
        <v>0</v>
      </c>
      <c r="U215">
        <v>4</v>
      </c>
      <c r="V215">
        <v>0</v>
      </c>
      <c r="W215">
        <v>1</v>
      </c>
      <c r="X215">
        <v>88</v>
      </c>
      <c r="Y215">
        <v>12778</v>
      </c>
    </row>
    <row r="216" spans="1:25" x14ac:dyDescent="0.3">
      <c r="A216" t="s">
        <v>270</v>
      </c>
      <c r="B216" t="s">
        <v>159</v>
      </c>
      <c r="C216">
        <v>3</v>
      </c>
      <c r="D216">
        <v>17</v>
      </c>
      <c r="E216">
        <v>4.6100000000000003</v>
      </c>
      <c r="F216">
        <v>30</v>
      </c>
      <c r="G216">
        <v>30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148.1</v>
      </c>
      <c r="N216">
        <v>656</v>
      </c>
      <c r="O216">
        <v>154</v>
      </c>
      <c r="P216">
        <v>86</v>
      </c>
      <c r="Q216">
        <v>76</v>
      </c>
      <c r="R216">
        <v>14</v>
      </c>
      <c r="S216">
        <v>59</v>
      </c>
      <c r="T216">
        <v>1</v>
      </c>
      <c r="U216">
        <v>16</v>
      </c>
      <c r="V216">
        <v>9</v>
      </c>
      <c r="W216">
        <v>0</v>
      </c>
      <c r="X216">
        <v>146</v>
      </c>
      <c r="Y216">
        <v>16207</v>
      </c>
    </row>
    <row r="217" spans="1:25" x14ac:dyDescent="0.3">
      <c r="A217" t="s">
        <v>271</v>
      </c>
      <c r="B217" t="s">
        <v>48</v>
      </c>
      <c r="C217">
        <v>1</v>
      </c>
      <c r="D217">
        <v>3</v>
      </c>
      <c r="E217">
        <v>4.62</v>
      </c>
      <c r="F217">
        <v>52</v>
      </c>
      <c r="G217">
        <v>0</v>
      </c>
      <c r="H217">
        <v>0</v>
      </c>
      <c r="I217">
        <v>0</v>
      </c>
      <c r="J217">
        <v>1</v>
      </c>
      <c r="K217">
        <v>8</v>
      </c>
      <c r="L217">
        <v>1</v>
      </c>
      <c r="M217">
        <v>50.2</v>
      </c>
      <c r="N217">
        <v>210</v>
      </c>
      <c r="O217">
        <v>46</v>
      </c>
      <c r="P217">
        <v>29</v>
      </c>
      <c r="Q217">
        <v>26</v>
      </c>
      <c r="R217">
        <v>6</v>
      </c>
      <c r="S217">
        <v>10</v>
      </c>
      <c r="T217">
        <v>0</v>
      </c>
      <c r="U217">
        <v>4</v>
      </c>
      <c r="V217">
        <v>2</v>
      </c>
      <c r="W217">
        <v>0</v>
      </c>
      <c r="X217">
        <v>26</v>
      </c>
      <c r="Y217">
        <v>13442</v>
      </c>
    </row>
    <row r="218" spans="1:25" x14ac:dyDescent="0.3">
      <c r="A218" t="s">
        <v>272</v>
      </c>
      <c r="B218" t="s">
        <v>95</v>
      </c>
      <c r="C218">
        <v>8</v>
      </c>
      <c r="D218">
        <v>8</v>
      </c>
      <c r="E218">
        <v>4.6399999999999997</v>
      </c>
      <c r="F218">
        <v>24</v>
      </c>
      <c r="G218">
        <v>24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135.19999999999999</v>
      </c>
      <c r="N218">
        <v>594</v>
      </c>
      <c r="O218">
        <v>149</v>
      </c>
      <c r="P218">
        <v>76</v>
      </c>
      <c r="Q218">
        <v>70</v>
      </c>
      <c r="R218">
        <v>21</v>
      </c>
      <c r="S218">
        <v>51</v>
      </c>
      <c r="T218">
        <v>3</v>
      </c>
      <c r="U218">
        <v>7</v>
      </c>
      <c r="V218">
        <v>7</v>
      </c>
      <c r="W218">
        <v>0</v>
      </c>
      <c r="X218">
        <v>110</v>
      </c>
      <c r="Y218">
        <v>4153</v>
      </c>
    </row>
    <row r="219" spans="1:25" x14ac:dyDescent="0.3">
      <c r="A219" t="s">
        <v>273</v>
      </c>
      <c r="B219" t="s">
        <v>48</v>
      </c>
      <c r="C219">
        <v>1</v>
      </c>
      <c r="D219">
        <v>7</v>
      </c>
      <c r="E219">
        <v>4.6500000000000004</v>
      </c>
      <c r="F219">
        <v>76</v>
      </c>
      <c r="G219">
        <v>0</v>
      </c>
      <c r="H219">
        <v>0</v>
      </c>
      <c r="I219">
        <v>0</v>
      </c>
      <c r="J219">
        <v>0</v>
      </c>
      <c r="K219">
        <v>31</v>
      </c>
      <c r="L219">
        <v>2</v>
      </c>
      <c r="M219">
        <v>62</v>
      </c>
      <c r="N219">
        <v>282</v>
      </c>
      <c r="O219">
        <v>49</v>
      </c>
      <c r="P219">
        <v>34</v>
      </c>
      <c r="Q219">
        <v>32</v>
      </c>
      <c r="R219">
        <v>3</v>
      </c>
      <c r="S219">
        <v>39</v>
      </c>
      <c r="T219">
        <v>1</v>
      </c>
      <c r="U219">
        <v>11</v>
      </c>
      <c r="V219">
        <v>6</v>
      </c>
      <c r="W219">
        <v>0</v>
      </c>
      <c r="X219">
        <v>84</v>
      </c>
      <c r="Y219">
        <v>5003</v>
      </c>
    </row>
    <row r="220" spans="1:25" x14ac:dyDescent="0.3">
      <c r="A220" t="s">
        <v>274</v>
      </c>
      <c r="B220" t="s">
        <v>48</v>
      </c>
      <c r="C220">
        <v>3</v>
      </c>
      <c r="D220">
        <v>1</v>
      </c>
      <c r="E220">
        <v>4.66</v>
      </c>
      <c r="F220">
        <v>51</v>
      </c>
      <c r="G220">
        <v>0</v>
      </c>
      <c r="H220">
        <v>0</v>
      </c>
      <c r="I220">
        <v>0</v>
      </c>
      <c r="J220">
        <v>2</v>
      </c>
      <c r="K220">
        <v>5</v>
      </c>
      <c r="L220">
        <v>0</v>
      </c>
      <c r="M220">
        <v>67.2</v>
      </c>
      <c r="N220">
        <v>287</v>
      </c>
      <c r="O220">
        <v>67</v>
      </c>
      <c r="P220">
        <v>36</v>
      </c>
      <c r="Q220">
        <v>35</v>
      </c>
      <c r="R220">
        <v>10</v>
      </c>
      <c r="S220">
        <v>17</v>
      </c>
      <c r="T220">
        <v>3</v>
      </c>
      <c r="U220">
        <v>1</v>
      </c>
      <c r="V220">
        <v>3</v>
      </c>
      <c r="W220">
        <v>0</v>
      </c>
      <c r="X220">
        <v>57</v>
      </c>
      <c r="Y220">
        <v>7407</v>
      </c>
    </row>
    <row r="221" spans="1:25" x14ac:dyDescent="0.3">
      <c r="A221" t="s">
        <v>275</v>
      </c>
      <c r="B221" t="s">
        <v>43</v>
      </c>
      <c r="C221">
        <v>4</v>
      </c>
      <c r="D221">
        <v>0</v>
      </c>
      <c r="E221">
        <v>4.66</v>
      </c>
      <c r="F221">
        <v>57</v>
      </c>
      <c r="G221">
        <v>0</v>
      </c>
      <c r="H221">
        <v>0</v>
      </c>
      <c r="I221">
        <v>0</v>
      </c>
      <c r="J221">
        <v>0</v>
      </c>
      <c r="K221">
        <v>2</v>
      </c>
      <c r="L221">
        <v>1</v>
      </c>
      <c r="M221">
        <v>67.2</v>
      </c>
      <c r="N221">
        <v>272</v>
      </c>
      <c r="O221">
        <v>62</v>
      </c>
      <c r="P221">
        <v>38</v>
      </c>
      <c r="Q221">
        <v>35</v>
      </c>
      <c r="R221">
        <v>15</v>
      </c>
      <c r="S221">
        <v>15</v>
      </c>
      <c r="T221">
        <v>1</v>
      </c>
      <c r="U221">
        <v>0</v>
      </c>
      <c r="V221">
        <v>3</v>
      </c>
      <c r="W221">
        <v>0</v>
      </c>
      <c r="X221">
        <v>61</v>
      </c>
      <c r="Y221">
        <v>11528</v>
      </c>
    </row>
    <row r="222" spans="1:25" x14ac:dyDescent="0.3">
      <c r="A222" t="s">
        <v>276</v>
      </c>
      <c r="B222" t="s">
        <v>146</v>
      </c>
      <c r="C222">
        <v>1</v>
      </c>
      <c r="D222">
        <v>3</v>
      </c>
      <c r="E222">
        <v>4.66</v>
      </c>
      <c r="F222">
        <v>65</v>
      </c>
      <c r="G222">
        <v>0</v>
      </c>
      <c r="H222">
        <v>0</v>
      </c>
      <c r="I222">
        <v>0</v>
      </c>
      <c r="J222">
        <v>2</v>
      </c>
      <c r="K222">
        <v>9</v>
      </c>
      <c r="L222">
        <v>3</v>
      </c>
      <c r="M222">
        <v>73.099999999999994</v>
      </c>
      <c r="N222">
        <v>319</v>
      </c>
      <c r="O222">
        <v>63</v>
      </c>
      <c r="P222">
        <v>42</v>
      </c>
      <c r="Q222">
        <v>38</v>
      </c>
      <c r="R222">
        <v>10</v>
      </c>
      <c r="S222">
        <v>41</v>
      </c>
      <c r="T222">
        <v>3</v>
      </c>
      <c r="U222">
        <v>0</v>
      </c>
      <c r="V222">
        <v>11</v>
      </c>
      <c r="W222">
        <v>2</v>
      </c>
      <c r="X222">
        <v>71</v>
      </c>
      <c r="Y222">
        <v>15684</v>
      </c>
    </row>
    <row r="223" spans="1:25" x14ac:dyDescent="0.3">
      <c r="A223" t="s">
        <v>277</v>
      </c>
      <c r="B223" t="s">
        <v>58</v>
      </c>
      <c r="C223">
        <v>2</v>
      </c>
      <c r="D223">
        <v>3</v>
      </c>
      <c r="E223">
        <v>4.66</v>
      </c>
      <c r="F223">
        <v>52</v>
      </c>
      <c r="G223">
        <v>0</v>
      </c>
      <c r="H223">
        <v>0</v>
      </c>
      <c r="I223">
        <v>0</v>
      </c>
      <c r="J223">
        <v>1</v>
      </c>
      <c r="K223">
        <v>7</v>
      </c>
      <c r="L223">
        <v>4</v>
      </c>
      <c r="M223">
        <v>63.2</v>
      </c>
      <c r="N223">
        <v>277</v>
      </c>
      <c r="O223">
        <v>64</v>
      </c>
      <c r="P223">
        <v>36</v>
      </c>
      <c r="Q223">
        <v>33</v>
      </c>
      <c r="R223">
        <v>7</v>
      </c>
      <c r="S223">
        <v>23</v>
      </c>
      <c r="T223">
        <v>2</v>
      </c>
      <c r="U223">
        <v>6</v>
      </c>
      <c r="V223">
        <v>4</v>
      </c>
      <c r="W223">
        <v>0</v>
      </c>
      <c r="X223">
        <v>60</v>
      </c>
      <c r="Y223">
        <v>13696</v>
      </c>
    </row>
    <row r="224" spans="1:25" x14ac:dyDescent="0.3">
      <c r="A224" t="s">
        <v>278</v>
      </c>
      <c r="B224" t="s">
        <v>48</v>
      </c>
      <c r="C224">
        <v>11</v>
      </c>
      <c r="D224">
        <v>8</v>
      </c>
      <c r="E224">
        <v>4.68</v>
      </c>
      <c r="F224">
        <v>42</v>
      </c>
      <c r="G224">
        <v>23</v>
      </c>
      <c r="H224">
        <v>0</v>
      </c>
      <c r="I224">
        <v>0</v>
      </c>
      <c r="J224">
        <v>1</v>
      </c>
      <c r="K224">
        <v>4</v>
      </c>
      <c r="L224">
        <v>0</v>
      </c>
      <c r="M224">
        <v>150</v>
      </c>
      <c r="N224">
        <v>636</v>
      </c>
      <c r="O224">
        <v>144</v>
      </c>
      <c r="P224">
        <v>84</v>
      </c>
      <c r="Q224">
        <v>78</v>
      </c>
      <c r="R224">
        <v>19</v>
      </c>
      <c r="S224">
        <v>58</v>
      </c>
      <c r="T224">
        <v>0</v>
      </c>
      <c r="U224">
        <v>4</v>
      </c>
      <c r="V224">
        <v>8</v>
      </c>
      <c r="W224">
        <v>0</v>
      </c>
      <c r="X224">
        <v>108</v>
      </c>
      <c r="Y224">
        <v>8782</v>
      </c>
    </row>
    <row r="225" spans="1:25" x14ac:dyDescent="0.3">
      <c r="A225" t="s">
        <v>279</v>
      </c>
      <c r="B225" t="s">
        <v>77</v>
      </c>
      <c r="C225">
        <v>13</v>
      </c>
      <c r="D225">
        <v>9</v>
      </c>
      <c r="E225">
        <v>4.68</v>
      </c>
      <c r="F225">
        <v>32</v>
      </c>
      <c r="G225">
        <v>31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171</v>
      </c>
      <c r="N225">
        <v>745</v>
      </c>
      <c r="O225">
        <v>191</v>
      </c>
      <c r="P225">
        <v>100</v>
      </c>
      <c r="Q225">
        <v>89</v>
      </c>
      <c r="R225">
        <v>20</v>
      </c>
      <c r="S225">
        <v>46</v>
      </c>
      <c r="T225">
        <v>0</v>
      </c>
      <c r="U225">
        <v>2</v>
      </c>
      <c r="V225">
        <v>11</v>
      </c>
      <c r="W225">
        <v>0</v>
      </c>
      <c r="X225">
        <v>152</v>
      </c>
      <c r="Y225">
        <v>11423</v>
      </c>
    </row>
    <row r="226" spans="1:25" x14ac:dyDescent="0.3">
      <c r="A226" t="s">
        <v>280</v>
      </c>
      <c r="B226" t="s">
        <v>28</v>
      </c>
      <c r="C226">
        <v>5</v>
      </c>
      <c r="D226">
        <v>1</v>
      </c>
      <c r="E226">
        <v>4.7</v>
      </c>
      <c r="F226">
        <v>49</v>
      </c>
      <c r="G226">
        <v>1</v>
      </c>
      <c r="H226">
        <v>0</v>
      </c>
      <c r="I226">
        <v>0</v>
      </c>
      <c r="J226">
        <v>1</v>
      </c>
      <c r="K226">
        <v>6</v>
      </c>
      <c r="L226">
        <v>2</v>
      </c>
      <c r="M226">
        <v>61.1</v>
      </c>
      <c r="N226">
        <v>266</v>
      </c>
      <c r="O226">
        <v>46</v>
      </c>
      <c r="P226">
        <v>34</v>
      </c>
      <c r="Q226">
        <v>32</v>
      </c>
      <c r="R226">
        <v>10</v>
      </c>
      <c r="S226">
        <v>35</v>
      </c>
      <c r="T226">
        <v>0</v>
      </c>
      <c r="U226">
        <v>4</v>
      </c>
      <c r="V226">
        <v>6</v>
      </c>
      <c r="W226">
        <v>0</v>
      </c>
      <c r="X226">
        <v>100</v>
      </c>
      <c r="Y226">
        <v>16794</v>
      </c>
    </row>
    <row r="227" spans="1:25" x14ac:dyDescent="0.3">
      <c r="A227" t="s">
        <v>281</v>
      </c>
      <c r="B227" t="s">
        <v>28</v>
      </c>
      <c r="C227">
        <v>4</v>
      </c>
      <c r="D227">
        <v>5</v>
      </c>
      <c r="E227">
        <v>4.7</v>
      </c>
      <c r="F227">
        <v>35</v>
      </c>
      <c r="G227">
        <v>8</v>
      </c>
      <c r="H227">
        <v>0</v>
      </c>
      <c r="I227">
        <v>0</v>
      </c>
      <c r="J227">
        <v>0</v>
      </c>
      <c r="K227">
        <v>4</v>
      </c>
      <c r="L227">
        <v>0</v>
      </c>
      <c r="M227">
        <v>74.2</v>
      </c>
      <c r="N227">
        <v>317</v>
      </c>
      <c r="O227">
        <v>62</v>
      </c>
      <c r="P227">
        <v>41</v>
      </c>
      <c r="Q227">
        <v>39</v>
      </c>
      <c r="R227">
        <v>12</v>
      </c>
      <c r="S227">
        <v>30</v>
      </c>
      <c r="T227">
        <v>0</v>
      </c>
      <c r="U227">
        <v>3</v>
      </c>
      <c r="V227">
        <v>0</v>
      </c>
      <c r="W227">
        <v>0</v>
      </c>
      <c r="X227">
        <v>82</v>
      </c>
      <c r="Y227">
        <v>7531</v>
      </c>
    </row>
    <row r="228" spans="1:25" x14ac:dyDescent="0.3">
      <c r="A228" t="s">
        <v>282</v>
      </c>
      <c r="B228" t="s">
        <v>32</v>
      </c>
      <c r="C228">
        <v>5</v>
      </c>
      <c r="D228">
        <v>5</v>
      </c>
      <c r="E228">
        <v>4.7</v>
      </c>
      <c r="F228">
        <v>51</v>
      </c>
      <c r="G228">
        <v>0</v>
      </c>
      <c r="H228">
        <v>0</v>
      </c>
      <c r="I228">
        <v>0</v>
      </c>
      <c r="J228">
        <v>2</v>
      </c>
      <c r="K228">
        <v>16</v>
      </c>
      <c r="L228">
        <v>4</v>
      </c>
      <c r="M228">
        <v>51.2</v>
      </c>
      <c r="N228">
        <v>207</v>
      </c>
      <c r="O228">
        <v>33</v>
      </c>
      <c r="P228">
        <v>27</v>
      </c>
      <c r="Q228">
        <v>27</v>
      </c>
      <c r="R228">
        <v>9</v>
      </c>
      <c r="S228">
        <v>19</v>
      </c>
      <c r="T228">
        <v>1</v>
      </c>
      <c r="U228">
        <v>5</v>
      </c>
      <c r="V228">
        <v>2</v>
      </c>
      <c r="W228">
        <v>0</v>
      </c>
      <c r="X228">
        <v>72</v>
      </c>
      <c r="Y228">
        <v>19403</v>
      </c>
    </row>
    <row r="229" spans="1:25" x14ac:dyDescent="0.3">
      <c r="A229" t="s">
        <v>283</v>
      </c>
      <c r="B229" t="s">
        <v>26</v>
      </c>
      <c r="C229">
        <v>6</v>
      </c>
      <c r="D229">
        <v>11</v>
      </c>
      <c r="E229">
        <v>4.71</v>
      </c>
      <c r="F229">
        <v>46</v>
      </c>
      <c r="G229">
        <v>16</v>
      </c>
      <c r="H229">
        <v>0</v>
      </c>
      <c r="I229">
        <v>0</v>
      </c>
      <c r="J229">
        <v>0</v>
      </c>
      <c r="K229">
        <v>6</v>
      </c>
      <c r="L229">
        <v>1</v>
      </c>
      <c r="M229">
        <v>114.2</v>
      </c>
      <c r="N229">
        <v>487</v>
      </c>
      <c r="O229">
        <v>121</v>
      </c>
      <c r="P229">
        <v>61</v>
      </c>
      <c r="Q229">
        <v>60</v>
      </c>
      <c r="R229">
        <v>22</v>
      </c>
      <c r="S229">
        <v>22</v>
      </c>
      <c r="T229">
        <v>4</v>
      </c>
      <c r="U229">
        <v>7</v>
      </c>
      <c r="V229">
        <v>3</v>
      </c>
      <c r="W229">
        <v>1</v>
      </c>
      <c r="X229">
        <v>118</v>
      </c>
      <c r="Y229">
        <v>13799</v>
      </c>
    </row>
    <row r="230" spans="1:25" x14ac:dyDescent="0.3">
      <c r="A230" t="s">
        <v>284</v>
      </c>
      <c r="B230" t="s">
        <v>98</v>
      </c>
      <c r="C230">
        <v>5</v>
      </c>
      <c r="D230">
        <v>5</v>
      </c>
      <c r="E230">
        <v>4.71</v>
      </c>
      <c r="F230">
        <v>54</v>
      </c>
      <c r="G230">
        <v>0</v>
      </c>
      <c r="H230">
        <v>0</v>
      </c>
      <c r="I230">
        <v>0</v>
      </c>
      <c r="J230">
        <v>1</v>
      </c>
      <c r="K230">
        <v>4</v>
      </c>
      <c r="L230">
        <v>3</v>
      </c>
      <c r="M230">
        <v>70.2</v>
      </c>
      <c r="N230">
        <v>310</v>
      </c>
      <c r="O230">
        <v>72</v>
      </c>
      <c r="P230">
        <v>37</v>
      </c>
      <c r="Q230">
        <v>37</v>
      </c>
      <c r="R230">
        <v>8</v>
      </c>
      <c r="S230">
        <v>27</v>
      </c>
      <c r="T230">
        <v>4</v>
      </c>
      <c r="U230">
        <v>3</v>
      </c>
      <c r="V230">
        <v>9</v>
      </c>
      <c r="W230">
        <v>2</v>
      </c>
      <c r="X230">
        <v>79</v>
      </c>
      <c r="Y230">
        <v>12022</v>
      </c>
    </row>
    <row r="231" spans="1:25" x14ac:dyDescent="0.3">
      <c r="A231" t="s">
        <v>285</v>
      </c>
      <c r="B231" t="s">
        <v>43</v>
      </c>
      <c r="C231">
        <v>11</v>
      </c>
      <c r="D231">
        <v>12</v>
      </c>
      <c r="E231">
        <v>4.72</v>
      </c>
      <c r="F231">
        <v>34</v>
      </c>
      <c r="G231">
        <v>34</v>
      </c>
      <c r="H231">
        <v>2</v>
      </c>
      <c r="I231">
        <v>0</v>
      </c>
      <c r="J231">
        <v>0</v>
      </c>
      <c r="K231">
        <v>0</v>
      </c>
      <c r="L231">
        <v>0</v>
      </c>
      <c r="M231">
        <v>187</v>
      </c>
      <c r="N231">
        <v>806</v>
      </c>
      <c r="O231">
        <v>225</v>
      </c>
      <c r="P231">
        <v>107</v>
      </c>
      <c r="Q231">
        <v>98</v>
      </c>
      <c r="R231">
        <v>30</v>
      </c>
      <c r="S231">
        <v>47</v>
      </c>
      <c r="T231">
        <v>1</v>
      </c>
      <c r="U231">
        <v>9</v>
      </c>
      <c r="V231">
        <v>7</v>
      </c>
      <c r="W231">
        <v>0</v>
      </c>
      <c r="X231">
        <v>114</v>
      </c>
      <c r="Y231">
        <v>1994</v>
      </c>
    </row>
    <row r="232" spans="1:25" x14ac:dyDescent="0.3">
      <c r="A232" t="s">
        <v>286</v>
      </c>
      <c r="B232" t="s">
        <v>43</v>
      </c>
      <c r="C232">
        <v>3</v>
      </c>
      <c r="D232">
        <v>4</v>
      </c>
      <c r="E232">
        <v>4.75</v>
      </c>
      <c r="F232">
        <v>68</v>
      </c>
      <c r="G232">
        <v>0</v>
      </c>
      <c r="H232">
        <v>0</v>
      </c>
      <c r="I232">
        <v>0</v>
      </c>
      <c r="J232">
        <v>0</v>
      </c>
      <c r="K232">
        <v>11</v>
      </c>
      <c r="L232">
        <v>2</v>
      </c>
      <c r="M232">
        <v>55</v>
      </c>
      <c r="N232">
        <v>251</v>
      </c>
      <c r="O232">
        <v>44</v>
      </c>
      <c r="P232">
        <v>33</v>
      </c>
      <c r="Q232">
        <v>29</v>
      </c>
      <c r="R232">
        <v>7</v>
      </c>
      <c r="S232">
        <v>43</v>
      </c>
      <c r="T232">
        <v>3</v>
      </c>
      <c r="U232">
        <v>3</v>
      </c>
      <c r="V232">
        <v>4</v>
      </c>
      <c r="W232">
        <v>0</v>
      </c>
      <c r="X232">
        <v>68</v>
      </c>
      <c r="Y232">
        <v>16159</v>
      </c>
    </row>
    <row r="233" spans="1:25" x14ac:dyDescent="0.3">
      <c r="A233" t="s">
        <v>287</v>
      </c>
      <c r="B233" t="s">
        <v>98</v>
      </c>
      <c r="C233">
        <v>5</v>
      </c>
      <c r="D233">
        <v>5</v>
      </c>
      <c r="E233">
        <v>4.75</v>
      </c>
      <c r="F233">
        <v>62</v>
      </c>
      <c r="G233">
        <v>0</v>
      </c>
      <c r="H233">
        <v>0</v>
      </c>
      <c r="I233">
        <v>0</v>
      </c>
      <c r="J233">
        <v>1</v>
      </c>
      <c r="K233">
        <v>15</v>
      </c>
      <c r="L233">
        <v>5</v>
      </c>
      <c r="M233">
        <v>53</v>
      </c>
      <c r="N233">
        <v>233</v>
      </c>
      <c r="O233">
        <v>51</v>
      </c>
      <c r="P233">
        <v>31</v>
      </c>
      <c r="Q233">
        <v>28</v>
      </c>
      <c r="R233">
        <v>7</v>
      </c>
      <c r="S233">
        <v>22</v>
      </c>
      <c r="T233">
        <v>2</v>
      </c>
      <c r="U233">
        <v>3</v>
      </c>
      <c r="V233">
        <v>2</v>
      </c>
      <c r="W233">
        <v>0</v>
      </c>
      <c r="X233">
        <v>61</v>
      </c>
      <c r="Y233">
        <v>19756</v>
      </c>
    </row>
    <row r="234" spans="1:25" x14ac:dyDescent="0.3">
      <c r="A234" t="s">
        <v>288</v>
      </c>
      <c r="B234" t="s">
        <v>193</v>
      </c>
      <c r="C234">
        <v>4</v>
      </c>
      <c r="D234">
        <v>10</v>
      </c>
      <c r="E234">
        <v>4.76</v>
      </c>
      <c r="F234">
        <v>23</v>
      </c>
      <c r="G234">
        <v>6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111.2</v>
      </c>
      <c r="N234">
        <v>453</v>
      </c>
      <c r="O234">
        <v>102</v>
      </c>
      <c r="P234">
        <v>61</v>
      </c>
      <c r="Q234">
        <v>59</v>
      </c>
      <c r="R234">
        <v>24</v>
      </c>
      <c r="S234">
        <v>23</v>
      </c>
      <c r="T234">
        <v>2</v>
      </c>
      <c r="U234">
        <v>2</v>
      </c>
      <c r="V234">
        <v>1</v>
      </c>
      <c r="W234">
        <v>0</v>
      </c>
      <c r="X234">
        <v>94</v>
      </c>
      <c r="Y234">
        <v>7608</v>
      </c>
    </row>
    <row r="235" spans="1:25" x14ac:dyDescent="0.3">
      <c r="A235" t="s">
        <v>289</v>
      </c>
      <c r="B235" t="s">
        <v>46</v>
      </c>
      <c r="C235">
        <v>12</v>
      </c>
      <c r="D235">
        <v>5</v>
      </c>
      <c r="E235">
        <v>4.76</v>
      </c>
      <c r="F235">
        <v>28</v>
      </c>
      <c r="G235">
        <v>28</v>
      </c>
      <c r="H235">
        <v>1</v>
      </c>
      <c r="I235">
        <v>1</v>
      </c>
      <c r="J235">
        <v>0</v>
      </c>
      <c r="K235">
        <v>0</v>
      </c>
      <c r="L235">
        <v>0</v>
      </c>
      <c r="M235">
        <v>174</v>
      </c>
      <c r="N235">
        <v>721</v>
      </c>
      <c r="O235">
        <v>174</v>
      </c>
      <c r="P235">
        <v>96</v>
      </c>
      <c r="Q235">
        <v>92</v>
      </c>
      <c r="R235">
        <v>29</v>
      </c>
      <c r="S235">
        <v>35</v>
      </c>
      <c r="T235">
        <v>0</v>
      </c>
      <c r="U235">
        <v>5</v>
      </c>
      <c r="V235">
        <v>14</v>
      </c>
      <c r="W235">
        <v>1</v>
      </c>
      <c r="X235">
        <v>175</v>
      </c>
      <c r="Y235">
        <v>15038</v>
      </c>
    </row>
    <row r="236" spans="1:25" x14ac:dyDescent="0.3">
      <c r="A236" t="s">
        <v>290</v>
      </c>
      <c r="B236" t="s">
        <v>50</v>
      </c>
      <c r="C236">
        <v>6</v>
      </c>
      <c r="D236">
        <v>7</v>
      </c>
      <c r="E236">
        <v>4.76</v>
      </c>
      <c r="F236">
        <v>29</v>
      </c>
      <c r="G236">
        <v>24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126.2</v>
      </c>
      <c r="N236">
        <v>562</v>
      </c>
      <c r="O236">
        <v>143</v>
      </c>
      <c r="P236">
        <v>71</v>
      </c>
      <c r="Q236">
        <v>67</v>
      </c>
      <c r="R236">
        <v>26</v>
      </c>
      <c r="S236">
        <v>55</v>
      </c>
      <c r="T236">
        <v>4</v>
      </c>
      <c r="U236">
        <v>3</v>
      </c>
      <c r="V236">
        <v>2</v>
      </c>
      <c r="W236">
        <v>0</v>
      </c>
      <c r="X236">
        <v>104</v>
      </c>
      <c r="Y236">
        <v>14078</v>
      </c>
    </row>
    <row r="237" spans="1:25" x14ac:dyDescent="0.3">
      <c r="A237" t="s">
        <v>291</v>
      </c>
      <c r="B237" t="s">
        <v>143</v>
      </c>
      <c r="C237">
        <v>2</v>
      </c>
      <c r="D237">
        <v>3</v>
      </c>
      <c r="E237">
        <v>4.76</v>
      </c>
      <c r="F237">
        <v>51</v>
      </c>
      <c r="G237">
        <v>2</v>
      </c>
      <c r="H237">
        <v>0</v>
      </c>
      <c r="I237">
        <v>0</v>
      </c>
      <c r="J237">
        <v>0</v>
      </c>
      <c r="K237">
        <v>4</v>
      </c>
      <c r="L237">
        <v>1</v>
      </c>
      <c r="M237">
        <v>62.1</v>
      </c>
      <c r="N237">
        <v>280</v>
      </c>
      <c r="O237">
        <v>72</v>
      </c>
      <c r="P237">
        <v>38</v>
      </c>
      <c r="Q237">
        <v>33</v>
      </c>
      <c r="R237">
        <v>7</v>
      </c>
      <c r="S237">
        <v>18</v>
      </c>
      <c r="T237">
        <v>2</v>
      </c>
      <c r="U237">
        <v>2</v>
      </c>
      <c r="V237">
        <v>3</v>
      </c>
      <c r="W237">
        <v>0</v>
      </c>
      <c r="X237">
        <v>62</v>
      </c>
      <c r="Y237">
        <v>17369</v>
      </c>
    </row>
    <row r="238" spans="1:25" x14ac:dyDescent="0.3">
      <c r="A238" t="s">
        <v>292</v>
      </c>
      <c r="B238" t="s">
        <v>146</v>
      </c>
      <c r="C238">
        <v>7</v>
      </c>
      <c r="D238">
        <v>14</v>
      </c>
      <c r="E238">
        <v>4.79</v>
      </c>
      <c r="F238">
        <v>30</v>
      </c>
      <c r="G238">
        <v>30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161.19999999999999</v>
      </c>
      <c r="N238">
        <v>700</v>
      </c>
      <c r="O238">
        <v>161</v>
      </c>
      <c r="P238">
        <v>95</v>
      </c>
      <c r="Q238">
        <v>86</v>
      </c>
      <c r="R238">
        <v>29</v>
      </c>
      <c r="S238">
        <v>58</v>
      </c>
      <c r="T238">
        <v>0</v>
      </c>
      <c r="U238">
        <v>6</v>
      </c>
      <c r="V238">
        <v>7</v>
      </c>
      <c r="W238">
        <v>1</v>
      </c>
      <c r="X238">
        <v>162</v>
      </c>
      <c r="Y238">
        <v>12917</v>
      </c>
    </row>
    <row r="239" spans="1:25" x14ac:dyDescent="0.3">
      <c r="A239" t="s">
        <v>293</v>
      </c>
      <c r="B239" t="s">
        <v>98</v>
      </c>
      <c r="C239">
        <v>0</v>
      </c>
      <c r="D239">
        <v>0</v>
      </c>
      <c r="E239">
        <v>4.82</v>
      </c>
      <c r="F239">
        <v>51</v>
      </c>
      <c r="G239">
        <v>0</v>
      </c>
      <c r="H239">
        <v>0</v>
      </c>
      <c r="I239">
        <v>0</v>
      </c>
      <c r="J239">
        <v>0</v>
      </c>
      <c r="K239">
        <v>9</v>
      </c>
      <c r="L239">
        <v>0</v>
      </c>
      <c r="M239">
        <v>56</v>
      </c>
      <c r="N239">
        <v>250</v>
      </c>
      <c r="O239">
        <v>71</v>
      </c>
      <c r="P239">
        <v>35</v>
      </c>
      <c r="Q239">
        <v>30</v>
      </c>
      <c r="R239">
        <v>6</v>
      </c>
      <c r="S239">
        <v>20</v>
      </c>
      <c r="T239">
        <v>5</v>
      </c>
      <c r="U239">
        <v>1</v>
      </c>
      <c r="V239">
        <v>1</v>
      </c>
      <c r="W239">
        <v>0</v>
      </c>
      <c r="X239">
        <v>35</v>
      </c>
      <c r="Y239">
        <v>3237</v>
      </c>
    </row>
    <row r="240" spans="1:25" x14ac:dyDescent="0.3">
      <c r="A240" t="s">
        <v>294</v>
      </c>
      <c r="B240" t="s">
        <v>28</v>
      </c>
      <c r="C240">
        <v>2</v>
      </c>
      <c r="D240">
        <v>3</v>
      </c>
      <c r="E240">
        <v>4.83</v>
      </c>
      <c r="F240">
        <v>61</v>
      </c>
      <c r="G240">
        <v>1</v>
      </c>
      <c r="H240">
        <v>0</v>
      </c>
      <c r="I240">
        <v>0</v>
      </c>
      <c r="J240">
        <v>0</v>
      </c>
      <c r="K240">
        <v>7</v>
      </c>
      <c r="L240">
        <v>1</v>
      </c>
      <c r="M240">
        <v>69</v>
      </c>
      <c r="N240">
        <v>298</v>
      </c>
      <c r="O240">
        <v>69</v>
      </c>
      <c r="P240">
        <v>39</v>
      </c>
      <c r="Q240">
        <v>37</v>
      </c>
      <c r="R240">
        <v>13</v>
      </c>
      <c r="S240">
        <v>21</v>
      </c>
      <c r="T240">
        <v>0</v>
      </c>
      <c r="U240">
        <v>3</v>
      </c>
      <c r="V240">
        <v>2</v>
      </c>
      <c r="W240">
        <v>0</v>
      </c>
      <c r="X240">
        <v>72</v>
      </c>
      <c r="Y240">
        <v>12763</v>
      </c>
    </row>
    <row r="241" spans="1:25" x14ac:dyDescent="0.3">
      <c r="A241" t="s">
        <v>295</v>
      </c>
      <c r="B241" t="s">
        <v>34</v>
      </c>
      <c r="C241">
        <v>5</v>
      </c>
      <c r="D241">
        <v>2</v>
      </c>
      <c r="E241">
        <v>4.83</v>
      </c>
      <c r="F241">
        <v>13</v>
      </c>
      <c r="G241">
        <v>9</v>
      </c>
      <c r="H241">
        <v>0</v>
      </c>
      <c r="I241">
        <v>0</v>
      </c>
      <c r="J241">
        <v>1</v>
      </c>
      <c r="K241">
        <v>0</v>
      </c>
      <c r="L241">
        <v>0</v>
      </c>
      <c r="M241">
        <v>59.2</v>
      </c>
      <c r="N241">
        <v>260</v>
      </c>
      <c r="O241">
        <v>59</v>
      </c>
      <c r="P241">
        <v>32</v>
      </c>
      <c r="Q241">
        <v>32</v>
      </c>
      <c r="R241">
        <v>7</v>
      </c>
      <c r="S241">
        <v>27</v>
      </c>
      <c r="T241">
        <v>0</v>
      </c>
      <c r="U241">
        <v>0</v>
      </c>
      <c r="V241">
        <v>1</v>
      </c>
      <c r="W241">
        <v>0</v>
      </c>
      <c r="X241">
        <v>42</v>
      </c>
      <c r="Y241">
        <v>16980</v>
      </c>
    </row>
    <row r="242" spans="1:25" x14ac:dyDescent="0.3">
      <c r="A242" t="s">
        <v>296</v>
      </c>
      <c r="B242" t="s">
        <v>66</v>
      </c>
      <c r="C242">
        <v>13</v>
      </c>
      <c r="D242">
        <v>7</v>
      </c>
      <c r="E242">
        <v>4.84</v>
      </c>
      <c r="F242">
        <v>34</v>
      </c>
      <c r="G242">
        <v>29</v>
      </c>
      <c r="H242">
        <v>0</v>
      </c>
      <c r="I242">
        <v>0</v>
      </c>
      <c r="J242">
        <v>0</v>
      </c>
      <c r="K242">
        <v>2</v>
      </c>
      <c r="L242">
        <v>1</v>
      </c>
      <c r="M242">
        <v>160</v>
      </c>
      <c r="N242">
        <v>706</v>
      </c>
      <c r="O242">
        <v>175</v>
      </c>
      <c r="P242">
        <v>99</v>
      </c>
      <c r="Q242">
        <v>86</v>
      </c>
      <c r="R242">
        <v>23</v>
      </c>
      <c r="S242">
        <v>56</v>
      </c>
      <c r="T242">
        <v>0</v>
      </c>
      <c r="U242">
        <v>7</v>
      </c>
      <c r="V242">
        <v>8</v>
      </c>
      <c r="W242">
        <v>0</v>
      </c>
      <c r="X242">
        <v>160</v>
      </c>
      <c r="Y242">
        <v>10123</v>
      </c>
    </row>
    <row r="243" spans="1:25" x14ac:dyDescent="0.3">
      <c r="A243" t="s">
        <v>297</v>
      </c>
      <c r="B243" t="s">
        <v>36</v>
      </c>
      <c r="C243">
        <v>6</v>
      </c>
      <c r="D243">
        <v>9</v>
      </c>
      <c r="E243">
        <v>4.84</v>
      </c>
      <c r="F243">
        <v>32</v>
      </c>
      <c r="G243">
        <v>29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154.1</v>
      </c>
      <c r="N243">
        <v>677</v>
      </c>
      <c r="O243">
        <v>156</v>
      </c>
      <c r="P243">
        <v>87</v>
      </c>
      <c r="Q243">
        <v>83</v>
      </c>
      <c r="R243">
        <v>24</v>
      </c>
      <c r="S243">
        <v>61</v>
      </c>
      <c r="T243">
        <v>0</v>
      </c>
      <c r="U243">
        <v>5</v>
      </c>
      <c r="V243">
        <v>5</v>
      </c>
      <c r="W243">
        <v>0</v>
      </c>
      <c r="X243">
        <v>149</v>
      </c>
      <c r="Y243">
        <v>17948</v>
      </c>
    </row>
    <row r="244" spans="1:25" x14ac:dyDescent="0.3">
      <c r="A244" t="s">
        <v>298</v>
      </c>
      <c r="B244" t="s">
        <v>143</v>
      </c>
      <c r="C244">
        <v>3</v>
      </c>
      <c r="D244">
        <v>5</v>
      </c>
      <c r="E244">
        <v>4.8499999999999996</v>
      </c>
      <c r="F244">
        <v>48</v>
      </c>
      <c r="G244">
        <v>9</v>
      </c>
      <c r="H244">
        <v>0</v>
      </c>
      <c r="I244">
        <v>0</v>
      </c>
      <c r="J244">
        <v>1</v>
      </c>
      <c r="K244">
        <v>8</v>
      </c>
      <c r="L244">
        <v>1</v>
      </c>
      <c r="M244">
        <v>78</v>
      </c>
      <c r="N244">
        <v>337</v>
      </c>
      <c r="O244">
        <v>82</v>
      </c>
      <c r="P244">
        <v>48</v>
      </c>
      <c r="Q244">
        <v>42</v>
      </c>
      <c r="R244">
        <v>12</v>
      </c>
      <c r="S244">
        <v>22</v>
      </c>
      <c r="T244">
        <v>0</v>
      </c>
      <c r="U244">
        <v>5</v>
      </c>
      <c r="V244">
        <v>1</v>
      </c>
      <c r="W244">
        <v>0</v>
      </c>
      <c r="X244">
        <v>72</v>
      </c>
      <c r="Y244">
        <v>5448</v>
      </c>
    </row>
    <row r="245" spans="1:25" x14ac:dyDescent="0.3">
      <c r="A245" t="s">
        <v>299</v>
      </c>
      <c r="B245" t="s">
        <v>48</v>
      </c>
      <c r="C245">
        <v>2</v>
      </c>
      <c r="D245">
        <v>10</v>
      </c>
      <c r="E245">
        <v>4.8499999999999996</v>
      </c>
      <c r="F245">
        <v>46</v>
      </c>
      <c r="G245">
        <v>18</v>
      </c>
      <c r="H245">
        <v>0</v>
      </c>
      <c r="I245">
        <v>0</v>
      </c>
      <c r="J245">
        <v>2</v>
      </c>
      <c r="K245">
        <v>12</v>
      </c>
      <c r="L245">
        <v>0</v>
      </c>
      <c r="M245">
        <v>104</v>
      </c>
      <c r="N245">
        <v>455</v>
      </c>
      <c r="O245">
        <v>105</v>
      </c>
      <c r="P245">
        <v>58</v>
      </c>
      <c r="Q245">
        <v>56</v>
      </c>
      <c r="R245">
        <v>21</v>
      </c>
      <c r="S245">
        <v>44</v>
      </c>
      <c r="T245">
        <v>0</v>
      </c>
      <c r="U245">
        <v>4</v>
      </c>
      <c r="V245">
        <v>1</v>
      </c>
      <c r="W245">
        <v>1</v>
      </c>
      <c r="X245">
        <v>137</v>
      </c>
      <c r="Y245">
        <v>11426</v>
      </c>
    </row>
    <row r="246" spans="1:25" x14ac:dyDescent="0.3">
      <c r="A246" t="s">
        <v>300</v>
      </c>
      <c r="B246" t="s">
        <v>38</v>
      </c>
      <c r="C246">
        <v>2</v>
      </c>
      <c r="D246">
        <v>4</v>
      </c>
      <c r="E246">
        <v>4.8499999999999996</v>
      </c>
      <c r="F246">
        <v>62</v>
      </c>
      <c r="G246">
        <v>0</v>
      </c>
      <c r="H246">
        <v>0</v>
      </c>
      <c r="I246">
        <v>0</v>
      </c>
      <c r="J246">
        <v>7</v>
      </c>
      <c r="K246">
        <v>9</v>
      </c>
      <c r="L246">
        <v>4</v>
      </c>
      <c r="M246">
        <v>55.2</v>
      </c>
      <c r="N246">
        <v>241</v>
      </c>
      <c r="O246">
        <v>51</v>
      </c>
      <c r="P246">
        <v>33</v>
      </c>
      <c r="Q246">
        <v>30</v>
      </c>
      <c r="R246">
        <v>9</v>
      </c>
      <c r="S246">
        <v>21</v>
      </c>
      <c r="T246">
        <v>1</v>
      </c>
      <c r="U246">
        <v>3</v>
      </c>
      <c r="V246">
        <v>3</v>
      </c>
      <c r="W246">
        <v>0</v>
      </c>
      <c r="X246">
        <v>61</v>
      </c>
      <c r="Y246">
        <v>5615</v>
      </c>
    </row>
    <row r="247" spans="1:25" x14ac:dyDescent="0.3">
      <c r="A247" t="s">
        <v>301</v>
      </c>
      <c r="B247" t="s">
        <v>56</v>
      </c>
      <c r="C247">
        <v>7</v>
      </c>
      <c r="D247">
        <v>5</v>
      </c>
      <c r="E247">
        <v>4.8600000000000003</v>
      </c>
      <c r="F247">
        <v>21</v>
      </c>
      <c r="G247">
        <v>20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109.1</v>
      </c>
      <c r="N247">
        <v>462</v>
      </c>
      <c r="O247">
        <v>115</v>
      </c>
      <c r="P247">
        <v>61</v>
      </c>
      <c r="Q247">
        <v>59</v>
      </c>
      <c r="R247">
        <v>22</v>
      </c>
      <c r="S247">
        <v>26</v>
      </c>
      <c r="T247">
        <v>2</v>
      </c>
      <c r="U247">
        <v>4</v>
      </c>
      <c r="V247">
        <v>0</v>
      </c>
      <c r="W247">
        <v>0</v>
      </c>
      <c r="X247">
        <v>78</v>
      </c>
      <c r="Y247">
        <v>15846</v>
      </c>
    </row>
    <row r="248" spans="1:25" x14ac:dyDescent="0.3">
      <c r="A248" t="s">
        <v>302</v>
      </c>
      <c r="B248" t="s">
        <v>159</v>
      </c>
      <c r="C248">
        <v>1</v>
      </c>
      <c r="D248">
        <v>4</v>
      </c>
      <c r="E248">
        <v>4.8600000000000003</v>
      </c>
      <c r="F248">
        <v>13</v>
      </c>
      <c r="G248">
        <v>8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53.2</v>
      </c>
      <c r="N248">
        <v>235</v>
      </c>
      <c r="O248">
        <v>68</v>
      </c>
      <c r="P248">
        <v>30</v>
      </c>
      <c r="Q248">
        <v>29</v>
      </c>
      <c r="R248">
        <v>9</v>
      </c>
      <c r="S248">
        <v>7</v>
      </c>
      <c r="T248">
        <v>0</v>
      </c>
      <c r="U248">
        <v>2</v>
      </c>
      <c r="V248">
        <v>1</v>
      </c>
      <c r="W248">
        <v>0</v>
      </c>
      <c r="X248">
        <v>47</v>
      </c>
      <c r="Y248">
        <v>17735</v>
      </c>
    </row>
    <row r="249" spans="1:25" x14ac:dyDescent="0.3">
      <c r="A249" t="s">
        <v>303</v>
      </c>
      <c r="B249" t="s">
        <v>36</v>
      </c>
      <c r="C249">
        <v>1</v>
      </c>
      <c r="D249">
        <v>2</v>
      </c>
      <c r="E249">
        <v>4.9000000000000004</v>
      </c>
      <c r="F249">
        <v>58</v>
      </c>
      <c r="G249">
        <v>4</v>
      </c>
      <c r="H249">
        <v>0</v>
      </c>
      <c r="I249">
        <v>0</v>
      </c>
      <c r="J249">
        <v>5</v>
      </c>
      <c r="K249">
        <v>8</v>
      </c>
      <c r="L249">
        <v>1</v>
      </c>
      <c r="M249">
        <v>60.2</v>
      </c>
      <c r="N249">
        <v>285</v>
      </c>
      <c r="O249">
        <v>61</v>
      </c>
      <c r="P249">
        <v>36</v>
      </c>
      <c r="Q249">
        <v>33</v>
      </c>
      <c r="R249">
        <v>8</v>
      </c>
      <c r="S249">
        <v>40</v>
      </c>
      <c r="T249">
        <v>3</v>
      </c>
      <c r="U249">
        <v>3</v>
      </c>
      <c r="V249">
        <v>7</v>
      </c>
      <c r="W249">
        <v>0</v>
      </c>
      <c r="X249">
        <v>67</v>
      </c>
      <c r="Y249">
        <v>13133</v>
      </c>
    </row>
    <row r="250" spans="1:25" x14ac:dyDescent="0.3">
      <c r="A250" t="s">
        <v>304</v>
      </c>
      <c r="B250" t="s">
        <v>40</v>
      </c>
      <c r="C250">
        <v>12</v>
      </c>
      <c r="D250">
        <v>8</v>
      </c>
      <c r="E250">
        <v>4.91</v>
      </c>
      <c r="F250">
        <v>31</v>
      </c>
      <c r="G250">
        <v>30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161.1</v>
      </c>
      <c r="N250">
        <v>678</v>
      </c>
      <c r="O250">
        <v>160</v>
      </c>
      <c r="P250">
        <v>88</v>
      </c>
      <c r="Q250">
        <v>88</v>
      </c>
      <c r="R250">
        <v>34</v>
      </c>
      <c r="S250">
        <v>49</v>
      </c>
      <c r="T250">
        <v>1</v>
      </c>
      <c r="U250">
        <v>5</v>
      </c>
      <c r="V250">
        <v>3</v>
      </c>
      <c r="W250">
        <v>0</v>
      </c>
      <c r="X250">
        <v>140</v>
      </c>
      <c r="Y250">
        <v>7410</v>
      </c>
    </row>
    <row r="251" spans="1:25" x14ac:dyDescent="0.3">
      <c r="A251" t="s">
        <v>305</v>
      </c>
      <c r="B251" t="s">
        <v>62</v>
      </c>
      <c r="C251">
        <v>4</v>
      </c>
      <c r="D251">
        <v>6</v>
      </c>
      <c r="E251">
        <v>4.91</v>
      </c>
      <c r="F251">
        <v>18</v>
      </c>
      <c r="G251">
        <v>18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95.1</v>
      </c>
      <c r="N251">
        <v>409</v>
      </c>
      <c r="O251">
        <v>93</v>
      </c>
      <c r="P251">
        <v>53</v>
      </c>
      <c r="Q251">
        <v>52</v>
      </c>
      <c r="R251">
        <v>20</v>
      </c>
      <c r="S251">
        <v>30</v>
      </c>
      <c r="T251">
        <v>1</v>
      </c>
      <c r="U251">
        <v>7</v>
      </c>
      <c r="V251">
        <v>4</v>
      </c>
      <c r="W251">
        <v>0</v>
      </c>
      <c r="X251">
        <v>118</v>
      </c>
      <c r="Y251">
        <v>15423</v>
      </c>
    </row>
    <row r="252" spans="1:25" x14ac:dyDescent="0.3">
      <c r="A252" t="s">
        <v>306</v>
      </c>
      <c r="B252" t="s">
        <v>30</v>
      </c>
      <c r="C252">
        <v>4</v>
      </c>
      <c r="D252">
        <v>5</v>
      </c>
      <c r="E252">
        <v>4.91</v>
      </c>
      <c r="F252">
        <v>15</v>
      </c>
      <c r="G252">
        <v>14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73.099999999999994</v>
      </c>
      <c r="N252">
        <v>321</v>
      </c>
      <c r="O252">
        <v>82</v>
      </c>
      <c r="P252">
        <v>43</v>
      </c>
      <c r="Q252">
        <v>40</v>
      </c>
      <c r="R252">
        <v>15</v>
      </c>
      <c r="S252">
        <v>18</v>
      </c>
      <c r="T252">
        <v>0</v>
      </c>
      <c r="U252">
        <v>10</v>
      </c>
      <c r="V252">
        <v>0</v>
      </c>
      <c r="W252">
        <v>0</v>
      </c>
      <c r="X252">
        <v>41</v>
      </c>
      <c r="Y252">
        <v>15821</v>
      </c>
    </row>
    <row r="253" spans="1:25" x14ac:dyDescent="0.3">
      <c r="A253" t="s">
        <v>307</v>
      </c>
      <c r="B253" t="s">
        <v>95</v>
      </c>
      <c r="C253">
        <v>7</v>
      </c>
      <c r="D253">
        <v>8</v>
      </c>
      <c r="E253">
        <v>4.91</v>
      </c>
      <c r="F253">
        <v>33</v>
      </c>
      <c r="G253">
        <v>23</v>
      </c>
      <c r="H253">
        <v>0</v>
      </c>
      <c r="I253">
        <v>0</v>
      </c>
      <c r="J253">
        <v>0</v>
      </c>
      <c r="K253">
        <v>2</v>
      </c>
      <c r="L253">
        <v>0</v>
      </c>
      <c r="M253">
        <v>117.1</v>
      </c>
      <c r="N253">
        <v>516</v>
      </c>
      <c r="O253">
        <v>120</v>
      </c>
      <c r="P253">
        <v>69</v>
      </c>
      <c r="Q253">
        <v>64</v>
      </c>
      <c r="R253">
        <v>26</v>
      </c>
      <c r="S253">
        <v>43</v>
      </c>
      <c r="T253">
        <v>2</v>
      </c>
      <c r="U253">
        <v>9</v>
      </c>
      <c r="V253">
        <v>5</v>
      </c>
      <c r="W253">
        <v>0</v>
      </c>
      <c r="X253">
        <v>130</v>
      </c>
      <c r="Y253">
        <v>11189</v>
      </c>
    </row>
    <row r="254" spans="1:25" x14ac:dyDescent="0.3">
      <c r="A254" t="s">
        <v>308</v>
      </c>
      <c r="B254" t="s">
        <v>34</v>
      </c>
      <c r="C254">
        <v>6</v>
      </c>
      <c r="D254">
        <v>5</v>
      </c>
      <c r="E254">
        <v>4.91</v>
      </c>
      <c r="F254">
        <v>57</v>
      </c>
      <c r="G254">
        <v>0</v>
      </c>
      <c r="H254">
        <v>0</v>
      </c>
      <c r="I254">
        <v>0</v>
      </c>
      <c r="J254">
        <v>16</v>
      </c>
      <c r="K254">
        <v>3</v>
      </c>
      <c r="L254">
        <v>5</v>
      </c>
      <c r="M254">
        <v>58.2</v>
      </c>
      <c r="N254">
        <v>266</v>
      </c>
      <c r="O254">
        <v>58</v>
      </c>
      <c r="P254">
        <v>33</v>
      </c>
      <c r="Q254">
        <v>32</v>
      </c>
      <c r="R254">
        <v>9</v>
      </c>
      <c r="S254">
        <v>37</v>
      </c>
      <c r="T254">
        <v>1</v>
      </c>
      <c r="U254">
        <v>1</v>
      </c>
      <c r="V254">
        <v>1</v>
      </c>
      <c r="W254">
        <v>0</v>
      </c>
      <c r="X254">
        <v>59</v>
      </c>
      <c r="Y254">
        <v>12572</v>
      </c>
    </row>
    <row r="255" spans="1:25" x14ac:dyDescent="0.3">
      <c r="A255" t="s">
        <v>309</v>
      </c>
      <c r="B255" t="s">
        <v>36</v>
      </c>
      <c r="C255">
        <v>1</v>
      </c>
      <c r="D255">
        <v>3</v>
      </c>
      <c r="E255">
        <v>4.91</v>
      </c>
      <c r="F255">
        <v>68</v>
      </c>
      <c r="G255">
        <v>0</v>
      </c>
      <c r="H255">
        <v>0</v>
      </c>
      <c r="I255">
        <v>0</v>
      </c>
      <c r="J255">
        <v>0</v>
      </c>
      <c r="K255">
        <v>18</v>
      </c>
      <c r="L255">
        <v>1</v>
      </c>
      <c r="M255">
        <v>51.1</v>
      </c>
      <c r="N255">
        <v>227</v>
      </c>
      <c r="O255">
        <v>45</v>
      </c>
      <c r="P255">
        <v>29</v>
      </c>
      <c r="Q255">
        <v>28</v>
      </c>
      <c r="R255">
        <v>8</v>
      </c>
      <c r="S255">
        <v>27</v>
      </c>
      <c r="T255">
        <v>2</v>
      </c>
      <c r="U255">
        <v>1</v>
      </c>
      <c r="V255">
        <v>4</v>
      </c>
      <c r="W255">
        <v>0</v>
      </c>
      <c r="X255">
        <v>55</v>
      </c>
      <c r="Y255">
        <v>15042</v>
      </c>
    </row>
    <row r="256" spans="1:25" x14ac:dyDescent="0.3">
      <c r="A256" t="s">
        <v>310</v>
      </c>
      <c r="B256" t="s">
        <v>146</v>
      </c>
      <c r="C256">
        <v>4</v>
      </c>
      <c r="D256">
        <v>8</v>
      </c>
      <c r="E256">
        <v>4.92</v>
      </c>
      <c r="F256">
        <v>17</v>
      </c>
      <c r="G256">
        <v>16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82.1</v>
      </c>
      <c r="N256">
        <v>361</v>
      </c>
      <c r="O256">
        <v>80</v>
      </c>
      <c r="P256">
        <v>46</v>
      </c>
      <c r="Q256">
        <v>45</v>
      </c>
      <c r="R256">
        <v>17</v>
      </c>
      <c r="S256">
        <v>28</v>
      </c>
      <c r="T256">
        <v>0</v>
      </c>
      <c r="U256">
        <v>9</v>
      </c>
      <c r="V256">
        <v>3</v>
      </c>
      <c r="W256">
        <v>0</v>
      </c>
      <c r="X256">
        <v>80</v>
      </c>
      <c r="Y256">
        <v>10836</v>
      </c>
    </row>
    <row r="257" spans="1:25" x14ac:dyDescent="0.3">
      <c r="A257" t="s">
        <v>311</v>
      </c>
      <c r="B257" t="s">
        <v>48</v>
      </c>
      <c r="C257">
        <v>3</v>
      </c>
      <c r="D257">
        <v>9</v>
      </c>
      <c r="E257">
        <v>4.95</v>
      </c>
      <c r="F257">
        <v>33</v>
      </c>
      <c r="G257">
        <v>13</v>
      </c>
      <c r="H257">
        <v>0</v>
      </c>
      <c r="I257">
        <v>0</v>
      </c>
      <c r="J257">
        <v>0</v>
      </c>
      <c r="K257">
        <v>3</v>
      </c>
      <c r="L257">
        <v>1</v>
      </c>
      <c r="M257">
        <v>91</v>
      </c>
      <c r="N257">
        <v>402</v>
      </c>
      <c r="O257">
        <v>113</v>
      </c>
      <c r="P257">
        <v>55</v>
      </c>
      <c r="Q257">
        <v>50</v>
      </c>
      <c r="R257">
        <v>18</v>
      </c>
      <c r="S257">
        <v>34</v>
      </c>
      <c r="T257">
        <v>1</v>
      </c>
      <c r="U257">
        <v>4</v>
      </c>
      <c r="V257">
        <v>3</v>
      </c>
      <c r="W257">
        <v>0</v>
      </c>
      <c r="X257">
        <v>69</v>
      </c>
      <c r="Y257">
        <v>4869</v>
      </c>
    </row>
    <row r="258" spans="1:25" x14ac:dyDescent="0.3">
      <c r="A258" t="s">
        <v>312</v>
      </c>
      <c r="B258" t="s">
        <v>40</v>
      </c>
      <c r="C258">
        <v>5</v>
      </c>
      <c r="D258">
        <v>8</v>
      </c>
      <c r="E258">
        <v>4.95</v>
      </c>
      <c r="F258">
        <v>23</v>
      </c>
      <c r="G258">
        <v>22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107.1</v>
      </c>
      <c r="N258">
        <v>468</v>
      </c>
      <c r="O258">
        <v>112</v>
      </c>
      <c r="P258">
        <v>64</v>
      </c>
      <c r="Q258">
        <v>59</v>
      </c>
      <c r="R258">
        <v>27</v>
      </c>
      <c r="S258">
        <v>39</v>
      </c>
      <c r="T258">
        <v>0</v>
      </c>
      <c r="U258">
        <v>3</v>
      </c>
      <c r="V258">
        <v>0</v>
      </c>
      <c r="W258">
        <v>0</v>
      </c>
      <c r="X258">
        <v>107</v>
      </c>
      <c r="Y258">
        <v>404</v>
      </c>
    </row>
    <row r="259" spans="1:25" x14ac:dyDescent="0.3">
      <c r="A259" t="s">
        <v>313</v>
      </c>
      <c r="B259" t="s">
        <v>71</v>
      </c>
      <c r="C259">
        <v>3</v>
      </c>
      <c r="D259">
        <v>4</v>
      </c>
      <c r="E259">
        <v>5.0199999999999996</v>
      </c>
      <c r="F259">
        <v>48</v>
      </c>
      <c r="G259">
        <v>0</v>
      </c>
      <c r="H259">
        <v>0</v>
      </c>
      <c r="I259">
        <v>0</v>
      </c>
      <c r="J259">
        <v>1</v>
      </c>
      <c r="K259">
        <v>12</v>
      </c>
      <c r="L259">
        <v>3</v>
      </c>
      <c r="M259">
        <v>52</v>
      </c>
      <c r="N259">
        <v>225</v>
      </c>
      <c r="O259">
        <v>54</v>
      </c>
      <c r="P259">
        <v>32</v>
      </c>
      <c r="Q259">
        <v>29</v>
      </c>
      <c r="R259">
        <v>5</v>
      </c>
      <c r="S259">
        <v>17</v>
      </c>
      <c r="T259">
        <v>0</v>
      </c>
      <c r="U259">
        <v>5</v>
      </c>
      <c r="V259">
        <v>1</v>
      </c>
      <c r="W259">
        <v>0</v>
      </c>
      <c r="X259">
        <v>46</v>
      </c>
      <c r="Y259">
        <v>9490</v>
      </c>
    </row>
    <row r="260" spans="1:25" x14ac:dyDescent="0.3">
      <c r="A260" t="s">
        <v>314</v>
      </c>
      <c r="B260" t="s">
        <v>102</v>
      </c>
      <c r="C260">
        <v>3</v>
      </c>
      <c r="D260">
        <v>5</v>
      </c>
      <c r="E260">
        <v>5.03</v>
      </c>
      <c r="F260">
        <v>21</v>
      </c>
      <c r="G260">
        <v>15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82.1</v>
      </c>
      <c r="N260">
        <v>353</v>
      </c>
      <c r="O260">
        <v>76</v>
      </c>
      <c r="P260">
        <v>49</v>
      </c>
      <c r="Q260">
        <v>46</v>
      </c>
      <c r="R260">
        <v>20</v>
      </c>
      <c r="S260">
        <v>26</v>
      </c>
      <c r="T260">
        <v>1</v>
      </c>
      <c r="U260">
        <v>9</v>
      </c>
      <c r="V260">
        <v>2</v>
      </c>
      <c r="W260">
        <v>1</v>
      </c>
      <c r="X260">
        <v>85</v>
      </c>
      <c r="Y260">
        <v>16933</v>
      </c>
    </row>
    <row r="261" spans="1:25" x14ac:dyDescent="0.3">
      <c r="A261" t="s">
        <v>315</v>
      </c>
      <c r="B261" t="s">
        <v>83</v>
      </c>
      <c r="C261">
        <v>5</v>
      </c>
      <c r="D261">
        <v>10</v>
      </c>
      <c r="E261">
        <v>5.08</v>
      </c>
      <c r="F261">
        <v>24</v>
      </c>
      <c r="G261">
        <v>22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117</v>
      </c>
      <c r="N261">
        <v>523</v>
      </c>
      <c r="O261">
        <v>127</v>
      </c>
      <c r="P261">
        <v>70</v>
      </c>
      <c r="Q261">
        <v>66</v>
      </c>
      <c r="R261">
        <v>22</v>
      </c>
      <c r="S261">
        <v>46</v>
      </c>
      <c r="T261">
        <v>1</v>
      </c>
      <c r="U261">
        <v>5</v>
      </c>
      <c r="V261">
        <v>9</v>
      </c>
      <c r="W261">
        <v>0</v>
      </c>
      <c r="X261">
        <v>113</v>
      </c>
      <c r="Y261">
        <v>16981</v>
      </c>
    </row>
    <row r="262" spans="1:25" x14ac:dyDescent="0.3">
      <c r="A262" t="s">
        <v>316</v>
      </c>
      <c r="B262" t="s">
        <v>102</v>
      </c>
      <c r="C262">
        <v>5</v>
      </c>
      <c r="D262">
        <v>8</v>
      </c>
      <c r="E262">
        <v>5.09</v>
      </c>
      <c r="F262">
        <v>21</v>
      </c>
      <c r="G262">
        <v>21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111.1</v>
      </c>
      <c r="N262">
        <v>469</v>
      </c>
      <c r="O262">
        <v>111</v>
      </c>
      <c r="P262">
        <v>64</v>
      </c>
      <c r="Q262">
        <v>63</v>
      </c>
      <c r="R262">
        <v>15</v>
      </c>
      <c r="S262">
        <v>27</v>
      </c>
      <c r="T262">
        <v>3</v>
      </c>
      <c r="U262">
        <v>11</v>
      </c>
      <c r="V262">
        <v>6</v>
      </c>
      <c r="W262">
        <v>2</v>
      </c>
      <c r="X262">
        <v>95</v>
      </c>
      <c r="Y262">
        <v>17085</v>
      </c>
    </row>
    <row r="263" spans="1:25" x14ac:dyDescent="0.3">
      <c r="A263" t="s">
        <v>317</v>
      </c>
      <c r="B263" t="s">
        <v>66</v>
      </c>
      <c r="C263">
        <v>10</v>
      </c>
      <c r="D263">
        <v>7</v>
      </c>
      <c r="E263">
        <v>5.12</v>
      </c>
      <c r="F263">
        <v>32</v>
      </c>
      <c r="G263">
        <v>29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165.1</v>
      </c>
      <c r="N263">
        <v>737</v>
      </c>
      <c r="O263">
        <v>184</v>
      </c>
      <c r="P263">
        <v>104</v>
      </c>
      <c r="Q263">
        <v>94</v>
      </c>
      <c r="R263">
        <v>23</v>
      </c>
      <c r="S263">
        <v>67</v>
      </c>
      <c r="T263">
        <v>1</v>
      </c>
      <c r="U263">
        <v>3</v>
      </c>
      <c r="V263">
        <v>3</v>
      </c>
      <c r="W263">
        <v>1</v>
      </c>
      <c r="X263">
        <v>135</v>
      </c>
      <c r="Y263">
        <v>6902</v>
      </c>
    </row>
    <row r="264" spans="1:25" x14ac:dyDescent="0.3">
      <c r="A264" t="s">
        <v>318</v>
      </c>
      <c r="B264" t="s">
        <v>71</v>
      </c>
      <c r="C264">
        <v>8</v>
      </c>
      <c r="D264">
        <v>6</v>
      </c>
      <c r="E264">
        <v>5.13</v>
      </c>
      <c r="F264">
        <v>67</v>
      </c>
      <c r="G264">
        <v>0</v>
      </c>
      <c r="H264">
        <v>0</v>
      </c>
      <c r="I264">
        <v>0</v>
      </c>
      <c r="J264">
        <v>4</v>
      </c>
      <c r="K264">
        <v>10</v>
      </c>
      <c r="L264">
        <v>2</v>
      </c>
      <c r="M264">
        <v>59.2</v>
      </c>
      <c r="N264">
        <v>258</v>
      </c>
      <c r="O264">
        <v>53</v>
      </c>
      <c r="P264">
        <v>34</v>
      </c>
      <c r="Q264">
        <v>34</v>
      </c>
      <c r="R264">
        <v>8</v>
      </c>
      <c r="S264">
        <v>29</v>
      </c>
      <c r="T264">
        <v>3</v>
      </c>
      <c r="U264">
        <v>3</v>
      </c>
      <c r="V264">
        <v>2</v>
      </c>
      <c r="W264">
        <v>1</v>
      </c>
      <c r="X264">
        <v>57</v>
      </c>
      <c r="Y264">
        <v>4300</v>
      </c>
    </row>
    <row r="265" spans="1:25" x14ac:dyDescent="0.3">
      <c r="A265" t="s">
        <v>319</v>
      </c>
      <c r="B265" t="s">
        <v>89</v>
      </c>
      <c r="C265">
        <v>3</v>
      </c>
      <c r="D265">
        <v>12</v>
      </c>
      <c r="E265">
        <v>5.14</v>
      </c>
      <c r="F265">
        <v>25</v>
      </c>
      <c r="G265">
        <v>25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129.19999999999999</v>
      </c>
      <c r="N265">
        <v>556</v>
      </c>
      <c r="O265">
        <v>136</v>
      </c>
      <c r="P265">
        <v>82</v>
      </c>
      <c r="Q265">
        <v>74</v>
      </c>
      <c r="R265">
        <v>25</v>
      </c>
      <c r="S265">
        <v>34</v>
      </c>
      <c r="T265">
        <v>0</v>
      </c>
      <c r="U265">
        <v>6</v>
      </c>
      <c r="V265">
        <v>2</v>
      </c>
      <c r="W265">
        <v>1</v>
      </c>
      <c r="X265">
        <v>129</v>
      </c>
      <c r="Y265">
        <v>16358</v>
      </c>
    </row>
    <row r="266" spans="1:25" x14ac:dyDescent="0.3">
      <c r="A266" t="s">
        <v>320</v>
      </c>
      <c r="B266" t="s">
        <v>26</v>
      </c>
      <c r="C266">
        <v>6</v>
      </c>
      <c r="D266">
        <v>8</v>
      </c>
      <c r="E266">
        <v>5.16</v>
      </c>
      <c r="F266">
        <v>23</v>
      </c>
      <c r="G266">
        <v>18</v>
      </c>
      <c r="H266">
        <v>0</v>
      </c>
      <c r="I266">
        <v>0</v>
      </c>
      <c r="J266">
        <v>0</v>
      </c>
      <c r="K266">
        <v>1</v>
      </c>
      <c r="L266">
        <v>0</v>
      </c>
      <c r="M266">
        <v>103</v>
      </c>
      <c r="N266">
        <v>443</v>
      </c>
      <c r="O266">
        <v>106</v>
      </c>
      <c r="P266">
        <v>61</v>
      </c>
      <c r="Q266">
        <v>59</v>
      </c>
      <c r="R266">
        <v>15</v>
      </c>
      <c r="S266">
        <v>28</v>
      </c>
      <c r="T266">
        <v>2</v>
      </c>
      <c r="U266">
        <v>3</v>
      </c>
      <c r="V266">
        <v>3</v>
      </c>
      <c r="W266">
        <v>0</v>
      </c>
      <c r="X266">
        <v>89</v>
      </c>
      <c r="Y266">
        <v>19312</v>
      </c>
    </row>
    <row r="267" spans="1:25" x14ac:dyDescent="0.3">
      <c r="A267" t="s">
        <v>321</v>
      </c>
      <c r="B267" t="s">
        <v>30</v>
      </c>
      <c r="C267">
        <v>4</v>
      </c>
      <c r="D267">
        <v>6</v>
      </c>
      <c r="E267">
        <v>5.16</v>
      </c>
      <c r="F267">
        <v>25</v>
      </c>
      <c r="G267">
        <v>19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113.1</v>
      </c>
      <c r="N267">
        <v>505</v>
      </c>
      <c r="O267">
        <v>117</v>
      </c>
      <c r="P267">
        <v>69</v>
      </c>
      <c r="Q267">
        <v>65</v>
      </c>
      <c r="R267">
        <v>15</v>
      </c>
      <c r="S267">
        <v>53</v>
      </c>
      <c r="T267">
        <v>2</v>
      </c>
      <c r="U267">
        <v>7</v>
      </c>
      <c r="V267">
        <v>7</v>
      </c>
      <c r="W267">
        <v>1</v>
      </c>
      <c r="X267">
        <v>100</v>
      </c>
      <c r="Y267">
        <v>15291</v>
      </c>
    </row>
    <row r="268" spans="1:25" x14ac:dyDescent="0.3">
      <c r="A268" t="s">
        <v>322</v>
      </c>
      <c r="B268" t="s">
        <v>30</v>
      </c>
      <c r="C268">
        <v>3</v>
      </c>
      <c r="D268">
        <v>9</v>
      </c>
      <c r="E268">
        <v>5.19</v>
      </c>
      <c r="F268">
        <v>23</v>
      </c>
      <c r="G268">
        <v>23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119.2</v>
      </c>
      <c r="N268">
        <v>526</v>
      </c>
      <c r="O268">
        <v>114</v>
      </c>
      <c r="P268">
        <v>73</v>
      </c>
      <c r="Q268">
        <v>69</v>
      </c>
      <c r="R268">
        <v>25</v>
      </c>
      <c r="S268">
        <v>55</v>
      </c>
      <c r="T268">
        <v>2</v>
      </c>
      <c r="U268">
        <v>4</v>
      </c>
      <c r="V268">
        <v>6</v>
      </c>
      <c r="W268">
        <v>0</v>
      </c>
      <c r="X268">
        <v>143</v>
      </c>
      <c r="Y268">
        <v>6345</v>
      </c>
    </row>
    <row r="269" spans="1:25" x14ac:dyDescent="0.3">
      <c r="A269" t="s">
        <v>323</v>
      </c>
      <c r="B269" t="s">
        <v>102</v>
      </c>
      <c r="C269">
        <v>4</v>
      </c>
      <c r="D269">
        <v>10</v>
      </c>
      <c r="E269">
        <v>5.21</v>
      </c>
      <c r="F269">
        <v>24</v>
      </c>
      <c r="G269">
        <v>13</v>
      </c>
      <c r="H269">
        <v>0</v>
      </c>
      <c r="I269">
        <v>0</v>
      </c>
      <c r="J269">
        <v>3</v>
      </c>
      <c r="K269">
        <v>0</v>
      </c>
      <c r="L269">
        <v>2</v>
      </c>
      <c r="M269">
        <v>84.2</v>
      </c>
      <c r="N269">
        <v>369</v>
      </c>
      <c r="O269">
        <v>99</v>
      </c>
      <c r="P269">
        <v>53</v>
      </c>
      <c r="Q269">
        <v>49</v>
      </c>
      <c r="R269">
        <v>13</v>
      </c>
      <c r="S269">
        <v>26</v>
      </c>
      <c r="T269">
        <v>3</v>
      </c>
      <c r="U269">
        <v>2</v>
      </c>
      <c r="V269">
        <v>2</v>
      </c>
      <c r="W269">
        <v>0</v>
      </c>
      <c r="X269">
        <v>62</v>
      </c>
      <c r="Y269">
        <v>11589</v>
      </c>
    </row>
    <row r="270" spans="1:25" x14ac:dyDescent="0.3">
      <c r="A270" t="s">
        <v>324</v>
      </c>
      <c r="B270" t="s">
        <v>127</v>
      </c>
      <c r="C270">
        <v>9</v>
      </c>
      <c r="D270">
        <v>14</v>
      </c>
      <c r="E270">
        <v>5.24</v>
      </c>
      <c r="F270">
        <v>31</v>
      </c>
      <c r="G270">
        <v>31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175.1</v>
      </c>
      <c r="N270">
        <v>771</v>
      </c>
      <c r="O270">
        <v>192</v>
      </c>
      <c r="P270">
        <v>108</v>
      </c>
      <c r="Q270">
        <v>102</v>
      </c>
      <c r="R270">
        <v>31</v>
      </c>
      <c r="S270">
        <v>58</v>
      </c>
      <c r="T270">
        <v>1</v>
      </c>
      <c r="U270">
        <v>11</v>
      </c>
      <c r="V270">
        <v>4</v>
      </c>
      <c r="W270">
        <v>0</v>
      </c>
      <c r="X270">
        <v>164</v>
      </c>
      <c r="Y270">
        <v>13619</v>
      </c>
    </row>
    <row r="271" spans="1:25" x14ac:dyDescent="0.3">
      <c r="A271" t="s">
        <v>325</v>
      </c>
      <c r="B271" t="s">
        <v>34</v>
      </c>
      <c r="C271">
        <v>4</v>
      </c>
      <c r="D271">
        <v>6</v>
      </c>
      <c r="E271">
        <v>5.25</v>
      </c>
      <c r="F271">
        <v>61</v>
      </c>
      <c r="G271">
        <v>0</v>
      </c>
      <c r="H271">
        <v>0</v>
      </c>
      <c r="I271">
        <v>0</v>
      </c>
      <c r="J271">
        <v>0</v>
      </c>
      <c r="K271">
        <v>17</v>
      </c>
      <c r="L271">
        <v>5</v>
      </c>
      <c r="M271">
        <v>60</v>
      </c>
      <c r="N271">
        <v>269</v>
      </c>
      <c r="O271">
        <v>61</v>
      </c>
      <c r="P271">
        <v>40</v>
      </c>
      <c r="Q271">
        <v>35</v>
      </c>
      <c r="R271">
        <v>7</v>
      </c>
      <c r="S271">
        <v>31</v>
      </c>
      <c r="T271">
        <v>2</v>
      </c>
      <c r="U271">
        <v>3</v>
      </c>
      <c r="V271">
        <v>7</v>
      </c>
      <c r="W271">
        <v>0</v>
      </c>
      <c r="X271">
        <v>57</v>
      </c>
      <c r="Y271">
        <v>15043</v>
      </c>
    </row>
    <row r="272" spans="1:25" x14ac:dyDescent="0.3">
      <c r="A272" t="s">
        <v>326</v>
      </c>
      <c r="B272" t="s">
        <v>46</v>
      </c>
      <c r="C272">
        <v>2</v>
      </c>
      <c r="D272">
        <v>6</v>
      </c>
      <c r="E272">
        <v>5.29</v>
      </c>
      <c r="F272">
        <v>14</v>
      </c>
      <c r="G272">
        <v>12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63</v>
      </c>
      <c r="N272">
        <v>278</v>
      </c>
      <c r="O272">
        <v>59</v>
      </c>
      <c r="P272">
        <v>39</v>
      </c>
      <c r="Q272">
        <v>37</v>
      </c>
      <c r="R272">
        <v>11</v>
      </c>
      <c r="S272">
        <v>33</v>
      </c>
      <c r="T272">
        <v>0</v>
      </c>
      <c r="U272">
        <v>1</v>
      </c>
      <c r="V272">
        <v>1</v>
      </c>
      <c r="W272">
        <v>0</v>
      </c>
      <c r="X272">
        <v>46</v>
      </c>
      <c r="Y272">
        <v>14663</v>
      </c>
    </row>
    <row r="273" spans="1:25" x14ac:dyDescent="0.3">
      <c r="A273" t="s">
        <v>327</v>
      </c>
      <c r="B273" t="s">
        <v>56</v>
      </c>
      <c r="C273">
        <v>6</v>
      </c>
      <c r="D273">
        <v>7</v>
      </c>
      <c r="E273">
        <v>5.29</v>
      </c>
      <c r="F273">
        <v>23</v>
      </c>
      <c r="G273">
        <v>12</v>
      </c>
      <c r="H273">
        <v>1</v>
      </c>
      <c r="I273">
        <v>1</v>
      </c>
      <c r="J273">
        <v>1</v>
      </c>
      <c r="K273">
        <v>0</v>
      </c>
      <c r="L273">
        <v>1</v>
      </c>
      <c r="M273">
        <v>80</v>
      </c>
      <c r="N273">
        <v>341</v>
      </c>
      <c r="O273">
        <v>92</v>
      </c>
      <c r="P273">
        <v>48</v>
      </c>
      <c r="Q273">
        <v>47</v>
      </c>
      <c r="R273">
        <v>18</v>
      </c>
      <c r="S273">
        <v>16</v>
      </c>
      <c r="T273">
        <v>1</v>
      </c>
      <c r="U273">
        <v>2</v>
      </c>
      <c r="V273">
        <v>2</v>
      </c>
      <c r="W273">
        <v>0</v>
      </c>
      <c r="X273">
        <v>96</v>
      </c>
      <c r="Y273">
        <v>6632</v>
      </c>
    </row>
    <row r="274" spans="1:25" x14ac:dyDescent="0.3">
      <c r="A274" t="s">
        <v>328</v>
      </c>
      <c r="B274" t="s">
        <v>71</v>
      </c>
      <c r="C274">
        <v>7</v>
      </c>
      <c r="D274">
        <v>3</v>
      </c>
      <c r="E274">
        <v>5.29</v>
      </c>
      <c r="F274">
        <v>39</v>
      </c>
      <c r="G274">
        <v>8</v>
      </c>
      <c r="H274">
        <v>0</v>
      </c>
      <c r="I274">
        <v>0</v>
      </c>
      <c r="J274">
        <v>1</v>
      </c>
      <c r="K274">
        <v>5</v>
      </c>
      <c r="L274">
        <v>1</v>
      </c>
      <c r="M274">
        <v>85</v>
      </c>
      <c r="N274">
        <v>382</v>
      </c>
      <c r="O274">
        <v>87</v>
      </c>
      <c r="P274">
        <v>58</v>
      </c>
      <c r="Q274">
        <v>50</v>
      </c>
      <c r="R274">
        <v>15</v>
      </c>
      <c r="S274">
        <v>37</v>
      </c>
      <c r="T274">
        <v>1</v>
      </c>
      <c r="U274">
        <v>2</v>
      </c>
      <c r="V274">
        <v>3</v>
      </c>
      <c r="W274">
        <v>0</v>
      </c>
      <c r="X274">
        <v>115</v>
      </c>
      <c r="Y274">
        <v>18679</v>
      </c>
    </row>
    <row r="275" spans="1:25" x14ac:dyDescent="0.3">
      <c r="A275" t="s">
        <v>329</v>
      </c>
      <c r="B275" t="s">
        <v>98</v>
      </c>
      <c r="C275">
        <v>5</v>
      </c>
      <c r="D275">
        <v>5</v>
      </c>
      <c r="E275">
        <v>5.31</v>
      </c>
      <c r="F275">
        <v>23</v>
      </c>
      <c r="G275">
        <v>15</v>
      </c>
      <c r="H275">
        <v>0</v>
      </c>
      <c r="I275">
        <v>0</v>
      </c>
      <c r="J275">
        <v>1</v>
      </c>
      <c r="K275">
        <v>0</v>
      </c>
      <c r="L275">
        <v>0</v>
      </c>
      <c r="M275">
        <v>84.2</v>
      </c>
      <c r="N275">
        <v>369</v>
      </c>
      <c r="O275">
        <v>86</v>
      </c>
      <c r="P275">
        <v>55</v>
      </c>
      <c r="Q275">
        <v>50</v>
      </c>
      <c r="R275">
        <v>23</v>
      </c>
      <c r="S275">
        <v>30</v>
      </c>
      <c r="T275">
        <v>0</v>
      </c>
      <c r="U275">
        <v>6</v>
      </c>
      <c r="V275">
        <v>3</v>
      </c>
      <c r="W275">
        <v>0</v>
      </c>
      <c r="X275">
        <v>68</v>
      </c>
      <c r="Y275">
        <v>17611</v>
      </c>
    </row>
    <row r="276" spans="1:25" x14ac:dyDescent="0.3">
      <c r="A276" t="s">
        <v>330</v>
      </c>
      <c r="B276" t="s">
        <v>146</v>
      </c>
      <c r="C276">
        <v>1</v>
      </c>
      <c r="D276">
        <v>9</v>
      </c>
      <c r="E276">
        <v>5.34</v>
      </c>
      <c r="F276">
        <v>66</v>
      </c>
      <c r="G276">
        <v>0</v>
      </c>
      <c r="H276">
        <v>0</v>
      </c>
      <c r="I276">
        <v>0</v>
      </c>
      <c r="J276">
        <v>3</v>
      </c>
      <c r="K276">
        <v>11</v>
      </c>
      <c r="L276">
        <v>5</v>
      </c>
      <c r="M276">
        <v>57.1</v>
      </c>
      <c r="N276">
        <v>255</v>
      </c>
      <c r="O276">
        <v>54</v>
      </c>
      <c r="P276">
        <v>39</v>
      </c>
      <c r="Q276">
        <v>34</v>
      </c>
      <c r="R276">
        <v>7</v>
      </c>
      <c r="S276">
        <v>29</v>
      </c>
      <c r="T276">
        <v>1</v>
      </c>
      <c r="U276">
        <v>6</v>
      </c>
      <c r="V276">
        <v>2</v>
      </c>
      <c r="W276">
        <v>0</v>
      </c>
      <c r="X276">
        <v>55</v>
      </c>
      <c r="Y276">
        <v>15832</v>
      </c>
    </row>
    <row r="277" spans="1:25" x14ac:dyDescent="0.3">
      <c r="A277" t="s">
        <v>331</v>
      </c>
      <c r="B277" t="s">
        <v>26</v>
      </c>
      <c r="C277">
        <v>0</v>
      </c>
      <c r="D277">
        <v>1</v>
      </c>
      <c r="E277">
        <v>5.37</v>
      </c>
      <c r="F277">
        <v>37</v>
      </c>
      <c r="G277">
        <v>1</v>
      </c>
      <c r="H277">
        <v>0</v>
      </c>
      <c r="I277">
        <v>0</v>
      </c>
      <c r="J277">
        <v>0</v>
      </c>
      <c r="K277">
        <v>5</v>
      </c>
      <c r="L277">
        <v>1</v>
      </c>
      <c r="M277">
        <v>55.1</v>
      </c>
      <c r="N277">
        <v>251</v>
      </c>
      <c r="O277">
        <v>72</v>
      </c>
      <c r="P277">
        <v>36</v>
      </c>
      <c r="Q277">
        <v>33</v>
      </c>
      <c r="R277">
        <v>6</v>
      </c>
      <c r="S277">
        <v>15</v>
      </c>
      <c r="T277">
        <v>0</v>
      </c>
      <c r="U277">
        <v>1</v>
      </c>
      <c r="V277">
        <v>3</v>
      </c>
      <c r="W277">
        <v>0</v>
      </c>
      <c r="X277">
        <v>52</v>
      </c>
      <c r="Y277">
        <v>10354</v>
      </c>
    </row>
    <row r="278" spans="1:25" x14ac:dyDescent="0.3">
      <c r="A278" t="s">
        <v>332</v>
      </c>
      <c r="B278" t="s">
        <v>146</v>
      </c>
      <c r="C278">
        <v>3</v>
      </c>
      <c r="D278">
        <v>0</v>
      </c>
      <c r="E278">
        <v>5.37</v>
      </c>
      <c r="F278">
        <v>53</v>
      </c>
      <c r="G278">
        <v>1</v>
      </c>
      <c r="H278">
        <v>0</v>
      </c>
      <c r="I278">
        <v>0</v>
      </c>
      <c r="J278">
        <v>4</v>
      </c>
      <c r="K278">
        <v>5</v>
      </c>
      <c r="L278">
        <v>1</v>
      </c>
      <c r="M278">
        <v>55.1</v>
      </c>
      <c r="N278">
        <v>235</v>
      </c>
      <c r="O278">
        <v>65</v>
      </c>
      <c r="P278">
        <v>34</v>
      </c>
      <c r="Q278">
        <v>33</v>
      </c>
      <c r="R278">
        <v>6</v>
      </c>
      <c r="S278">
        <v>8</v>
      </c>
      <c r="T278">
        <v>2</v>
      </c>
      <c r="U278">
        <v>4</v>
      </c>
      <c r="V278">
        <v>1</v>
      </c>
      <c r="W278">
        <v>0</v>
      </c>
      <c r="X278">
        <v>30</v>
      </c>
      <c r="Y278">
        <v>7803</v>
      </c>
    </row>
    <row r="279" spans="1:25" x14ac:dyDescent="0.3">
      <c r="A279" t="s">
        <v>333</v>
      </c>
      <c r="B279" t="s">
        <v>62</v>
      </c>
      <c r="C279">
        <v>4</v>
      </c>
      <c r="D279">
        <v>4</v>
      </c>
      <c r="E279">
        <v>5.38</v>
      </c>
      <c r="F279">
        <v>17</v>
      </c>
      <c r="G279">
        <v>12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72</v>
      </c>
      <c r="N279">
        <v>327</v>
      </c>
      <c r="O279">
        <v>85</v>
      </c>
      <c r="P279">
        <v>50</v>
      </c>
      <c r="Q279">
        <v>43</v>
      </c>
      <c r="R279">
        <v>18</v>
      </c>
      <c r="S279">
        <v>26</v>
      </c>
      <c r="T279">
        <v>1</v>
      </c>
      <c r="U279">
        <v>5</v>
      </c>
      <c r="V279">
        <v>1</v>
      </c>
      <c r="W279">
        <v>2</v>
      </c>
      <c r="X279">
        <v>55</v>
      </c>
      <c r="Y279">
        <v>18790</v>
      </c>
    </row>
    <row r="280" spans="1:25" x14ac:dyDescent="0.3">
      <c r="A280" t="s">
        <v>334</v>
      </c>
      <c r="B280" t="s">
        <v>46</v>
      </c>
      <c r="C280">
        <v>3</v>
      </c>
      <c r="D280">
        <v>2</v>
      </c>
      <c r="E280">
        <v>5.38</v>
      </c>
      <c r="F280">
        <v>70</v>
      </c>
      <c r="G280">
        <v>0</v>
      </c>
      <c r="H280">
        <v>0</v>
      </c>
      <c r="I280">
        <v>0</v>
      </c>
      <c r="J280">
        <v>1</v>
      </c>
      <c r="K280">
        <v>12</v>
      </c>
      <c r="L280">
        <v>5</v>
      </c>
      <c r="M280">
        <v>72</v>
      </c>
      <c r="N280">
        <v>311</v>
      </c>
      <c r="O280">
        <v>69</v>
      </c>
      <c r="P280">
        <v>44</v>
      </c>
      <c r="Q280">
        <v>43</v>
      </c>
      <c r="R280">
        <v>12</v>
      </c>
      <c r="S280">
        <v>29</v>
      </c>
      <c r="T280">
        <v>1</v>
      </c>
      <c r="U280">
        <v>5</v>
      </c>
      <c r="V280">
        <v>1</v>
      </c>
      <c r="W280">
        <v>0</v>
      </c>
      <c r="X280">
        <v>58</v>
      </c>
      <c r="Y280">
        <v>8110</v>
      </c>
    </row>
    <row r="281" spans="1:25" x14ac:dyDescent="0.3">
      <c r="A281" t="s">
        <v>335</v>
      </c>
      <c r="B281" t="s">
        <v>30</v>
      </c>
      <c r="C281">
        <v>7</v>
      </c>
      <c r="D281">
        <v>9</v>
      </c>
      <c r="E281">
        <v>5.38</v>
      </c>
      <c r="F281">
        <v>26</v>
      </c>
      <c r="G281">
        <v>26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145.19999999999999</v>
      </c>
      <c r="N281">
        <v>636</v>
      </c>
      <c r="O281">
        <v>162</v>
      </c>
      <c r="P281">
        <v>93</v>
      </c>
      <c r="Q281">
        <v>87</v>
      </c>
      <c r="R281">
        <v>27</v>
      </c>
      <c r="S281">
        <v>44</v>
      </c>
      <c r="T281">
        <v>3</v>
      </c>
      <c r="U281">
        <v>7</v>
      </c>
      <c r="V281">
        <v>2</v>
      </c>
      <c r="W281">
        <v>0</v>
      </c>
      <c r="X281">
        <v>113</v>
      </c>
      <c r="Y281">
        <v>16977</v>
      </c>
    </row>
    <row r="282" spans="1:25" x14ac:dyDescent="0.3">
      <c r="A282" t="s">
        <v>336</v>
      </c>
      <c r="B282" t="s">
        <v>43</v>
      </c>
      <c r="C282">
        <v>10</v>
      </c>
      <c r="D282">
        <v>15</v>
      </c>
      <c r="E282">
        <v>5.38</v>
      </c>
      <c r="F282">
        <v>33</v>
      </c>
      <c r="G282">
        <v>33</v>
      </c>
      <c r="H282">
        <v>1</v>
      </c>
      <c r="I282">
        <v>0</v>
      </c>
      <c r="J282">
        <v>0</v>
      </c>
      <c r="K282">
        <v>0</v>
      </c>
      <c r="L282">
        <v>0</v>
      </c>
      <c r="M282">
        <v>184</v>
      </c>
      <c r="N282">
        <v>809</v>
      </c>
      <c r="O282">
        <v>203</v>
      </c>
      <c r="P282">
        <v>119</v>
      </c>
      <c r="Q282">
        <v>110</v>
      </c>
      <c r="R282">
        <v>35</v>
      </c>
      <c r="S282">
        <v>65</v>
      </c>
      <c r="T282">
        <v>0</v>
      </c>
      <c r="U282">
        <v>8</v>
      </c>
      <c r="V282">
        <v>5</v>
      </c>
      <c r="W282">
        <v>2</v>
      </c>
      <c r="X282">
        <v>169</v>
      </c>
      <c r="Y282">
        <v>16400</v>
      </c>
    </row>
    <row r="283" spans="1:25" x14ac:dyDescent="0.3">
      <c r="A283" t="s">
        <v>337</v>
      </c>
      <c r="B283" t="s">
        <v>95</v>
      </c>
      <c r="C283">
        <v>4</v>
      </c>
      <c r="D283">
        <v>6</v>
      </c>
      <c r="E283">
        <v>5.38</v>
      </c>
      <c r="F283">
        <v>30</v>
      </c>
      <c r="G283">
        <v>13</v>
      </c>
      <c r="H283">
        <v>1</v>
      </c>
      <c r="I283">
        <v>0</v>
      </c>
      <c r="J283">
        <v>1</v>
      </c>
      <c r="K283">
        <v>1</v>
      </c>
      <c r="L283">
        <v>0</v>
      </c>
      <c r="M283">
        <v>93.2</v>
      </c>
      <c r="N283">
        <v>421</v>
      </c>
      <c r="O283">
        <v>103</v>
      </c>
      <c r="P283">
        <v>64</v>
      </c>
      <c r="Q283">
        <v>56</v>
      </c>
      <c r="R283">
        <v>20</v>
      </c>
      <c r="S283">
        <v>39</v>
      </c>
      <c r="T283">
        <v>2</v>
      </c>
      <c r="U283">
        <v>4</v>
      </c>
      <c r="V283">
        <v>4</v>
      </c>
      <c r="W283">
        <v>1</v>
      </c>
      <c r="X283">
        <v>89</v>
      </c>
      <c r="Y283">
        <v>15454</v>
      </c>
    </row>
    <row r="284" spans="1:25" x14ac:dyDescent="0.3">
      <c r="A284" t="s">
        <v>338</v>
      </c>
      <c r="B284" t="s">
        <v>38</v>
      </c>
      <c r="C284">
        <v>1</v>
      </c>
      <c r="D284">
        <v>4</v>
      </c>
      <c r="E284">
        <v>5.43</v>
      </c>
      <c r="F284">
        <v>34</v>
      </c>
      <c r="G284">
        <v>8</v>
      </c>
      <c r="H284">
        <v>0</v>
      </c>
      <c r="I284">
        <v>0</v>
      </c>
      <c r="J284">
        <v>0</v>
      </c>
      <c r="K284">
        <v>1</v>
      </c>
      <c r="L284">
        <v>1</v>
      </c>
      <c r="M284">
        <v>56.1</v>
      </c>
      <c r="N284">
        <v>246</v>
      </c>
      <c r="O284">
        <v>58</v>
      </c>
      <c r="P284">
        <v>40</v>
      </c>
      <c r="Q284">
        <v>34</v>
      </c>
      <c r="R284">
        <v>7</v>
      </c>
      <c r="S284">
        <v>28</v>
      </c>
      <c r="T284">
        <v>0</v>
      </c>
      <c r="U284">
        <v>3</v>
      </c>
      <c r="V284">
        <v>2</v>
      </c>
      <c r="W284">
        <v>0</v>
      </c>
      <c r="X284">
        <v>49</v>
      </c>
      <c r="Y284">
        <v>19341</v>
      </c>
    </row>
    <row r="285" spans="1:25" x14ac:dyDescent="0.3">
      <c r="A285" t="s">
        <v>339</v>
      </c>
      <c r="B285" t="s">
        <v>83</v>
      </c>
      <c r="C285">
        <v>3</v>
      </c>
      <c r="D285">
        <v>5</v>
      </c>
      <c r="E285">
        <v>5.44</v>
      </c>
      <c r="F285">
        <v>28</v>
      </c>
      <c r="G285">
        <v>16</v>
      </c>
      <c r="H285">
        <v>0</v>
      </c>
      <c r="I285">
        <v>0</v>
      </c>
      <c r="J285">
        <v>2</v>
      </c>
      <c r="K285">
        <v>1</v>
      </c>
      <c r="L285">
        <v>0</v>
      </c>
      <c r="M285">
        <v>96</v>
      </c>
      <c r="N285">
        <v>427</v>
      </c>
      <c r="O285">
        <v>111</v>
      </c>
      <c r="P285">
        <v>61</v>
      </c>
      <c r="Q285">
        <v>58</v>
      </c>
      <c r="R285">
        <v>13</v>
      </c>
      <c r="S285">
        <v>38</v>
      </c>
      <c r="T285">
        <v>3</v>
      </c>
      <c r="U285">
        <v>2</v>
      </c>
      <c r="V285">
        <v>6</v>
      </c>
      <c r="W285">
        <v>0</v>
      </c>
      <c r="X285">
        <v>70</v>
      </c>
      <c r="Y285">
        <v>19453</v>
      </c>
    </row>
    <row r="286" spans="1:25" x14ac:dyDescent="0.3">
      <c r="A286" t="s">
        <v>340</v>
      </c>
      <c r="B286" t="s">
        <v>193</v>
      </c>
      <c r="C286">
        <v>6</v>
      </c>
      <c r="D286">
        <v>11</v>
      </c>
      <c r="E286">
        <v>5.46</v>
      </c>
      <c r="F286">
        <v>32</v>
      </c>
      <c r="G286">
        <v>32</v>
      </c>
      <c r="H286">
        <v>1</v>
      </c>
      <c r="I286">
        <v>1</v>
      </c>
      <c r="J286">
        <v>0</v>
      </c>
      <c r="K286">
        <v>0</v>
      </c>
      <c r="L286">
        <v>0</v>
      </c>
      <c r="M286">
        <v>161.19999999999999</v>
      </c>
      <c r="N286">
        <v>721</v>
      </c>
      <c r="O286">
        <v>195</v>
      </c>
      <c r="P286">
        <v>109</v>
      </c>
      <c r="Q286">
        <v>98</v>
      </c>
      <c r="R286">
        <v>36</v>
      </c>
      <c r="S286">
        <v>50</v>
      </c>
      <c r="T286">
        <v>0</v>
      </c>
      <c r="U286">
        <v>6</v>
      </c>
      <c r="V286">
        <v>5</v>
      </c>
      <c r="W286">
        <v>1</v>
      </c>
      <c r="X286">
        <v>116</v>
      </c>
      <c r="Y286">
        <v>20633</v>
      </c>
    </row>
    <row r="287" spans="1:25" x14ac:dyDescent="0.3">
      <c r="A287" t="s">
        <v>341</v>
      </c>
      <c r="B287" t="s">
        <v>48</v>
      </c>
      <c r="C287">
        <v>5</v>
      </c>
      <c r="D287">
        <v>4</v>
      </c>
      <c r="E287">
        <v>5.47</v>
      </c>
      <c r="F287">
        <v>58</v>
      </c>
      <c r="G287">
        <v>0</v>
      </c>
      <c r="H287">
        <v>0</v>
      </c>
      <c r="I287">
        <v>0</v>
      </c>
      <c r="J287">
        <v>0</v>
      </c>
      <c r="K287">
        <v>6</v>
      </c>
      <c r="L287">
        <v>3</v>
      </c>
      <c r="M287">
        <v>54.1</v>
      </c>
      <c r="N287">
        <v>242</v>
      </c>
      <c r="O287">
        <v>57</v>
      </c>
      <c r="P287">
        <v>33</v>
      </c>
      <c r="Q287">
        <v>33</v>
      </c>
      <c r="R287">
        <v>4</v>
      </c>
      <c r="S287">
        <v>31</v>
      </c>
      <c r="T287">
        <v>2</v>
      </c>
      <c r="U287">
        <v>1</v>
      </c>
      <c r="V287">
        <v>3</v>
      </c>
      <c r="W287">
        <v>0</v>
      </c>
      <c r="X287">
        <v>60</v>
      </c>
      <c r="Y287">
        <v>6627</v>
      </c>
    </row>
    <row r="288" spans="1:25" x14ac:dyDescent="0.3">
      <c r="A288" t="s">
        <v>342</v>
      </c>
      <c r="B288" t="s">
        <v>93</v>
      </c>
      <c r="C288">
        <v>4</v>
      </c>
      <c r="D288">
        <v>4</v>
      </c>
      <c r="E288">
        <v>5.48</v>
      </c>
      <c r="F288">
        <v>27</v>
      </c>
      <c r="G288">
        <v>9</v>
      </c>
      <c r="H288">
        <v>0</v>
      </c>
      <c r="I288">
        <v>0</v>
      </c>
      <c r="J288">
        <v>0</v>
      </c>
      <c r="K288">
        <v>2</v>
      </c>
      <c r="L288">
        <v>2</v>
      </c>
      <c r="M288">
        <v>64</v>
      </c>
      <c r="N288">
        <v>295</v>
      </c>
      <c r="O288">
        <v>74</v>
      </c>
      <c r="P288">
        <v>41</v>
      </c>
      <c r="Q288">
        <v>39</v>
      </c>
      <c r="R288">
        <v>7</v>
      </c>
      <c r="S288">
        <v>33</v>
      </c>
      <c r="T288">
        <v>1</v>
      </c>
      <c r="U288">
        <v>4</v>
      </c>
      <c r="V288">
        <v>2</v>
      </c>
      <c r="W288">
        <v>0</v>
      </c>
      <c r="X288">
        <v>57</v>
      </c>
      <c r="Y288">
        <v>12972</v>
      </c>
    </row>
    <row r="289" spans="1:25" x14ac:dyDescent="0.3">
      <c r="A289" t="s">
        <v>343</v>
      </c>
      <c r="B289" t="s">
        <v>38</v>
      </c>
      <c r="C289">
        <v>14</v>
      </c>
      <c r="D289">
        <v>12</v>
      </c>
      <c r="E289">
        <v>5.52</v>
      </c>
      <c r="F289">
        <v>32</v>
      </c>
      <c r="G289">
        <v>32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174.1</v>
      </c>
      <c r="N289">
        <v>768</v>
      </c>
      <c r="O289">
        <v>198</v>
      </c>
      <c r="P289">
        <v>114</v>
      </c>
      <c r="Q289">
        <v>107</v>
      </c>
      <c r="R289">
        <v>31</v>
      </c>
      <c r="S289">
        <v>45</v>
      </c>
      <c r="T289">
        <v>2</v>
      </c>
      <c r="U289">
        <v>6</v>
      </c>
      <c r="V289">
        <v>5</v>
      </c>
      <c r="W289">
        <v>2</v>
      </c>
      <c r="X289">
        <v>143</v>
      </c>
      <c r="Y289">
        <v>2717</v>
      </c>
    </row>
    <row r="290" spans="1:25" x14ac:dyDescent="0.3">
      <c r="A290" t="s">
        <v>344</v>
      </c>
      <c r="B290" t="s">
        <v>48</v>
      </c>
      <c r="C290">
        <v>1</v>
      </c>
      <c r="D290">
        <v>3</v>
      </c>
      <c r="E290">
        <v>5.57</v>
      </c>
      <c r="F290">
        <v>35</v>
      </c>
      <c r="G290">
        <v>5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76</v>
      </c>
      <c r="N290">
        <v>344</v>
      </c>
      <c r="O290">
        <v>93</v>
      </c>
      <c r="P290">
        <v>50</v>
      </c>
      <c r="Q290">
        <v>47</v>
      </c>
      <c r="R290">
        <v>13</v>
      </c>
      <c r="S290">
        <v>33</v>
      </c>
      <c r="T290">
        <v>1</v>
      </c>
      <c r="U290">
        <v>0</v>
      </c>
      <c r="V290">
        <v>2</v>
      </c>
      <c r="W290">
        <v>0</v>
      </c>
      <c r="X290">
        <v>69</v>
      </c>
      <c r="Y290">
        <v>13761</v>
      </c>
    </row>
    <row r="291" spans="1:25" x14ac:dyDescent="0.3">
      <c r="A291" t="s">
        <v>345</v>
      </c>
      <c r="B291" t="s">
        <v>30</v>
      </c>
      <c r="C291">
        <v>1</v>
      </c>
      <c r="D291">
        <v>2</v>
      </c>
      <c r="E291">
        <v>5.58</v>
      </c>
      <c r="F291">
        <v>35</v>
      </c>
      <c r="G291">
        <v>0</v>
      </c>
      <c r="H291">
        <v>0</v>
      </c>
      <c r="I291">
        <v>0</v>
      </c>
      <c r="J291">
        <v>0</v>
      </c>
      <c r="K291">
        <v>1</v>
      </c>
      <c r="L291">
        <v>1</v>
      </c>
      <c r="M291">
        <v>50</v>
      </c>
      <c r="N291">
        <v>240</v>
      </c>
      <c r="O291">
        <v>45</v>
      </c>
      <c r="P291">
        <v>36</v>
      </c>
      <c r="Q291">
        <v>31</v>
      </c>
      <c r="R291">
        <v>5</v>
      </c>
      <c r="S291">
        <v>36</v>
      </c>
      <c r="T291">
        <v>1</v>
      </c>
      <c r="U291">
        <v>9</v>
      </c>
      <c r="V291">
        <v>4</v>
      </c>
      <c r="W291">
        <v>0</v>
      </c>
      <c r="X291">
        <v>56</v>
      </c>
      <c r="Y291">
        <v>13649</v>
      </c>
    </row>
    <row r="292" spans="1:25" x14ac:dyDescent="0.3">
      <c r="A292" t="s">
        <v>346</v>
      </c>
      <c r="B292" t="s">
        <v>58</v>
      </c>
      <c r="C292">
        <v>2</v>
      </c>
      <c r="D292">
        <v>7</v>
      </c>
      <c r="E292">
        <v>5.59</v>
      </c>
      <c r="F292">
        <v>66</v>
      </c>
      <c r="G292">
        <v>0</v>
      </c>
      <c r="H292">
        <v>0</v>
      </c>
      <c r="I292">
        <v>0</v>
      </c>
      <c r="J292">
        <v>26</v>
      </c>
      <c r="K292">
        <v>1</v>
      </c>
      <c r="L292">
        <v>7</v>
      </c>
      <c r="M292">
        <v>58</v>
      </c>
      <c r="N292">
        <v>254</v>
      </c>
      <c r="O292">
        <v>58</v>
      </c>
      <c r="P292">
        <v>36</v>
      </c>
      <c r="Q292">
        <v>36</v>
      </c>
      <c r="R292">
        <v>15</v>
      </c>
      <c r="S292">
        <v>22</v>
      </c>
      <c r="T292">
        <v>3</v>
      </c>
      <c r="U292">
        <v>4</v>
      </c>
      <c r="V292">
        <v>3</v>
      </c>
      <c r="W292">
        <v>0</v>
      </c>
      <c r="X292">
        <v>99</v>
      </c>
      <c r="Y292">
        <v>14710</v>
      </c>
    </row>
    <row r="293" spans="1:25" x14ac:dyDescent="0.3">
      <c r="A293" t="s">
        <v>347</v>
      </c>
      <c r="B293" t="s">
        <v>48</v>
      </c>
      <c r="C293">
        <v>3</v>
      </c>
      <c r="D293">
        <v>4</v>
      </c>
      <c r="E293">
        <v>5.61</v>
      </c>
      <c r="F293">
        <v>44</v>
      </c>
      <c r="G293">
        <v>8</v>
      </c>
      <c r="H293">
        <v>0</v>
      </c>
      <c r="I293">
        <v>0</v>
      </c>
      <c r="J293">
        <v>0</v>
      </c>
      <c r="K293">
        <v>8</v>
      </c>
      <c r="L293">
        <v>3</v>
      </c>
      <c r="M293">
        <v>51.1</v>
      </c>
      <c r="N293">
        <v>224</v>
      </c>
      <c r="O293">
        <v>56</v>
      </c>
      <c r="P293">
        <v>34</v>
      </c>
      <c r="Q293">
        <v>32</v>
      </c>
      <c r="R293">
        <v>10</v>
      </c>
      <c r="S293">
        <v>16</v>
      </c>
      <c r="T293">
        <v>0</v>
      </c>
      <c r="U293">
        <v>0</v>
      </c>
      <c r="V293">
        <v>3</v>
      </c>
      <c r="W293">
        <v>1</v>
      </c>
      <c r="X293">
        <v>63</v>
      </c>
      <c r="Y293">
        <v>12804</v>
      </c>
    </row>
    <row r="294" spans="1:25" x14ac:dyDescent="0.3">
      <c r="A294" t="s">
        <v>348</v>
      </c>
      <c r="B294" t="s">
        <v>146</v>
      </c>
      <c r="C294">
        <v>1</v>
      </c>
      <c r="D294">
        <v>10</v>
      </c>
      <c r="E294">
        <v>5.61</v>
      </c>
      <c r="F294">
        <v>36</v>
      </c>
      <c r="G294">
        <v>13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110.2</v>
      </c>
      <c r="N294">
        <v>480</v>
      </c>
      <c r="O294">
        <v>126</v>
      </c>
      <c r="P294">
        <v>77</v>
      </c>
      <c r="Q294">
        <v>69</v>
      </c>
      <c r="R294">
        <v>29</v>
      </c>
      <c r="S294">
        <v>26</v>
      </c>
      <c r="T294">
        <v>1</v>
      </c>
      <c r="U294">
        <v>3</v>
      </c>
      <c r="V294">
        <v>4</v>
      </c>
      <c r="W294">
        <v>1</v>
      </c>
      <c r="X294">
        <v>67</v>
      </c>
      <c r="Y294">
        <v>12938</v>
      </c>
    </row>
    <row r="295" spans="1:25" x14ac:dyDescent="0.3">
      <c r="A295" t="s">
        <v>349</v>
      </c>
      <c r="B295" t="s">
        <v>83</v>
      </c>
      <c r="C295">
        <v>6</v>
      </c>
      <c r="D295">
        <v>11</v>
      </c>
      <c r="E295">
        <v>5.64</v>
      </c>
      <c r="F295">
        <v>28</v>
      </c>
      <c r="G295">
        <v>16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99</v>
      </c>
      <c r="N295">
        <v>439</v>
      </c>
      <c r="O295">
        <v>108</v>
      </c>
      <c r="P295">
        <v>74</v>
      </c>
      <c r="Q295">
        <v>62</v>
      </c>
      <c r="R295">
        <v>21</v>
      </c>
      <c r="S295">
        <v>36</v>
      </c>
      <c r="T295">
        <v>0</v>
      </c>
      <c r="U295">
        <v>2</v>
      </c>
      <c r="V295">
        <v>1</v>
      </c>
      <c r="W295">
        <v>0</v>
      </c>
      <c r="X295">
        <v>71</v>
      </c>
      <c r="Y295">
        <v>14509</v>
      </c>
    </row>
    <row r="296" spans="1:25" x14ac:dyDescent="0.3">
      <c r="A296" t="s">
        <v>350</v>
      </c>
      <c r="B296" t="s">
        <v>48</v>
      </c>
      <c r="C296">
        <v>6</v>
      </c>
      <c r="D296">
        <v>8</v>
      </c>
      <c r="E296">
        <v>5.65</v>
      </c>
      <c r="F296">
        <v>29</v>
      </c>
      <c r="G296">
        <v>18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110</v>
      </c>
      <c r="N296">
        <v>482</v>
      </c>
      <c r="O296">
        <v>118</v>
      </c>
      <c r="P296">
        <v>72</v>
      </c>
      <c r="Q296">
        <v>69</v>
      </c>
      <c r="R296">
        <v>21</v>
      </c>
      <c r="S296">
        <v>34</v>
      </c>
      <c r="T296">
        <v>0</v>
      </c>
      <c r="U296">
        <v>10</v>
      </c>
      <c r="V296">
        <v>4</v>
      </c>
      <c r="W296">
        <v>1</v>
      </c>
      <c r="X296">
        <v>82</v>
      </c>
      <c r="Y296">
        <v>12272</v>
      </c>
    </row>
    <row r="297" spans="1:25" x14ac:dyDescent="0.3">
      <c r="A297" t="s">
        <v>351</v>
      </c>
      <c r="B297" t="s">
        <v>26</v>
      </c>
      <c r="C297">
        <v>1</v>
      </c>
      <c r="D297">
        <v>3</v>
      </c>
      <c r="E297">
        <v>5.65</v>
      </c>
      <c r="F297">
        <v>51</v>
      </c>
      <c r="G297">
        <v>1</v>
      </c>
      <c r="H297">
        <v>0</v>
      </c>
      <c r="I297">
        <v>0</v>
      </c>
      <c r="J297">
        <v>1</v>
      </c>
      <c r="K297">
        <v>16</v>
      </c>
      <c r="L297">
        <v>3</v>
      </c>
      <c r="M297">
        <v>51</v>
      </c>
      <c r="N297">
        <v>218</v>
      </c>
      <c r="O297">
        <v>34</v>
      </c>
      <c r="P297">
        <v>32</v>
      </c>
      <c r="Q297">
        <v>32</v>
      </c>
      <c r="R297">
        <v>5</v>
      </c>
      <c r="S297">
        <v>28</v>
      </c>
      <c r="T297">
        <v>0</v>
      </c>
      <c r="U297">
        <v>5</v>
      </c>
      <c r="V297">
        <v>4</v>
      </c>
      <c r="W297">
        <v>0</v>
      </c>
      <c r="X297">
        <v>72</v>
      </c>
      <c r="Y297">
        <v>17793</v>
      </c>
    </row>
    <row r="298" spans="1:25" x14ac:dyDescent="0.3">
      <c r="A298" t="s">
        <v>352</v>
      </c>
      <c r="B298" t="s">
        <v>40</v>
      </c>
      <c r="C298">
        <v>5</v>
      </c>
      <c r="D298">
        <v>1</v>
      </c>
      <c r="E298">
        <v>5.67</v>
      </c>
      <c r="F298">
        <v>33</v>
      </c>
      <c r="G298">
        <v>1</v>
      </c>
      <c r="H298">
        <v>0</v>
      </c>
      <c r="I298">
        <v>0</v>
      </c>
      <c r="J298">
        <v>0</v>
      </c>
      <c r="K298">
        <v>1</v>
      </c>
      <c r="L298">
        <v>1</v>
      </c>
      <c r="M298">
        <v>66.2</v>
      </c>
      <c r="N298">
        <v>298</v>
      </c>
      <c r="O298">
        <v>75</v>
      </c>
      <c r="P298">
        <v>44</v>
      </c>
      <c r="Q298">
        <v>42</v>
      </c>
      <c r="R298">
        <v>16</v>
      </c>
      <c r="S298">
        <v>28</v>
      </c>
      <c r="T298">
        <v>1</v>
      </c>
      <c r="U298">
        <v>1</v>
      </c>
      <c r="V298">
        <v>1</v>
      </c>
      <c r="W298">
        <v>0</v>
      </c>
      <c r="X298">
        <v>69</v>
      </c>
      <c r="Y298">
        <v>17874</v>
      </c>
    </row>
    <row r="299" spans="1:25" x14ac:dyDescent="0.3">
      <c r="A299" t="s">
        <v>353</v>
      </c>
      <c r="B299" t="s">
        <v>58</v>
      </c>
      <c r="C299">
        <v>4</v>
      </c>
      <c r="D299">
        <v>2</v>
      </c>
      <c r="E299">
        <v>5.7</v>
      </c>
      <c r="F299">
        <v>66</v>
      </c>
      <c r="G299">
        <v>0</v>
      </c>
      <c r="H299">
        <v>0</v>
      </c>
      <c r="I299">
        <v>0</v>
      </c>
      <c r="J299">
        <v>0</v>
      </c>
      <c r="K299">
        <v>14</v>
      </c>
      <c r="L299">
        <v>4</v>
      </c>
      <c r="M299">
        <v>60</v>
      </c>
      <c r="N299">
        <v>274</v>
      </c>
      <c r="O299">
        <v>62</v>
      </c>
      <c r="P299">
        <v>39</v>
      </c>
      <c r="Q299">
        <v>38</v>
      </c>
      <c r="R299">
        <v>7</v>
      </c>
      <c r="S299">
        <v>42</v>
      </c>
      <c r="T299">
        <v>4</v>
      </c>
      <c r="U299">
        <v>3</v>
      </c>
      <c r="V299">
        <v>3</v>
      </c>
      <c r="W299">
        <v>0</v>
      </c>
      <c r="X299">
        <v>63</v>
      </c>
      <c r="Y299">
        <v>5114</v>
      </c>
    </row>
    <row r="300" spans="1:25" x14ac:dyDescent="0.3">
      <c r="A300" t="s">
        <v>354</v>
      </c>
      <c r="B300" t="s">
        <v>95</v>
      </c>
      <c r="C300">
        <v>3</v>
      </c>
      <c r="D300">
        <v>4</v>
      </c>
      <c r="E300">
        <v>5.71</v>
      </c>
      <c r="F300">
        <v>12</v>
      </c>
      <c r="G300">
        <v>10</v>
      </c>
      <c r="H300">
        <v>0</v>
      </c>
      <c r="I300">
        <v>0</v>
      </c>
      <c r="J300">
        <v>1</v>
      </c>
      <c r="K300">
        <v>0</v>
      </c>
      <c r="L300">
        <v>0</v>
      </c>
      <c r="M300">
        <v>58.1</v>
      </c>
      <c r="N300">
        <v>245</v>
      </c>
      <c r="O300">
        <v>58</v>
      </c>
      <c r="P300">
        <v>37</v>
      </c>
      <c r="Q300">
        <v>37</v>
      </c>
      <c r="R300">
        <v>18</v>
      </c>
      <c r="S300">
        <v>18</v>
      </c>
      <c r="T300">
        <v>0</v>
      </c>
      <c r="U300">
        <v>2</v>
      </c>
      <c r="V300">
        <v>0</v>
      </c>
      <c r="W300">
        <v>0</v>
      </c>
      <c r="X300">
        <v>51</v>
      </c>
      <c r="Y300">
        <v>12664</v>
      </c>
    </row>
    <row r="301" spans="1:25" x14ac:dyDescent="0.3">
      <c r="A301" t="s">
        <v>355</v>
      </c>
      <c r="B301" t="s">
        <v>193</v>
      </c>
      <c r="C301">
        <v>6</v>
      </c>
      <c r="D301">
        <v>7</v>
      </c>
      <c r="E301">
        <v>5.71</v>
      </c>
      <c r="F301">
        <v>26</v>
      </c>
      <c r="G301">
        <v>8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121.1</v>
      </c>
      <c r="N301">
        <v>532</v>
      </c>
      <c r="O301">
        <v>145</v>
      </c>
      <c r="P301">
        <v>80</v>
      </c>
      <c r="Q301">
        <v>77</v>
      </c>
      <c r="R301">
        <v>28</v>
      </c>
      <c r="S301">
        <v>31</v>
      </c>
      <c r="T301">
        <v>1</v>
      </c>
      <c r="U301">
        <v>1</v>
      </c>
      <c r="V301">
        <v>0</v>
      </c>
      <c r="W301">
        <v>0</v>
      </c>
      <c r="X301">
        <v>92</v>
      </c>
      <c r="Y301">
        <v>5221</v>
      </c>
    </row>
    <row r="302" spans="1:25" x14ac:dyDescent="0.3">
      <c r="A302" t="s">
        <v>356</v>
      </c>
      <c r="B302" t="s">
        <v>48</v>
      </c>
      <c r="C302">
        <v>3</v>
      </c>
      <c r="D302">
        <v>9</v>
      </c>
      <c r="E302">
        <v>5.72</v>
      </c>
      <c r="F302">
        <v>31</v>
      </c>
      <c r="G302">
        <v>17</v>
      </c>
      <c r="H302">
        <v>0</v>
      </c>
      <c r="I302">
        <v>0</v>
      </c>
      <c r="J302">
        <v>0</v>
      </c>
      <c r="K302">
        <v>2</v>
      </c>
      <c r="L302">
        <v>0</v>
      </c>
      <c r="M302">
        <v>102.1</v>
      </c>
      <c r="N302">
        <v>451</v>
      </c>
      <c r="O302">
        <v>113</v>
      </c>
      <c r="P302">
        <v>71</v>
      </c>
      <c r="Q302">
        <v>65</v>
      </c>
      <c r="R302">
        <v>15</v>
      </c>
      <c r="S302">
        <v>32</v>
      </c>
      <c r="T302">
        <v>3</v>
      </c>
      <c r="U302">
        <v>5</v>
      </c>
      <c r="V302">
        <v>2</v>
      </c>
      <c r="W302">
        <v>0</v>
      </c>
      <c r="X302">
        <v>114</v>
      </c>
      <c r="Y302">
        <v>14107</v>
      </c>
    </row>
    <row r="303" spans="1:25" x14ac:dyDescent="0.3">
      <c r="A303" t="s">
        <v>357</v>
      </c>
      <c r="B303" t="s">
        <v>193</v>
      </c>
      <c r="C303">
        <v>1</v>
      </c>
      <c r="D303">
        <v>5</v>
      </c>
      <c r="E303">
        <v>5.74</v>
      </c>
      <c r="F303">
        <v>27</v>
      </c>
      <c r="G303">
        <v>8</v>
      </c>
      <c r="H303">
        <v>0</v>
      </c>
      <c r="I303">
        <v>0</v>
      </c>
      <c r="J303">
        <v>2</v>
      </c>
      <c r="K303">
        <v>1</v>
      </c>
      <c r="L303">
        <v>0</v>
      </c>
      <c r="M303">
        <v>58</v>
      </c>
      <c r="N303">
        <v>245</v>
      </c>
      <c r="O303">
        <v>56</v>
      </c>
      <c r="P303">
        <v>41</v>
      </c>
      <c r="Q303">
        <v>37</v>
      </c>
      <c r="R303">
        <v>17</v>
      </c>
      <c r="S303">
        <v>12</v>
      </c>
      <c r="T303">
        <v>1</v>
      </c>
      <c r="U303">
        <v>2</v>
      </c>
      <c r="V303">
        <v>2</v>
      </c>
      <c r="W303">
        <v>0</v>
      </c>
      <c r="X303">
        <v>52</v>
      </c>
      <c r="Y303">
        <v>16587</v>
      </c>
    </row>
    <row r="304" spans="1:25" x14ac:dyDescent="0.3">
      <c r="A304" t="s">
        <v>358</v>
      </c>
      <c r="B304" t="s">
        <v>48</v>
      </c>
      <c r="C304">
        <v>1</v>
      </c>
      <c r="D304">
        <v>1</v>
      </c>
      <c r="E304">
        <v>5.74</v>
      </c>
      <c r="F304">
        <v>55</v>
      </c>
      <c r="G304">
        <v>0</v>
      </c>
      <c r="H304">
        <v>0</v>
      </c>
      <c r="I304">
        <v>0</v>
      </c>
      <c r="J304">
        <v>4</v>
      </c>
      <c r="K304">
        <v>9</v>
      </c>
      <c r="L304">
        <v>5</v>
      </c>
      <c r="M304">
        <v>58</v>
      </c>
      <c r="N304">
        <v>271</v>
      </c>
      <c r="O304">
        <v>66</v>
      </c>
      <c r="P304">
        <v>38</v>
      </c>
      <c r="Q304">
        <v>37</v>
      </c>
      <c r="R304">
        <v>8</v>
      </c>
      <c r="S304">
        <v>29</v>
      </c>
      <c r="T304">
        <v>1</v>
      </c>
      <c r="U304">
        <v>4</v>
      </c>
      <c r="V304">
        <v>4</v>
      </c>
      <c r="W304">
        <v>1</v>
      </c>
      <c r="X304">
        <v>63</v>
      </c>
      <c r="Y304">
        <v>12857</v>
      </c>
    </row>
    <row r="305" spans="1:25" x14ac:dyDescent="0.3">
      <c r="A305" t="s">
        <v>359</v>
      </c>
      <c r="B305" t="s">
        <v>159</v>
      </c>
      <c r="C305">
        <v>0</v>
      </c>
      <c r="D305">
        <v>5</v>
      </c>
      <c r="E305">
        <v>5.77</v>
      </c>
      <c r="F305">
        <v>33</v>
      </c>
      <c r="G305">
        <v>7</v>
      </c>
      <c r="H305">
        <v>0</v>
      </c>
      <c r="I305">
        <v>0</v>
      </c>
      <c r="J305">
        <v>0</v>
      </c>
      <c r="K305">
        <v>2</v>
      </c>
      <c r="L305">
        <v>1</v>
      </c>
      <c r="M305">
        <v>57.2</v>
      </c>
      <c r="N305">
        <v>276</v>
      </c>
      <c r="O305">
        <v>74</v>
      </c>
      <c r="P305">
        <v>39</v>
      </c>
      <c r="Q305">
        <v>37</v>
      </c>
      <c r="R305">
        <v>9</v>
      </c>
      <c r="S305">
        <v>33</v>
      </c>
      <c r="T305">
        <v>1</v>
      </c>
      <c r="U305">
        <v>0</v>
      </c>
      <c r="V305">
        <v>5</v>
      </c>
      <c r="W305">
        <v>0</v>
      </c>
      <c r="X305">
        <v>45</v>
      </c>
      <c r="Y305">
        <v>19677</v>
      </c>
    </row>
    <row r="306" spans="1:25" x14ac:dyDescent="0.3">
      <c r="A306" t="s">
        <v>360</v>
      </c>
      <c r="B306" t="s">
        <v>43</v>
      </c>
      <c r="C306">
        <v>4</v>
      </c>
      <c r="D306">
        <v>7</v>
      </c>
      <c r="E306">
        <v>5.79</v>
      </c>
      <c r="F306">
        <v>14</v>
      </c>
      <c r="G306">
        <v>14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73</v>
      </c>
      <c r="N306">
        <v>326</v>
      </c>
      <c r="O306">
        <v>78</v>
      </c>
      <c r="P306">
        <v>51</v>
      </c>
      <c r="Q306">
        <v>47</v>
      </c>
      <c r="R306">
        <v>15</v>
      </c>
      <c r="S306">
        <v>35</v>
      </c>
      <c r="T306">
        <v>1</v>
      </c>
      <c r="U306">
        <v>2</v>
      </c>
      <c r="V306">
        <v>4</v>
      </c>
      <c r="W306">
        <v>0</v>
      </c>
      <c r="X306">
        <v>81</v>
      </c>
      <c r="Y306">
        <v>18525</v>
      </c>
    </row>
    <row r="307" spans="1:25" x14ac:dyDescent="0.3">
      <c r="A307" t="s">
        <v>361</v>
      </c>
      <c r="B307" t="s">
        <v>143</v>
      </c>
      <c r="C307">
        <v>7</v>
      </c>
      <c r="D307">
        <v>11</v>
      </c>
      <c r="E307">
        <v>5.81</v>
      </c>
      <c r="F307">
        <v>32</v>
      </c>
      <c r="G307">
        <v>18</v>
      </c>
      <c r="H307">
        <v>1</v>
      </c>
      <c r="I307">
        <v>0</v>
      </c>
      <c r="J307">
        <v>0</v>
      </c>
      <c r="K307">
        <v>1</v>
      </c>
      <c r="L307">
        <v>0</v>
      </c>
      <c r="M307">
        <v>122.1</v>
      </c>
      <c r="N307">
        <v>541</v>
      </c>
      <c r="O307">
        <v>148</v>
      </c>
      <c r="P307">
        <v>94</v>
      </c>
      <c r="Q307">
        <v>79</v>
      </c>
      <c r="R307">
        <v>21</v>
      </c>
      <c r="S307">
        <v>36</v>
      </c>
      <c r="T307">
        <v>1</v>
      </c>
      <c r="U307">
        <v>4</v>
      </c>
      <c r="V307">
        <v>3</v>
      </c>
      <c r="W307">
        <v>0</v>
      </c>
      <c r="X307">
        <v>81</v>
      </c>
      <c r="Y307">
        <v>17030</v>
      </c>
    </row>
    <row r="308" spans="1:25" x14ac:dyDescent="0.3">
      <c r="A308" t="s">
        <v>362</v>
      </c>
      <c r="B308" t="s">
        <v>28</v>
      </c>
      <c r="C308">
        <v>4</v>
      </c>
      <c r="D308">
        <v>7</v>
      </c>
      <c r="E308">
        <v>5.86</v>
      </c>
      <c r="F308">
        <v>26</v>
      </c>
      <c r="G308">
        <v>8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70.2</v>
      </c>
      <c r="N308">
        <v>329</v>
      </c>
      <c r="O308">
        <v>74</v>
      </c>
      <c r="P308">
        <v>51</v>
      </c>
      <c r="Q308">
        <v>46</v>
      </c>
      <c r="R308">
        <v>9</v>
      </c>
      <c r="S308">
        <v>44</v>
      </c>
      <c r="T308">
        <v>0</v>
      </c>
      <c r="U308">
        <v>4</v>
      </c>
      <c r="V308">
        <v>4</v>
      </c>
      <c r="W308">
        <v>1</v>
      </c>
      <c r="X308">
        <v>68</v>
      </c>
      <c r="Y308">
        <v>17295</v>
      </c>
    </row>
    <row r="309" spans="1:25" x14ac:dyDescent="0.3">
      <c r="A309" t="s">
        <v>363</v>
      </c>
      <c r="B309" t="s">
        <v>143</v>
      </c>
      <c r="C309">
        <v>6</v>
      </c>
      <c r="D309">
        <v>8</v>
      </c>
      <c r="E309">
        <v>5.89</v>
      </c>
      <c r="F309">
        <v>35</v>
      </c>
      <c r="G309">
        <v>15</v>
      </c>
      <c r="H309">
        <v>1</v>
      </c>
      <c r="I309">
        <v>0</v>
      </c>
      <c r="J309">
        <v>0</v>
      </c>
      <c r="K309">
        <v>0</v>
      </c>
      <c r="L309">
        <v>0</v>
      </c>
      <c r="M309">
        <v>125.1</v>
      </c>
      <c r="N309">
        <v>563</v>
      </c>
      <c r="O309">
        <v>156</v>
      </c>
      <c r="P309">
        <v>86</v>
      </c>
      <c r="Q309">
        <v>82</v>
      </c>
      <c r="R309">
        <v>29</v>
      </c>
      <c r="S309">
        <v>36</v>
      </c>
      <c r="T309">
        <v>1</v>
      </c>
      <c r="U309">
        <v>9</v>
      </c>
      <c r="V309">
        <v>4</v>
      </c>
      <c r="W309">
        <v>1</v>
      </c>
      <c r="X309">
        <v>101</v>
      </c>
      <c r="Y309">
        <v>13339</v>
      </c>
    </row>
    <row r="310" spans="1:25" x14ac:dyDescent="0.3">
      <c r="A310" t="s">
        <v>364</v>
      </c>
      <c r="B310" t="s">
        <v>48</v>
      </c>
      <c r="C310">
        <v>5</v>
      </c>
      <c r="D310">
        <v>14</v>
      </c>
      <c r="E310">
        <v>5.89</v>
      </c>
      <c r="F310">
        <v>27</v>
      </c>
      <c r="G310">
        <v>27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131.1</v>
      </c>
      <c r="N310">
        <v>605</v>
      </c>
      <c r="O310">
        <v>145</v>
      </c>
      <c r="P310">
        <v>92</v>
      </c>
      <c r="Q310">
        <v>86</v>
      </c>
      <c r="R310">
        <v>20</v>
      </c>
      <c r="S310">
        <v>68</v>
      </c>
      <c r="T310">
        <v>2</v>
      </c>
      <c r="U310">
        <v>11</v>
      </c>
      <c r="V310">
        <v>7</v>
      </c>
      <c r="W310">
        <v>0</v>
      </c>
      <c r="X310">
        <v>115</v>
      </c>
      <c r="Y310">
        <v>11490</v>
      </c>
    </row>
    <row r="311" spans="1:25" x14ac:dyDescent="0.3">
      <c r="A311" t="s">
        <v>365</v>
      </c>
      <c r="B311" t="s">
        <v>159</v>
      </c>
      <c r="C311">
        <v>4</v>
      </c>
      <c r="D311">
        <v>3</v>
      </c>
      <c r="E311">
        <v>5.9</v>
      </c>
      <c r="F311">
        <v>22</v>
      </c>
      <c r="G311">
        <v>4</v>
      </c>
      <c r="H311">
        <v>0</v>
      </c>
      <c r="I311">
        <v>0</v>
      </c>
      <c r="J311">
        <v>0</v>
      </c>
      <c r="K311">
        <v>1</v>
      </c>
      <c r="L311">
        <v>0</v>
      </c>
      <c r="M311">
        <v>58</v>
      </c>
      <c r="N311">
        <v>258</v>
      </c>
      <c r="O311">
        <v>70</v>
      </c>
      <c r="P311">
        <v>40</v>
      </c>
      <c r="Q311">
        <v>38</v>
      </c>
      <c r="R311">
        <v>9</v>
      </c>
      <c r="S311">
        <v>23</v>
      </c>
      <c r="T311">
        <v>1</v>
      </c>
      <c r="U311">
        <v>4</v>
      </c>
      <c r="V311">
        <v>3</v>
      </c>
      <c r="W311">
        <v>0</v>
      </c>
      <c r="X311">
        <v>51</v>
      </c>
      <c r="Y311">
        <v>13424</v>
      </c>
    </row>
    <row r="312" spans="1:25" x14ac:dyDescent="0.3">
      <c r="A312" t="s">
        <v>366</v>
      </c>
      <c r="B312" t="s">
        <v>62</v>
      </c>
      <c r="C312">
        <v>3</v>
      </c>
      <c r="D312">
        <v>4</v>
      </c>
      <c r="E312">
        <v>5.92</v>
      </c>
      <c r="F312">
        <v>38</v>
      </c>
      <c r="G312">
        <v>6</v>
      </c>
      <c r="H312">
        <v>0</v>
      </c>
      <c r="I312">
        <v>0</v>
      </c>
      <c r="J312">
        <v>0</v>
      </c>
      <c r="K312">
        <v>4</v>
      </c>
      <c r="L312">
        <v>0</v>
      </c>
      <c r="M312">
        <v>51.2</v>
      </c>
      <c r="N312">
        <v>231</v>
      </c>
      <c r="O312">
        <v>58</v>
      </c>
      <c r="P312">
        <v>35</v>
      </c>
      <c r="Q312">
        <v>34</v>
      </c>
      <c r="R312">
        <v>2</v>
      </c>
      <c r="S312">
        <v>24</v>
      </c>
      <c r="T312">
        <v>4</v>
      </c>
      <c r="U312">
        <v>2</v>
      </c>
      <c r="V312">
        <v>3</v>
      </c>
      <c r="W312">
        <v>0</v>
      </c>
      <c r="X312">
        <v>50</v>
      </c>
      <c r="Y312">
        <v>11964</v>
      </c>
    </row>
    <row r="313" spans="1:25" x14ac:dyDescent="0.3">
      <c r="A313" t="s">
        <v>367</v>
      </c>
      <c r="B313" t="s">
        <v>48</v>
      </c>
      <c r="C313">
        <v>4</v>
      </c>
      <c r="D313">
        <v>5</v>
      </c>
      <c r="E313">
        <v>5.97</v>
      </c>
      <c r="F313">
        <v>33</v>
      </c>
      <c r="G313">
        <v>9</v>
      </c>
      <c r="H313">
        <v>0</v>
      </c>
      <c r="I313">
        <v>0</v>
      </c>
      <c r="J313">
        <v>2</v>
      </c>
      <c r="K313">
        <v>0</v>
      </c>
      <c r="L313">
        <v>0</v>
      </c>
      <c r="M313">
        <v>92</v>
      </c>
      <c r="N313">
        <v>407</v>
      </c>
      <c r="O313">
        <v>96</v>
      </c>
      <c r="P313">
        <v>62</v>
      </c>
      <c r="Q313">
        <v>61</v>
      </c>
      <c r="R313">
        <v>14</v>
      </c>
      <c r="S313">
        <v>42</v>
      </c>
      <c r="T313">
        <v>2</v>
      </c>
      <c r="U313">
        <v>5</v>
      </c>
      <c r="V313">
        <v>3</v>
      </c>
      <c r="W313">
        <v>1</v>
      </c>
      <c r="X313">
        <v>70</v>
      </c>
      <c r="Y313">
        <v>14862</v>
      </c>
    </row>
    <row r="314" spans="1:25" x14ac:dyDescent="0.3">
      <c r="A314" t="s">
        <v>368</v>
      </c>
      <c r="B314" t="s">
        <v>62</v>
      </c>
      <c r="C314">
        <v>4</v>
      </c>
      <c r="D314">
        <v>9</v>
      </c>
      <c r="E314">
        <v>5.98</v>
      </c>
      <c r="F314">
        <v>37</v>
      </c>
      <c r="G314">
        <v>11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102.1</v>
      </c>
      <c r="N314">
        <v>455</v>
      </c>
      <c r="O314">
        <v>111</v>
      </c>
      <c r="P314">
        <v>71</v>
      </c>
      <c r="Q314">
        <v>68</v>
      </c>
      <c r="R314">
        <v>25</v>
      </c>
      <c r="S314">
        <v>39</v>
      </c>
      <c r="T314">
        <v>0</v>
      </c>
      <c r="U314">
        <v>6</v>
      </c>
      <c r="V314">
        <v>14</v>
      </c>
      <c r="W314">
        <v>0</v>
      </c>
      <c r="X314">
        <v>81</v>
      </c>
      <c r="Y314">
        <v>6249</v>
      </c>
    </row>
    <row r="315" spans="1:25" x14ac:dyDescent="0.3">
      <c r="A315" t="s">
        <v>369</v>
      </c>
      <c r="B315" t="s">
        <v>38</v>
      </c>
      <c r="C315">
        <v>2</v>
      </c>
      <c r="D315">
        <v>1</v>
      </c>
      <c r="E315">
        <v>5.99</v>
      </c>
      <c r="F315">
        <v>23</v>
      </c>
      <c r="G315">
        <v>12</v>
      </c>
      <c r="H315">
        <v>0</v>
      </c>
      <c r="I315">
        <v>0</v>
      </c>
      <c r="J315">
        <v>0</v>
      </c>
      <c r="K315">
        <v>4</v>
      </c>
      <c r="L315">
        <v>1</v>
      </c>
      <c r="M315">
        <v>67.2</v>
      </c>
      <c r="N315">
        <v>302</v>
      </c>
      <c r="O315">
        <v>72</v>
      </c>
      <c r="P315">
        <v>46</v>
      </c>
      <c r="Q315">
        <v>45</v>
      </c>
      <c r="R315">
        <v>16</v>
      </c>
      <c r="S315">
        <v>35</v>
      </c>
      <c r="T315">
        <v>0</v>
      </c>
      <c r="U315">
        <v>3</v>
      </c>
      <c r="V315">
        <v>6</v>
      </c>
      <c r="W315">
        <v>0</v>
      </c>
      <c r="X315">
        <v>70</v>
      </c>
      <c r="Y315">
        <v>9132</v>
      </c>
    </row>
    <row r="316" spans="1:25" x14ac:dyDescent="0.3">
      <c r="A316" t="s">
        <v>370</v>
      </c>
      <c r="B316" t="s">
        <v>48</v>
      </c>
      <c r="C316">
        <v>3</v>
      </c>
      <c r="D316">
        <v>12</v>
      </c>
      <c r="E316">
        <v>6.01</v>
      </c>
      <c r="F316">
        <v>25</v>
      </c>
      <c r="G316">
        <v>24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103.1</v>
      </c>
      <c r="N316">
        <v>470</v>
      </c>
      <c r="O316">
        <v>115</v>
      </c>
      <c r="P316">
        <v>73</v>
      </c>
      <c r="Q316">
        <v>69</v>
      </c>
      <c r="R316">
        <v>25</v>
      </c>
      <c r="S316">
        <v>46</v>
      </c>
      <c r="T316">
        <v>1</v>
      </c>
      <c r="U316">
        <v>5</v>
      </c>
      <c r="V316">
        <v>3</v>
      </c>
      <c r="W316">
        <v>0</v>
      </c>
      <c r="X316">
        <v>101</v>
      </c>
      <c r="Y316">
        <v>2608</v>
      </c>
    </row>
    <row r="317" spans="1:25" x14ac:dyDescent="0.3">
      <c r="A317" t="s">
        <v>371</v>
      </c>
      <c r="B317" t="s">
        <v>127</v>
      </c>
      <c r="C317">
        <v>4</v>
      </c>
      <c r="D317">
        <v>11</v>
      </c>
      <c r="E317">
        <v>6.02</v>
      </c>
      <c r="F317">
        <v>31</v>
      </c>
      <c r="G317">
        <v>23</v>
      </c>
      <c r="H317">
        <v>1</v>
      </c>
      <c r="I317">
        <v>1</v>
      </c>
      <c r="J317">
        <v>0</v>
      </c>
      <c r="K317">
        <v>0</v>
      </c>
      <c r="L317">
        <v>0</v>
      </c>
      <c r="M317">
        <v>136</v>
      </c>
      <c r="N317">
        <v>606</v>
      </c>
      <c r="O317">
        <v>164</v>
      </c>
      <c r="P317">
        <v>96</v>
      </c>
      <c r="Q317">
        <v>91</v>
      </c>
      <c r="R317">
        <v>30</v>
      </c>
      <c r="S317">
        <v>41</v>
      </c>
      <c r="T317">
        <v>1</v>
      </c>
      <c r="U317">
        <v>6</v>
      </c>
      <c r="V317">
        <v>6</v>
      </c>
      <c r="W317">
        <v>2</v>
      </c>
      <c r="X317">
        <v>81</v>
      </c>
      <c r="Y317">
        <v>15200</v>
      </c>
    </row>
    <row r="318" spans="1:25" x14ac:dyDescent="0.3">
      <c r="A318" t="s">
        <v>372</v>
      </c>
      <c r="B318" t="s">
        <v>46</v>
      </c>
      <c r="C318">
        <v>1</v>
      </c>
      <c r="D318">
        <v>6</v>
      </c>
      <c r="E318">
        <v>6.08</v>
      </c>
      <c r="F318">
        <v>39</v>
      </c>
      <c r="G318">
        <v>3</v>
      </c>
      <c r="H318">
        <v>0</v>
      </c>
      <c r="I318">
        <v>0</v>
      </c>
      <c r="J318">
        <v>1</v>
      </c>
      <c r="K318">
        <v>4</v>
      </c>
      <c r="L318">
        <v>2</v>
      </c>
      <c r="M318">
        <v>63.2</v>
      </c>
      <c r="N318">
        <v>287</v>
      </c>
      <c r="O318">
        <v>78</v>
      </c>
      <c r="P318">
        <v>47</v>
      </c>
      <c r="Q318">
        <v>43</v>
      </c>
      <c r="R318">
        <v>10</v>
      </c>
      <c r="S318">
        <v>21</v>
      </c>
      <c r="T318">
        <v>3</v>
      </c>
      <c r="U318">
        <v>5</v>
      </c>
      <c r="V318">
        <v>2</v>
      </c>
      <c r="W318">
        <v>0</v>
      </c>
      <c r="X318">
        <v>42</v>
      </c>
      <c r="Y318">
        <v>10587</v>
      </c>
    </row>
    <row r="319" spans="1:25" x14ac:dyDescent="0.3">
      <c r="A319" t="s">
        <v>373</v>
      </c>
      <c r="B319" t="s">
        <v>48</v>
      </c>
      <c r="C319">
        <v>2</v>
      </c>
      <c r="D319">
        <v>5</v>
      </c>
      <c r="E319">
        <v>6.08</v>
      </c>
      <c r="F319">
        <v>51</v>
      </c>
      <c r="G319">
        <v>8</v>
      </c>
      <c r="H319">
        <v>1</v>
      </c>
      <c r="I319">
        <v>0</v>
      </c>
      <c r="J319">
        <v>0</v>
      </c>
      <c r="K319">
        <v>2</v>
      </c>
      <c r="L319">
        <v>1</v>
      </c>
      <c r="M319">
        <v>84.1</v>
      </c>
      <c r="N319">
        <v>376</v>
      </c>
      <c r="O319">
        <v>82</v>
      </c>
      <c r="P319">
        <v>61</v>
      </c>
      <c r="Q319">
        <v>57</v>
      </c>
      <c r="R319">
        <v>20</v>
      </c>
      <c r="S319">
        <v>45</v>
      </c>
      <c r="T319">
        <v>2</v>
      </c>
      <c r="U319">
        <v>4</v>
      </c>
      <c r="V319">
        <v>1</v>
      </c>
      <c r="W319">
        <v>0</v>
      </c>
      <c r="X319">
        <v>82</v>
      </c>
      <c r="Y319">
        <v>4141</v>
      </c>
    </row>
    <row r="320" spans="1:25" x14ac:dyDescent="0.3">
      <c r="A320" t="s">
        <v>374</v>
      </c>
      <c r="B320" t="s">
        <v>43</v>
      </c>
      <c r="C320">
        <v>3</v>
      </c>
      <c r="D320">
        <v>3</v>
      </c>
      <c r="E320">
        <v>6.14</v>
      </c>
      <c r="F320">
        <v>57</v>
      </c>
      <c r="G320">
        <v>0</v>
      </c>
      <c r="H320">
        <v>0</v>
      </c>
      <c r="I320">
        <v>0</v>
      </c>
      <c r="J320">
        <v>1</v>
      </c>
      <c r="K320">
        <v>6</v>
      </c>
      <c r="L320">
        <v>2</v>
      </c>
      <c r="M320">
        <v>51.1</v>
      </c>
      <c r="N320">
        <v>235</v>
      </c>
      <c r="O320">
        <v>60</v>
      </c>
      <c r="P320">
        <v>36</v>
      </c>
      <c r="Q320">
        <v>35</v>
      </c>
      <c r="R320">
        <v>8</v>
      </c>
      <c r="S320">
        <v>23</v>
      </c>
      <c r="T320">
        <v>6</v>
      </c>
      <c r="U320">
        <v>1</v>
      </c>
      <c r="V320">
        <v>8</v>
      </c>
      <c r="W320">
        <v>2</v>
      </c>
      <c r="X320">
        <v>53</v>
      </c>
      <c r="Y320">
        <v>6033</v>
      </c>
    </row>
    <row r="321" spans="1:25" x14ac:dyDescent="0.3">
      <c r="A321" t="s">
        <v>375</v>
      </c>
      <c r="B321" t="s">
        <v>36</v>
      </c>
      <c r="C321">
        <v>3</v>
      </c>
      <c r="D321">
        <v>6</v>
      </c>
      <c r="E321">
        <v>6.16</v>
      </c>
      <c r="F321">
        <v>37</v>
      </c>
      <c r="G321">
        <v>7</v>
      </c>
      <c r="H321">
        <v>0</v>
      </c>
      <c r="I321">
        <v>0</v>
      </c>
      <c r="J321">
        <v>0</v>
      </c>
      <c r="K321">
        <v>1</v>
      </c>
      <c r="L321">
        <v>0</v>
      </c>
      <c r="M321">
        <v>73</v>
      </c>
      <c r="N321">
        <v>325</v>
      </c>
      <c r="O321">
        <v>73</v>
      </c>
      <c r="P321">
        <v>51</v>
      </c>
      <c r="Q321">
        <v>50</v>
      </c>
      <c r="R321">
        <v>13</v>
      </c>
      <c r="S321">
        <v>31</v>
      </c>
      <c r="T321">
        <v>1</v>
      </c>
      <c r="U321">
        <v>6</v>
      </c>
      <c r="V321">
        <v>6</v>
      </c>
      <c r="W321">
        <v>0</v>
      </c>
      <c r="X321">
        <v>69</v>
      </c>
      <c r="Y321">
        <v>17281</v>
      </c>
    </row>
    <row r="322" spans="1:25" x14ac:dyDescent="0.3">
      <c r="A322" t="s">
        <v>376</v>
      </c>
      <c r="B322" t="s">
        <v>48</v>
      </c>
      <c r="C322">
        <v>4</v>
      </c>
      <c r="D322">
        <v>7</v>
      </c>
      <c r="E322">
        <v>6.24</v>
      </c>
      <c r="F322">
        <v>25</v>
      </c>
      <c r="G322">
        <v>21</v>
      </c>
      <c r="H322">
        <v>0</v>
      </c>
      <c r="I322">
        <v>0</v>
      </c>
      <c r="J322">
        <v>1</v>
      </c>
      <c r="K322">
        <v>0</v>
      </c>
      <c r="L322">
        <v>0</v>
      </c>
      <c r="M322">
        <v>114</v>
      </c>
      <c r="N322">
        <v>514</v>
      </c>
      <c r="O322">
        <v>126</v>
      </c>
      <c r="P322">
        <v>83</v>
      </c>
      <c r="Q322">
        <v>79</v>
      </c>
      <c r="R322">
        <v>32</v>
      </c>
      <c r="S322">
        <v>55</v>
      </c>
      <c r="T322">
        <v>0</v>
      </c>
      <c r="U322">
        <v>2</v>
      </c>
      <c r="V322">
        <v>7</v>
      </c>
      <c r="W322">
        <v>0</v>
      </c>
      <c r="X322">
        <v>120</v>
      </c>
      <c r="Y322">
        <v>11760</v>
      </c>
    </row>
    <row r="323" spans="1:25" x14ac:dyDescent="0.3">
      <c r="A323" t="s">
        <v>377</v>
      </c>
      <c r="B323" t="s">
        <v>127</v>
      </c>
      <c r="C323">
        <v>4</v>
      </c>
      <c r="D323">
        <v>9</v>
      </c>
      <c r="E323">
        <v>6.33</v>
      </c>
      <c r="F323">
        <v>39</v>
      </c>
      <c r="G323">
        <v>18</v>
      </c>
      <c r="H323">
        <v>0</v>
      </c>
      <c r="I323">
        <v>0</v>
      </c>
      <c r="J323">
        <v>1</v>
      </c>
      <c r="K323">
        <v>0</v>
      </c>
      <c r="L323">
        <v>1</v>
      </c>
      <c r="M323">
        <v>123.2</v>
      </c>
      <c r="N323">
        <v>548</v>
      </c>
      <c r="O323">
        <v>140</v>
      </c>
      <c r="P323">
        <v>94</v>
      </c>
      <c r="Q323">
        <v>87</v>
      </c>
      <c r="R323">
        <v>27</v>
      </c>
      <c r="S323">
        <v>42</v>
      </c>
      <c r="T323">
        <v>0</v>
      </c>
      <c r="U323">
        <v>10</v>
      </c>
      <c r="V323">
        <v>6</v>
      </c>
      <c r="W323">
        <v>0</v>
      </c>
      <c r="X323">
        <v>109</v>
      </c>
      <c r="Y323">
        <v>14527</v>
      </c>
    </row>
    <row r="324" spans="1:25" x14ac:dyDescent="0.3">
      <c r="A324" t="s">
        <v>378</v>
      </c>
      <c r="B324" t="s">
        <v>193</v>
      </c>
      <c r="C324">
        <v>1</v>
      </c>
      <c r="D324">
        <v>8</v>
      </c>
      <c r="E324">
        <v>6.4</v>
      </c>
      <c r="F324">
        <v>15</v>
      </c>
      <c r="G324">
        <v>15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71.2</v>
      </c>
      <c r="N324">
        <v>325</v>
      </c>
      <c r="O324">
        <v>85</v>
      </c>
      <c r="P324">
        <v>58</v>
      </c>
      <c r="Q324">
        <v>51</v>
      </c>
      <c r="R324">
        <v>17</v>
      </c>
      <c r="S324">
        <v>25</v>
      </c>
      <c r="T324">
        <v>0</v>
      </c>
      <c r="U324">
        <v>6</v>
      </c>
      <c r="V324">
        <v>5</v>
      </c>
      <c r="W324">
        <v>0</v>
      </c>
      <c r="X324">
        <v>57</v>
      </c>
      <c r="Y324">
        <v>4772</v>
      </c>
    </row>
    <row r="325" spans="1:25" x14ac:dyDescent="0.3">
      <c r="A325" t="s">
        <v>379</v>
      </c>
      <c r="B325" t="s">
        <v>62</v>
      </c>
      <c r="C325">
        <v>4</v>
      </c>
      <c r="D325">
        <v>10</v>
      </c>
      <c r="E325">
        <v>6.42</v>
      </c>
      <c r="F325">
        <v>19</v>
      </c>
      <c r="G325">
        <v>13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82.2</v>
      </c>
      <c r="N325">
        <v>365</v>
      </c>
      <c r="O325">
        <v>92</v>
      </c>
      <c r="P325">
        <v>61</v>
      </c>
      <c r="Q325">
        <v>59</v>
      </c>
      <c r="R325">
        <v>24</v>
      </c>
      <c r="S325">
        <v>27</v>
      </c>
      <c r="T325">
        <v>0</v>
      </c>
      <c r="U325">
        <v>2</v>
      </c>
      <c r="V325">
        <v>1</v>
      </c>
      <c r="W325">
        <v>0</v>
      </c>
      <c r="X325">
        <v>75</v>
      </c>
      <c r="Y325">
        <v>18356</v>
      </c>
    </row>
    <row r="326" spans="1:25" x14ac:dyDescent="0.3">
      <c r="A326" t="s">
        <v>380</v>
      </c>
      <c r="B326" t="s">
        <v>102</v>
      </c>
      <c r="C326">
        <v>2</v>
      </c>
      <c r="D326">
        <v>11</v>
      </c>
      <c r="E326">
        <v>6.53</v>
      </c>
      <c r="F326">
        <v>60</v>
      </c>
      <c r="G326">
        <v>0</v>
      </c>
      <c r="H326">
        <v>0</v>
      </c>
      <c r="I326">
        <v>0</v>
      </c>
      <c r="J326">
        <v>2</v>
      </c>
      <c r="K326">
        <v>6</v>
      </c>
      <c r="L326">
        <v>2</v>
      </c>
      <c r="M326">
        <v>60.2</v>
      </c>
      <c r="N326">
        <v>283</v>
      </c>
      <c r="O326">
        <v>76</v>
      </c>
      <c r="P326">
        <v>45</v>
      </c>
      <c r="Q326">
        <v>44</v>
      </c>
      <c r="R326">
        <v>10</v>
      </c>
      <c r="S326">
        <v>29</v>
      </c>
      <c r="T326">
        <v>6</v>
      </c>
      <c r="U326">
        <v>3</v>
      </c>
      <c r="V326">
        <v>2</v>
      </c>
      <c r="W326">
        <v>0</v>
      </c>
      <c r="X326">
        <v>53</v>
      </c>
      <c r="Y326">
        <v>14457</v>
      </c>
    </row>
    <row r="327" spans="1:25" x14ac:dyDescent="0.3">
      <c r="A327" t="s">
        <v>381</v>
      </c>
      <c r="B327" t="s">
        <v>46</v>
      </c>
      <c r="C327">
        <v>2</v>
      </c>
      <c r="D327">
        <v>6</v>
      </c>
      <c r="E327">
        <v>6.56</v>
      </c>
      <c r="F327">
        <v>15</v>
      </c>
      <c r="G327">
        <v>15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70</v>
      </c>
      <c r="N327">
        <v>315</v>
      </c>
      <c r="O327">
        <v>77</v>
      </c>
      <c r="P327">
        <v>51</v>
      </c>
      <c r="Q327">
        <v>51</v>
      </c>
      <c r="R327">
        <v>21</v>
      </c>
      <c r="S327">
        <v>34</v>
      </c>
      <c r="T327">
        <v>3</v>
      </c>
      <c r="U327">
        <v>4</v>
      </c>
      <c r="V327">
        <v>2</v>
      </c>
      <c r="W327">
        <v>0</v>
      </c>
      <c r="X327">
        <v>68</v>
      </c>
      <c r="Y327">
        <v>17432</v>
      </c>
    </row>
    <row r="328" spans="1:25" x14ac:dyDescent="0.3">
      <c r="A328" t="s">
        <v>382</v>
      </c>
      <c r="B328" t="s">
        <v>36</v>
      </c>
      <c r="C328">
        <v>2</v>
      </c>
      <c r="D328">
        <v>5</v>
      </c>
      <c r="E328">
        <v>6.56</v>
      </c>
      <c r="F328">
        <v>12</v>
      </c>
      <c r="G328">
        <v>12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59</v>
      </c>
      <c r="N328">
        <v>254</v>
      </c>
      <c r="O328">
        <v>72</v>
      </c>
      <c r="P328">
        <v>44</v>
      </c>
      <c r="Q328">
        <v>43</v>
      </c>
      <c r="R328">
        <v>13</v>
      </c>
      <c r="S328">
        <v>16</v>
      </c>
      <c r="T328">
        <v>1</v>
      </c>
      <c r="U328">
        <v>1</v>
      </c>
      <c r="V328">
        <v>1</v>
      </c>
      <c r="W328">
        <v>0</v>
      </c>
      <c r="X328">
        <v>39</v>
      </c>
      <c r="Y328">
        <v>3543</v>
      </c>
    </row>
    <row r="329" spans="1:25" x14ac:dyDescent="0.3">
      <c r="A329" t="s">
        <v>383</v>
      </c>
      <c r="B329" t="s">
        <v>102</v>
      </c>
      <c r="C329">
        <v>0</v>
      </c>
      <c r="D329">
        <v>1</v>
      </c>
      <c r="E329">
        <v>6.59</v>
      </c>
      <c r="F329">
        <v>45</v>
      </c>
      <c r="G329">
        <v>0</v>
      </c>
      <c r="H329">
        <v>0</v>
      </c>
      <c r="I329">
        <v>0</v>
      </c>
      <c r="J329">
        <v>0</v>
      </c>
      <c r="K329">
        <v>3</v>
      </c>
      <c r="L329">
        <v>0</v>
      </c>
      <c r="M329">
        <v>68.099999999999994</v>
      </c>
      <c r="N329">
        <v>307</v>
      </c>
      <c r="O329">
        <v>87</v>
      </c>
      <c r="P329">
        <v>54</v>
      </c>
      <c r="Q329">
        <v>50</v>
      </c>
      <c r="R329">
        <v>15</v>
      </c>
      <c r="S329">
        <v>18</v>
      </c>
      <c r="T329">
        <v>2</v>
      </c>
      <c r="U329">
        <v>5</v>
      </c>
      <c r="V329">
        <v>2</v>
      </c>
      <c r="W329">
        <v>0</v>
      </c>
      <c r="X329">
        <v>63</v>
      </c>
      <c r="Y329">
        <v>13071</v>
      </c>
    </row>
    <row r="330" spans="1:25" x14ac:dyDescent="0.3">
      <c r="A330" t="s">
        <v>384</v>
      </c>
      <c r="B330" t="s">
        <v>43</v>
      </c>
      <c r="C330">
        <v>3</v>
      </c>
      <c r="D330">
        <v>5</v>
      </c>
      <c r="E330">
        <v>6.59</v>
      </c>
      <c r="F330">
        <v>18</v>
      </c>
      <c r="G330">
        <v>12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69.2</v>
      </c>
      <c r="N330">
        <v>315</v>
      </c>
      <c r="O330">
        <v>86</v>
      </c>
      <c r="P330">
        <v>54</v>
      </c>
      <c r="Q330">
        <v>51</v>
      </c>
      <c r="R330">
        <v>20</v>
      </c>
      <c r="S330">
        <v>27</v>
      </c>
      <c r="T330">
        <v>3</v>
      </c>
      <c r="U330">
        <v>3</v>
      </c>
      <c r="V330">
        <v>1</v>
      </c>
      <c r="W330">
        <v>0</v>
      </c>
      <c r="X330">
        <v>46</v>
      </c>
      <c r="Y330">
        <v>2859</v>
      </c>
    </row>
    <row r="331" spans="1:25" x14ac:dyDescent="0.3">
      <c r="A331" t="s">
        <v>385</v>
      </c>
      <c r="B331" t="s">
        <v>46</v>
      </c>
      <c r="C331">
        <v>11</v>
      </c>
      <c r="D331">
        <v>11</v>
      </c>
      <c r="E331">
        <v>6.71</v>
      </c>
      <c r="F331">
        <v>25</v>
      </c>
      <c r="G331">
        <v>25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124.2</v>
      </c>
      <c r="N331">
        <v>582</v>
      </c>
      <c r="O331">
        <v>161</v>
      </c>
      <c r="P331">
        <v>99</v>
      </c>
      <c r="Q331">
        <v>93</v>
      </c>
      <c r="R331">
        <v>19</v>
      </c>
      <c r="S331">
        <v>57</v>
      </c>
      <c r="T331">
        <v>5</v>
      </c>
      <c r="U331">
        <v>4</v>
      </c>
      <c r="V331">
        <v>1</v>
      </c>
      <c r="W331">
        <v>3</v>
      </c>
      <c r="X331">
        <v>76</v>
      </c>
      <c r="Y331">
        <v>15488</v>
      </c>
    </row>
    <row r="332" spans="1:25" x14ac:dyDescent="0.3">
      <c r="A332" t="s">
        <v>386</v>
      </c>
      <c r="B332" t="s">
        <v>46</v>
      </c>
      <c r="C332">
        <v>3</v>
      </c>
      <c r="D332">
        <v>11</v>
      </c>
      <c r="E332">
        <v>6.73</v>
      </c>
      <c r="F332">
        <v>22</v>
      </c>
      <c r="G332">
        <v>22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104.1</v>
      </c>
      <c r="N332">
        <v>473</v>
      </c>
      <c r="O332">
        <v>126</v>
      </c>
      <c r="P332">
        <v>85</v>
      </c>
      <c r="Q332">
        <v>78</v>
      </c>
      <c r="R332">
        <v>25</v>
      </c>
      <c r="S332">
        <v>39</v>
      </c>
      <c r="T332">
        <v>3</v>
      </c>
      <c r="U332">
        <v>2</v>
      </c>
      <c r="V332">
        <v>4</v>
      </c>
      <c r="W332">
        <v>0</v>
      </c>
      <c r="X332">
        <v>79</v>
      </c>
      <c r="Y332">
        <v>16256</v>
      </c>
    </row>
    <row r="333" spans="1:25" x14ac:dyDescent="0.3">
      <c r="A333" t="s">
        <v>387</v>
      </c>
      <c r="B333" t="s">
        <v>26</v>
      </c>
      <c r="C333">
        <v>2</v>
      </c>
      <c r="D333">
        <v>6</v>
      </c>
      <c r="E333">
        <v>6.79</v>
      </c>
      <c r="F333">
        <v>17</v>
      </c>
      <c r="G333">
        <v>12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57</v>
      </c>
      <c r="N333">
        <v>263</v>
      </c>
      <c r="O333">
        <v>73</v>
      </c>
      <c r="P333">
        <v>46</v>
      </c>
      <c r="Q333">
        <v>43</v>
      </c>
      <c r="R333">
        <v>12</v>
      </c>
      <c r="S333">
        <v>19</v>
      </c>
      <c r="T333">
        <v>1</v>
      </c>
      <c r="U333">
        <v>3</v>
      </c>
      <c r="V333">
        <v>1</v>
      </c>
      <c r="W333">
        <v>0</v>
      </c>
      <c r="X333">
        <v>42</v>
      </c>
      <c r="Y333">
        <v>20395</v>
      </c>
    </row>
    <row r="334" spans="1:25" x14ac:dyDescent="0.3">
      <c r="A334" t="s">
        <v>388</v>
      </c>
      <c r="B334" t="s">
        <v>159</v>
      </c>
      <c r="C334">
        <v>1</v>
      </c>
      <c r="D334">
        <v>13</v>
      </c>
      <c r="E334">
        <v>6.91</v>
      </c>
      <c r="F334">
        <v>23</v>
      </c>
      <c r="G334">
        <v>23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112</v>
      </c>
      <c r="N334">
        <v>504</v>
      </c>
      <c r="O334">
        <v>145</v>
      </c>
      <c r="P334">
        <v>89</v>
      </c>
      <c r="Q334">
        <v>86</v>
      </c>
      <c r="R334">
        <v>19</v>
      </c>
      <c r="S334">
        <v>25</v>
      </c>
      <c r="T334">
        <v>2</v>
      </c>
      <c r="U334">
        <v>6</v>
      </c>
      <c r="V334">
        <v>3</v>
      </c>
      <c r="W334">
        <v>0</v>
      </c>
      <c r="X334">
        <v>82</v>
      </c>
      <c r="Y334">
        <v>4505</v>
      </c>
    </row>
    <row r="335" spans="1:25" x14ac:dyDescent="0.3">
      <c r="A335" t="s">
        <v>389</v>
      </c>
      <c r="B335" t="s">
        <v>43</v>
      </c>
      <c r="C335">
        <v>3</v>
      </c>
      <c r="D335">
        <v>4</v>
      </c>
      <c r="E335">
        <v>6.93</v>
      </c>
      <c r="F335">
        <v>16</v>
      </c>
      <c r="G335">
        <v>8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50.2</v>
      </c>
      <c r="N335">
        <v>235</v>
      </c>
      <c r="O335">
        <v>60</v>
      </c>
      <c r="P335">
        <v>39</v>
      </c>
      <c r="Q335">
        <v>39</v>
      </c>
      <c r="R335">
        <v>12</v>
      </c>
      <c r="S335">
        <v>33</v>
      </c>
      <c r="T335">
        <v>3</v>
      </c>
      <c r="U335">
        <v>1</v>
      </c>
      <c r="V335">
        <v>2</v>
      </c>
      <c r="W335">
        <v>1</v>
      </c>
      <c r="X335">
        <v>44</v>
      </c>
      <c r="Y335">
        <v>5365</v>
      </c>
    </row>
    <row r="336" spans="1:25" x14ac:dyDescent="0.3">
      <c r="A336" t="s">
        <v>390</v>
      </c>
      <c r="B336" t="s">
        <v>146</v>
      </c>
      <c r="C336">
        <v>1</v>
      </c>
      <c r="D336">
        <v>10</v>
      </c>
      <c r="E336">
        <v>7.09</v>
      </c>
      <c r="F336">
        <v>23</v>
      </c>
      <c r="G336">
        <v>14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80</v>
      </c>
      <c r="N336">
        <v>365</v>
      </c>
      <c r="O336">
        <v>94</v>
      </c>
      <c r="P336">
        <v>73</v>
      </c>
      <c r="Q336">
        <v>63</v>
      </c>
      <c r="R336">
        <v>28</v>
      </c>
      <c r="S336">
        <v>30</v>
      </c>
      <c r="T336">
        <v>0</v>
      </c>
      <c r="U336">
        <v>2</v>
      </c>
      <c r="V336">
        <v>1</v>
      </c>
      <c r="W336">
        <v>0</v>
      </c>
      <c r="X336">
        <v>68</v>
      </c>
      <c r="Y336">
        <v>16130</v>
      </c>
    </row>
    <row r="337" spans="1:25" x14ac:dyDescent="0.3">
      <c r="A337" t="s">
        <v>391</v>
      </c>
      <c r="B337" t="s">
        <v>62</v>
      </c>
      <c r="C337">
        <v>3</v>
      </c>
      <c r="D337">
        <v>5</v>
      </c>
      <c r="E337">
        <v>7.09</v>
      </c>
      <c r="F337">
        <v>12</v>
      </c>
      <c r="G337">
        <v>12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59.2</v>
      </c>
      <c r="N337">
        <v>266</v>
      </c>
      <c r="O337">
        <v>63</v>
      </c>
      <c r="P337">
        <v>48</v>
      </c>
      <c r="Q337">
        <v>47</v>
      </c>
      <c r="R337">
        <v>13</v>
      </c>
      <c r="S337">
        <v>29</v>
      </c>
      <c r="T337">
        <v>0</v>
      </c>
      <c r="U337">
        <v>3</v>
      </c>
      <c r="V337">
        <v>3</v>
      </c>
      <c r="W337">
        <v>0</v>
      </c>
      <c r="X337">
        <v>39</v>
      </c>
      <c r="Y337">
        <v>11713</v>
      </c>
    </row>
    <row r="338" spans="1:25" x14ac:dyDescent="0.3">
      <c r="A338" t="s">
        <v>392</v>
      </c>
      <c r="B338" t="s">
        <v>62</v>
      </c>
      <c r="C338">
        <v>2</v>
      </c>
      <c r="D338">
        <v>6</v>
      </c>
      <c r="E338">
        <v>7.11</v>
      </c>
      <c r="F338">
        <v>19</v>
      </c>
      <c r="G338">
        <v>15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81</v>
      </c>
      <c r="N338">
        <v>375</v>
      </c>
      <c r="O338">
        <v>100</v>
      </c>
      <c r="P338">
        <v>67</v>
      </c>
      <c r="Q338">
        <v>64</v>
      </c>
      <c r="R338">
        <v>23</v>
      </c>
      <c r="S338">
        <v>33</v>
      </c>
      <c r="T338">
        <v>1</v>
      </c>
      <c r="U338">
        <v>10</v>
      </c>
      <c r="V338">
        <v>5</v>
      </c>
      <c r="W338">
        <v>1</v>
      </c>
      <c r="X338">
        <v>72</v>
      </c>
      <c r="Y338">
        <v>19911</v>
      </c>
    </row>
    <row r="339" spans="1:25" x14ac:dyDescent="0.3">
      <c r="A339" t="s">
        <v>393</v>
      </c>
      <c r="B339" t="s">
        <v>46</v>
      </c>
      <c r="C339">
        <v>3</v>
      </c>
      <c r="D339">
        <v>7</v>
      </c>
      <c r="E339">
        <v>7.25</v>
      </c>
      <c r="F339">
        <v>19</v>
      </c>
      <c r="G339">
        <v>19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89.1</v>
      </c>
      <c r="N339">
        <v>420</v>
      </c>
      <c r="O339">
        <v>119</v>
      </c>
      <c r="P339">
        <v>74</v>
      </c>
      <c r="Q339">
        <v>72</v>
      </c>
      <c r="R339">
        <v>18</v>
      </c>
      <c r="S339">
        <v>36</v>
      </c>
      <c r="T339">
        <v>3</v>
      </c>
      <c r="U339">
        <v>6</v>
      </c>
      <c r="V339">
        <v>5</v>
      </c>
      <c r="W339">
        <v>0</v>
      </c>
      <c r="X339">
        <v>57</v>
      </c>
      <c r="Y339">
        <v>17969</v>
      </c>
    </row>
    <row r="340" spans="1:25" x14ac:dyDescent="0.3">
      <c r="A340" t="s">
        <v>394</v>
      </c>
      <c r="B340" t="s">
        <v>48</v>
      </c>
      <c r="C340">
        <v>4</v>
      </c>
      <c r="D340">
        <v>2</v>
      </c>
      <c r="E340">
        <v>7.28</v>
      </c>
      <c r="F340">
        <v>25</v>
      </c>
      <c r="G340">
        <v>4</v>
      </c>
      <c r="H340">
        <v>0</v>
      </c>
      <c r="I340">
        <v>0</v>
      </c>
      <c r="J340">
        <v>1</v>
      </c>
      <c r="K340">
        <v>0</v>
      </c>
      <c r="L340">
        <v>0</v>
      </c>
      <c r="M340">
        <v>55.2</v>
      </c>
      <c r="N340">
        <v>259</v>
      </c>
      <c r="O340">
        <v>78</v>
      </c>
      <c r="P340">
        <v>45</v>
      </c>
      <c r="Q340">
        <v>45</v>
      </c>
      <c r="R340">
        <v>11</v>
      </c>
      <c r="S340">
        <v>25</v>
      </c>
      <c r="T340">
        <v>1</v>
      </c>
      <c r="U340">
        <v>0</v>
      </c>
      <c r="V340">
        <v>3</v>
      </c>
      <c r="W340">
        <v>0</v>
      </c>
      <c r="X340">
        <v>46</v>
      </c>
      <c r="Y340">
        <v>11694</v>
      </c>
    </row>
    <row r="341" spans="1:25" x14ac:dyDescent="0.3">
      <c r="A341" t="s">
        <v>395</v>
      </c>
      <c r="B341" t="s">
        <v>43</v>
      </c>
      <c r="C341">
        <v>1</v>
      </c>
      <c r="D341">
        <v>8</v>
      </c>
      <c r="E341">
        <v>7.98</v>
      </c>
      <c r="F341">
        <v>18</v>
      </c>
      <c r="G341">
        <v>12</v>
      </c>
      <c r="H341">
        <v>0</v>
      </c>
      <c r="I341">
        <v>0</v>
      </c>
      <c r="J341">
        <v>0</v>
      </c>
      <c r="K341">
        <v>0</v>
      </c>
      <c r="L341">
        <v>1</v>
      </c>
      <c r="M341">
        <v>58.2</v>
      </c>
      <c r="N341">
        <v>280</v>
      </c>
      <c r="O341">
        <v>75</v>
      </c>
      <c r="P341">
        <v>54</v>
      </c>
      <c r="Q341">
        <v>52</v>
      </c>
      <c r="R341">
        <v>12</v>
      </c>
      <c r="S341">
        <v>28</v>
      </c>
      <c r="T341">
        <v>2</v>
      </c>
      <c r="U341">
        <v>3</v>
      </c>
      <c r="V341">
        <v>3</v>
      </c>
      <c r="W341">
        <v>0</v>
      </c>
      <c r="X341">
        <v>41</v>
      </c>
      <c r="Y341">
        <v>14825</v>
      </c>
    </row>
    <row r="342" spans="1:25" x14ac:dyDescent="0.3">
      <c r="A342" t="s">
        <v>396</v>
      </c>
      <c r="B342" t="s">
        <v>48</v>
      </c>
      <c r="C342">
        <v>3</v>
      </c>
      <c r="D342">
        <v>10</v>
      </c>
      <c r="E342">
        <v>9.58</v>
      </c>
      <c r="F342">
        <v>18</v>
      </c>
      <c r="G342">
        <v>13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67.2</v>
      </c>
      <c r="N342">
        <v>336</v>
      </c>
      <c r="O342">
        <v>105</v>
      </c>
      <c r="P342">
        <v>81</v>
      </c>
      <c r="Q342">
        <v>72</v>
      </c>
      <c r="R342">
        <v>23</v>
      </c>
      <c r="S342">
        <v>32</v>
      </c>
      <c r="T342">
        <v>0</v>
      </c>
      <c r="U342">
        <v>3</v>
      </c>
      <c r="V342">
        <v>6</v>
      </c>
      <c r="W342">
        <v>0</v>
      </c>
      <c r="X342">
        <v>52</v>
      </c>
      <c r="Y342">
        <v>1841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28678-DFFA-43DE-AC7D-A055012CB32C}">
  <dimension ref="A1:N832"/>
  <sheetViews>
    <sheetView workbookViewId="0"/>
  </sheetViews>
  <sheetFormatPr defaultRowHeight="14.4" x14ac:dyDescent="0.3"/>
  <sheetData>
    <row r="1" spans="1:14" x14ac:dyDescent="0.3">
      <c r="A1" t="s">
        <v>0</v>
      </c>
      <c r="B1" t="s">
        <v>1</v>
      </c>
      <c r="C1" t="s">
        <v>12</v>
      </c>
      <c r="D1" t="s">
        <v>963</v>
      </c>
      <c r="E1" t="s">
        <v>962</v>
      </c>
      <c r="F1" t="s">
        <v>961</v>
      </c>
      <c r="G1" t="s">
        <v>960</v>
      </c>
      <c r="H1" t="s">
        <v>959</v>
      </c>
      <c r="I1" t="s">
        <v>958</v>
      </c>
      <c r="J1" t="s">
        <v>957</v>
      </c>
      <c r="K1" t="s">
        <v>956</v>
      </c>
      <c r="L1" t="s">
        <v>955</v>
      </c>
      <c r="M1" t="s">
        <v>954</v>
      </c>
      <c r="N1" t="s">
        <v>24</v>
      </c>
    </row>
    <row r="2" spans="1:14" x14ac:dyDescent="0.3">
      <c r="A2" t="s">
        <v>953</v>
      </c>
      <c r="B2" t="s">
        <v>50</v>
      </c>
      <c r="C2">
        <v>28.2</v>
      </c>
      <c r="D2">
        <v>101.5</v>
      </c>
      <c r="G2">
        <v>101.5</v>
      </c>
      <c r="H2">
        <v>91.7</v>
      </c>
      <c r="I2">
        <v>87.4</v>
      </c>
      <c r="N2">
        <v>19618</v>
      </c>
    </row>
    <row r="3" spans="1:14" x14ac:dyDescent="0.3">
      <c r="A3" t="s">
        <v>952</v>
      </c>
      <c r="B3" t="s">
        <v>26</v>
      </c>
      <c r="C3">
        <v>23</v>
      </c>
      <c r="D3">
        <v>100.2</v>
      </c>
      <c r="G3">
        <v>95.8</v>
      </c>
      <c r="I3">
        <v>86.5</v>
      </c>
      <c r="N3">
        <v>20373</v>
      </c>
    </row>
    <row r="4" spans="1:14" x14ac:dyDescent="0.3">
      <c r="A4" t="s">
        <v>951</v>
      </c>
      <c r="B4" t="s">
        <v>143</v>
      </c>
      <c r="C4">
        <v>23.1</v>
      </c>
      <c r="D4">
        <v>99.4</v>
      </c>
      <c r="I4">
        <v>90.6</v>
      </c>
      <c r="N4">
        <v>21032</v>
      </c>
    </row>
    <row r="5" spans="1:14" x14ac:dyDescent="0.3">
      <c r="A5" t="s">
        <v>950</v>
      </c>
      <c r="B5" t="s">
        <v>102</v>
      </c>
      <c r="C5">
        <v>46</v>
      </c>
      <c r="D5">
        <v>99.4</v>
      </c>
      <c r="H5">
        <v>93.4</v>
      </c>
      <c r="I5">
        <v>87.7</v>
      </c>
      <c r="J5">
        <v>89.7</v>
      </c>
      <c r="N5">
        <v>11691</v>
      </c>
    </row>
    <row r="6" spans="1:14" x14ac:dyDescent="0.3">
      <c r="A6" t="s">
        <v>949</v>
      </c>
      <c r="B6" t="s">
        <v>32</v>
      </c>
      <c r="C6">
        <v>30</v>
      </c>
      <c r="D6">
        <v>98.9</v>
      </c>
      <c r="G6">
        <v>98.6</v>
      </c>
      <c r="I6">
        <v>92.8</v>
      </c>
      <c r="J6">
        <v>87.5</v>
      </c>
      <c r="N6">
        <v>17780</v>
      </c>
    </row>
    <row r="7" spans="1:14" x14ac:dyDescent="0.3">
      <c r="A7" t="s">
        <v>948</v>
      </c>
      <c r="B7" t="s">
        <v>66</v>
      </c>
      <c r="C7">
        <v>9.1999999999999993</v>
      </c>
      <c r="D7">
        <v>98.9</v>
      </c>
      <c r="G7">
        <v>99</v>
      </c>
      <c r="H7">
        <v>91</v>
      </c>
      <c r="I7">
        <v>88.2</v>
      </c>
      <c r="N7">
        <v>20367</v>
      </c>
    </row>
    <row r="8" spans="1:14" x14ac:dyDescent="0.3">
      <c r="A8" t="s">
        <v>29</v>
      </c>
      <c r="B8" t="s">
        <v>30</v>
      </c>
      <c r="C8">
        <v>60</v>
      </c>
      <c r="D8">
        <v>98.8</v>
      </c>
      <c r="G8">
        <v>97.8</v>
      </c>
      <c r="H8">
        <v>88.8</v>
      </c>
      <c r="I8">
        <v>87</v>
      </c>
      <c r="J8">
        <v>82.6</v>
      </c>
      <c r="N8">
        <v>12076</v>
      </c>
    </row>
    <row r="9" spans="1:14" x14ac:dyDescent="0.3">
      <c r="A9" t="s">
        <v>947</v>
      </c>
      <c r="B9" t="s">
        <v>146</v>
      </c>
      <c r="C9">
        <v>6.1</v>
      </c>
      <c r="D9">
        <v>98.5</v>
      </c>
      <c r="H9">
        <v>89.9</v>
      </c>
      <c r="J9">
        <v>83.5</v>
      </c>
      <c r="N9">
        <v>15507</v>
      </c>
    </row>
    <row r="10" spans="1:14" x14ac:dyDescent="0.3">
      <c r="A10" t="s">
        <v>125</v>
      </c>
      <c r="B10" t="s">
        <v>32</v>
      </c>
      <c r="C10">
        <v>68.2</v>
      </c>
      <c r="D10">
        <v>98.5</v>
      </c>
      <c r="G10">
        <v>98.4</v>
      </c>
      <c r="I10">
        <v>88.9</v>
      </c>
      <c r="N10">
        <v>17496</v>
      </c>
    </row>
    <row r="11" spans="1:14" x14ac:dyDescent="0.3">
      <c r="A11" t="s">
        <v>946</v>
      </c>
      <c r="B11" t="s">
        <v>48</v>
      </c>
      <c r="C11">
        <v>16</v>
      </c>
      <c r="D11">
        <v>98.3</v>
      </c>
      <c r="I11">
        <v>86.1</v>
      </c>
      <c r="N11">
        <v>14244</v>
      </c>
    </row>
    <row r="12" spans="1:14" x14ac:dyDescent="0.3">
      <c r="A12" t="s">
        <v>945</v>
      </c>
      <c r="B12" t="s">
        <v>48</v>
      </c>
      <c r="C12">
        <v>15.1</v>
      </c>
      <c r="D12">
        <v>98.3</v>
      </c>
      <c r="H12">
        <v>88.1</v>
      </c>
      <c r="I12">
        <v>88.2</v>
      </c>
      <c r="N12">
        <v>10745</v>
      </c>
    </row>
    <row r="13" spans="1:14" x14ac:dyDescent="0.3">
      <c r="A13" t="s">
        <v>44</v>
      </c>
      <c r="B13" t="s">
        <v>40</v>
      </c>
      <c r="C13">
        <v>57</v>
      </c>
      <c r="D13">
        <v>98.2</v>
      </c>
      <c r="G13">
        <v>100.5</v>
      </c>
      <c r="H13">
        <v>88</v>
      </c>
      <c r="I13">
        <v>85.4</v>
      </c>
      <c r="N13">
        <v>10233</v>
      </c>
    </row>
    <row r="14" spans="1:14" x14ac:dyDescent="0.3">
      <c r="A14" t="s">
        <v>944</v>
      </c>
      <c r="B14" t="s">
        <v>26</v>
      </c>
      <c r="C14">
        <v>10.199999999999999</v>
      </c>
      <c r="D14">
        <v>98.2</v>
      </c>
      <c r="H14">
        <v>85.2</v>
      </c>
      <c r="I14">
        <v>83.2</v>
      </c>
      <c r="N14">
        <v>6576</v>
      </c>
    </row>
    <row r="15" spans="1:14" x14ac:dyDescent="0.3">
      <c r="A15" t="s">
        <v>227</v>
      </c>
      <c r="B15" t="s">
        <v>58</v>
      </c>
      <c r="C15">
        <v>197.2</v>
      </c>
      <c r="D15">
        <v>98.1</v>
      </c>
      <c r="G15">
        <v>97.9</v>
      </c>
      <c r="H15">
        <v>91.5</v>
      </c>
      <c r="I15">
        <v>89.4</v>
      </c>
      <c r="J15">
        <v>80.7</v>
      </c>
      <c r="N15">
        <v>11762</v>
      </c>
    </row>
    <row r="16" spans="1:14" x14ac:dyDescent="0.3">
      <c r="A16" t="s">
        <v>943</v>
      </c>
      <c r="B16" t="s">
        <v>43</v>
      </c>
      <c r="C16">
        <v>7</v>
      </c>
      <c r="D16">
        <v>98</v>
      </c>
      <c r="H16">
        <v>88</v>
      </c>
      <c r="I16">
        <v>87</v>
      </c>
      <c r="N16">
        <v>14510</v>
      </c>
    </row>
    <row r="17" spans="1:14" x14ac:dyDescent="0.3">
      <c r="A17" t="s">
        <v>942</v>
      </c>
      <c r="B17" t="s">
        <v>50</v>
      </c>
      <c r="C17">
        <v>36.200000000000003</v>
      </c>
      <c r="D17">
        <v>98</v>
      </c>
      <c r="H17">
        <v>87.7</v>
      </c>
      <c r="I17">
        <v>89</v>
      </c>
      <c r="J17">
        <v>81.099999999999994</v>
      </c>
      <c r="N17">
        <v>18138</v>
      </c>
    </row>
    <row r="18" spans="1:14" x14ac:dyDescent="0.3">
      <c r="A18" t="s">
        <v>161</v>
      </c>
      <c r="B18" t="s">
        <v>46</v>
      </c>
      <c r="C18">
        <v>72</v>
      </c>
      <c r="D18">
        <v>98</v>
      </c>
      <c r="G18">
        <v>95.4</v>
      </c>
      <c r="H18">
        <v>90.6</v>
      </c>
      <c r="I18">
        <v>87.7</v>
      </c>
      <c r="N18">
        <v>14542</v>
      </c>
    </row>
    <row r="19" spans="1:14" x14ac:dyDescent="0.3">
      <c r="A19" t="s">
        <v>941</v>
      </c>
      <c r="B19" t="s">
        <v>193</v>
      </c>
      <c r="C19">
        <v>9</v>
      </c>
      <c r="D19">
        <v>97.9</v>
      </c>
      <c r="H19">
        <v>86</v>
      </c>
      <c r="I19">
        <v>86.2</v>
      </c>
      <c r="N19">
        <v>19256</v>
      </c>
    </row>
    <row r="20" spans="1:14" x14ac:dyDescent="0.3">
      <c r="A20" t="s">
        <v>940</v>
      </c>
      <c r="B20" t="s">
        <v>93</v>
      </c>
      <c r="C20">
        <v>48.1</v>
      </c>
      <c r="D20">
        <v>97.9</v>
      </c>
      <c r="G20">
        <v>97.1</v>
      </c>
      <c r="H20">
        <v>90.4</v>
      </c>
      <c r="I20">
        <v>87.4</v>
      </c>
      <c r="N20">
        <v>17610</v>
      </c>
    </row>
    <row r="21" spans="1:14" x14ac:dyDescent="0.3">
      <c r="A21" t="s">
        <v>262</v>
      </c>
      <c r="B21" t="s">
        <v>53</v>
      </c>
      <c r="C21">
        <v>51.1</v>
      </c>
      <c r="D21">
        <v>97.8</v>
      </c>
      <c r="G21">
        <v>98.4</v>
      </c>
      <c r="H21">
        <v>87.9</v>
      </c>
      <c r="J21">
        <v>87.3</v>
      </c>
      <c r="N21">
        <v>9761</v>
      </c>
    </row>
    <row r="22" spans="1:14" x14ac:dyDescent="0.3">
      <c r="A22" t="s">
        <v>346</v>
      </c>
      <c r="B22" t="s">
        <v>58</v>
      </c>
      <c r="C22">
        <v>58</v>
      </c>
      <c r="D22">
        <v>97.8</v>
      </c>
      <c r="G22">
        <v>96.4</v>
      </c>
      <c r="I22">
        <v>89.9</v>
      </c>
      <c r="N22">
        <v>14710</v>
      </c>
    </row>
    <row r="23" spans="1:14" x14ac:dyDescent="0.3">
      <c r="A23" t="s">
        <v>188</v>
      </c>
      <c r="B23" t="s">
        <v>48</v>
      </c>
      <c r="C23">
        <v>77</v>
      </c>
      <c r="D23">
        <v>97.8</v>
      </c>
      <c r="F23">
        <v>88.3</v>
      </c>
      <c r="G23">
        <v>98.8</v>
      </c>
      <c r="I23">
        <v>90</v>
      </c>
      <c r="N23">
        <v>15947</v>
      </c>
    </row>
    <row r="24" spans="1:14" x14ac:dyDescent="0.3">
      <c r="A24" t="s">
        <v>939</v>
      </c>
      <c r="B24" t="s">
        <v>48</v>
      </c>
      <c r="C24">
        <v>37.1</v>
      </c>
      <c r="D24">
        <v>97.8</v>
      </c>
      <c r="G24">
        <v>97.6</v>
      </c>
      <c r="H24">
        <v>88.6</v>
      </c>
      <c r="I24">
        <v>91.1</v>
      </c>
      <c r="J24">
        <v>83.7</v>
      </c>
      <c r="N24">
        <v>15690</v>
      </c>
    </row>
    <row r="25" spans="1:14" x14ac:dyDescent="0.3">
      <c r="A25" t="s">
        <v>938</v>
      </c>
      <c r="B25" t="s">
        <v>95</v>
      </c>
      <c r="C25">
        <v>24.2</v>
      </c>
      <c r="D25">
        <v>97.7</v>
      </c>
      <c r="G25">
        <v>98.8</v>
      </c>
      <c r="H25">
        <v>91.6</v>
      </c>
      <c r="I25">
        <v>90</v>
      </c>
      <c r="N25">
        <v>19249</v>
      </c>
    </row>
    <row r="26" spans="1:14" x14ac:dyDescent="0.3">
      <c r="A26" t="s">
        <v>369</v>
      </c>
      <c r="B26" t="s">
        <v>38</v>
      </c>
      <c r="C26">
        <v>67.2</v>
      </c>
      <c r="D26">
        <v>97.7</v>
      </c>
      <c r="E26">
        <v>93.5</v>
      </c>
      <c r="F26">
        <v>88.1</v>
      </c>
      <c r="I26">
        <v>85.4</v>
      </c>
      <c r="J26">
        <v>80.7</v>
      </c>
      <c r="N26">
        <v>9132</v>
      </c>
    </row>
    <row r="27" spans="1:14" x14ac:dyDescent="0.3">
      <c r="A27" t="s">
        <v>31</v>
      </c>
      <c r="B27" t="s">
        <v>32</v>
      </c>
      <c r="C27">
        <v>60.2</v>
      </c>
      <c r="D27">
        <v>97.6</v>
      </c>
      <c r="H27">
        <v>93.4</v>
      </c>
      <c r="J27">
        <v>84.2</v>
      </c>
      <c r="N27">
        <v>14374</v>
      </c>
    </row>
    <row r="28" spans="1:14" x14ac:dyDescent="0.3">
      <c r="A28" t="s">
        <v>937</v>
      </c>
      <c r="B28" t="s">
        <v>75</v>
      </c>
      <c r="C28">
        <v>3</v>
      </c>
      <c r="D28">
        <v>97.6</v>
      </c>
      <c r="H28">
        <v>90.6</v>
      </c>
      <c r="J28">
        <v>86.5</v>
      </c>
      <c r="N28">
        <v>20468</v>
      </c>
    </row>
    <row r="29" spans="1:14" x14ac:dyDescent="0.3">
      <c r="A29" t="s">
        <v>936</v>
      </c>
      <c r="B29" t="s">
        <v>48</v>
      </c>
      <c r="C29">
        <v>21</v>
      </c>
      <c r="D29">
        <v>97.6</v>
      </c>
      <c r="I29">
        <v>90</v>
      </c>
      <c r="N29">
        <v>17998</v>
      </c>
    </row>
    <row r="30" spans="1:14" x14ac:dyDescent="0.3">
      <c r="A30" t="s">
        <v>87</v>
      </c>
      <c r="B30" t="s">
        <v>83</v>
      </c>
      <c r="C30">
        <v>56.2</v>
      </c>
      <c r="D30">
        <v>97.5</v>
      </c>
      <c r="H30">
        <v>90.2</v>
      </c>
      <c r="I30">
        <v>83.7</v>
      </c>
      <c r="N30">
        <v>14966</v>
      </c>
    </row>
    <row r="31" spans="1:14" x14ac:dyDescent="0.3">
      <c r="A31" t="s">
        <v>935</v>
      </c>
      <c r="B31" t="s">
        <v>34</v>
      </c>
      <c r="C31">
        <v>11.1</v>
      </c>
      <c r="D31">
        <v>97.5</v>
      </c>
      <c r="H31">
        <v>89.8</v>
      </c>
      <c r="I31">
        <v>90</v>
      </c>
      <c r="J31">
        <v>82.2</v>
      </c>
      <c r="N31">
        <v>19343</v>
      </c>
    </row>
    <row r="32" spans="1:14" x14ac:dyDescent="0.3">
      <c r="A32" t="s">
        <v>237</v>
      </c>
      <c r="B32" t="s">
        <v>62</v>
      </c>
      <c r="C32">
        <v>62</v>
      </c>
      <c r="D32">
        <v>97.5</v>
      </c>
      <c r="F32">
        <v>86.9</v>
      </c>
      <c r="G32">
        <v>97.3</v>
      </c>
      <c r="I32">
        <v>85.5</v>
      </c>
      <c r="N32">
        <v>6984</v>
      </c>
    </row>
    <row r="33" spans="1:14" x14ac:dyDescent="0.3">
      <c r="A33" t="s">
        <v>61</v>
      </c>
      <c r="B33" t="s">
        <v>62</v>
      </c>
      <c r="C33">
        <v>72.2</v>
      </c>
      <c r="D33">
        <v>97.4</v>
      </c>
      <c r="G33">
        <v>97.4</v>
      </c>
      <c r="H33">
        <v>89.5</v>
      </c>
      <c r="I33">
        <v>89.6</v>
      </c>
      <c r="N33">
        <v>11801</v>
      </c>
    </row>
    <row r="34" spans="1:14" x14ac:dyDescent="0.3">
      <c r="A34" t="s">
        <v>325</v>
      </c>
      <c r="B34" t="s">
        <v>34</v>
      </c>
      <c r="C34">
        <v>60</v>
      </c>
      <c r="D34">
        <v>97.4</v>
      </c>
      <c r="E34">
        <v>92.5</v>
      </c>
      <c r="G34">
        <v>97.6</v>
      </c>
      <c r="H34">
        <v>87.9</v>
      </c>
      <c r="I34">
        <v>93.6</v>
      </c>
      <c r="J34">
        <v>80.099999999999994</v>
      </c>
      <c r="N34">
        <v>15043</v>
      </c>
    </row>
    <row r="35" spans="1:14" x14ac:dyDescent="0.3">
      <c r="A35" t="s">
        <v>67</v>
      </c>
      <c r="B35" t="s">
        <v>28</v>
      </c>
      <c r="C35">
        <v>212.1</v>
      </c>
      <c r="D35">
        <v>97.4</v>
      </c>
      <c r="G35">
        <v>96</v>
      </c>
      <c r="H35">
        <v>88.9</v>
      </c>
      <c r="I35">
        <v>89.5</v>
      </c>
      <c r="J35">
        <v>82.8</v>
      </c>
      <c r="N35">
        <v>13125</v>
      </c>
    </row>
    <row r="36" spans="1:14" x14ac:dyDescent="0.3">
      <c r="A36" t="s">
        <v>280</v>
      </c>
      <c r="B36" t="s">
        <v>28</v>
      </c>
      <c r="C36">
        <v>61.1</v>
      </c>
      <c r="D36">
        <v>97.4</v>
      </c>
      <c r="H36">
        <v>89.2</v>
      </c>
      <c r="I36">
        <v>84.6</v>
      </c>
      <c r="J36">
        <v>81.900000000000006</v>
      </c>
      <c r="N36">
        <v>16794</v>
      </c>
    </row>
    <row r="37" spans="1:14" x14ac:dyDescent="0.3">
      <c r="A37" t="s">
        <v>191</v>
      </c>
      <c r="B37" t="s">
        <v>62</v>
      </c>
      <c r="C37">
        <v>72.099999999999994</v>
      </c>
      <c r="D37">
        <v>97.4</v>
      </c>
      <c r="G37">
        <v>96.1</v>
      </c>
      <c r="H37">
        <v>87.8</v>
      </c>
      <c r="I37">
        <v>84</v>
      </c>
      <c r="N37">
        <v>14719</v>
      </c>
    </row>
    <row r="38" spans="1:14" x14ac:dyDescent="0.3">
      <c r="A38" t="s">
        <v>934</v>
      </c>
      <c r="B38" t="s">
        <v>30</v>
      </c>
      <c r="C38">
        <v>8.1999999999999993</v>
      </c>
      <c r="D38">
        <v>97.3</v>
      </c>
      <c r="I38">
        <v>88.2</v>
      </c>
      <c r="N38">
        <v>16074</v>
      </c>
    </row>
    <row r="39" spans="1:14" x14ac:dyDescent="0.3">
      <c r="A39" t="s">
        <v>91</v>
      </c>
      <c r="B39" t="s">
        <v>89</v>
      </c>
      <c r="C39">
        <v>83.1</v>
      </c>
      <c r="D39">
        <v>97.3</v>
      </c>
      <c r="E39">
        <v>93.9</v>
      </c>
      <c r="G39">
        <v>96.5</v>
      </c>
      <c r="H39">
        <v>87.4</v>
      </c>
      <c r="I39">
        <v>86.8</v>
      </c>
      <c r="J39">
        <v>83.8</v>
      </c>
      <c r="N39">
        <v>14843</v>
      </c>
    </row>
    <row r="40" spans="1:14" x14ac:dyDescent="0.3">
      <c r="A40" t="s">
        <v>57</v>
      </c>
      <c r="B40" t="s">
        <v>58</v>
      </c>
      <c r="C40">
        <v>204</v>
      </c>
      <c r="D40">
        <v>97.2</v>
      </c>
      <c r="G40">
        <v>97.1</v>
      </c>
      <c r="H40">
        <v>90.6</v>
      </c>
      <c r="I40">
        <v>92.7</v>
      </c>
      <c r="J40">
        <v>84.7</v>
      </c>
      <c r="N40">
        <v>10954</v>
      </c>
    </row>
    <row r="41" spans="1:14" x14ac:dyDescent="0.3">
      <c r="A41" t="s">
        <v>308</v>
      </c>
      <c r="B41" t="s">
        <v>34</v>
      </c>
      <c r="C41">
        <v>58.2</v>
      </c>
      <c r="D41">
        <v>97.2</v>
      </c>
      <c r="E41">
        <v>93.4</v>
      </c>
      <c r="G41">
        <v>96.7</v>
      </c>
      <c r="H41">
        <v>88.4</v>
      </c>
      <c r="I41">
        <v>88.6</v>
      </c>
      <c r="N41">
        <v>12572</v>
      </c>
    </row>
    <row r="42" spans="1:14" x14ac:dyDescent="0.3">
      <c r="A42" t="s">
        <v>35</v>
      </c>
      <c r="B42" t="s">
        <v>36</v>
      </c>
      <c r="C42">
        <v>53</v>
      </c>
      <c r="D42">
        <v>97.2</v>
      </c>
      <c r="I42">
        <v>86.6</v>
      </c>
      <c r="N42">
        <v>12910</v>
      </c>
    </row>
    <row r="43" spans="1:14" x14ac:dyDescent="0.3">
      <c r="A43" t="s">
        <v>933</v>
      </c>
      <c r="B43" t="s">
        <v>50</v>
      </c>
      <c r="C43">
        <v>3</v>
      </c>
      <c r="D43">
        <v>97.2</v>
      </c>
      <c r="H43">
        <v>90.2</v>
      </c>
      <c r="I43">
        <v>88.3</v>
      </c>
      <c r="J43">
        <v>80.8</v>
      </c>
      <c r="N43">
        <v>15015</v>
      </c>
    </row>
    <row r="44" spans="1:14" x14ac:dyDescent="0.3">
      <c r="A44" t="s">
        <v>932</v>
      </c>
      <c r="B44" t="s">
        <v>26</v>
      </c>
      <c r="C44">
        <v>8.1999999999999993</v>
      </c>
      <c r="D44">
        <v>97.1</v>
      </c>
      <c r="G44">
        <v>98.9</v>
      </c>
      <c r="I44">
        <v>87.5</v>
      </c>
      <c r="N44">
        <v>17292</v>
      </c>
    </row>
    <row r="45" spans="1:14" x14ac:dyDescent="0.3">
      <c r="A45" t="s">
        <v>257</v>
      </c>
      <c r="B45" t="s">
        <v>46</v>
      </c>
      <c r="C45">
        <v>57.2</v>
      </c>
      <c r="D45">
        <v>97.1</v>
      </c>
      <c r="E45">
        <v>97.1</v>
      </c>
      <c r="G45">
        <v>96.7</v>
      </c>
      <c r="I45">
        <v>88.1</v>
      </c>
      <c r="N45">
        <v>12774</v>
      </c>
    </row>
    <row r="46" spans="1:14" x14ac:dyDescent="0.3">
      <c r="A46" t="s">
        <v>931</v>
      </c>
      <c r="B46" t="s">
        <v>40</v>
      </c>
      <c r="C46">
        <v>31.2</v>
      </c>
      <c r="D46">
        <v>97.1</v>
      </c>
      <c r="G46">
        <v>96.8</v>
      </c>
      <c r="H46">
        <v>89.9</v>
      </c>
      <c r="J46">
        <v>84.3</v>
      </c>
      <c r="N46">
        <v>19753</v>
      </c>
    </row>
    <row r="47" spans="1:14" x14ac:dyDescent="0.3">
      <c r="A47" t="s">
        <v>72</v>
      </c>
      <c r="B47" t="s">
        <v>34</v>
      </c>
      <c r="C47">
        <v>96</v>
      </c>
      <c r="D47">
        <v>97.1</v>
      </c>
      <c r="F47">
        <v>87</v>
      </c>
      <c r="G47">
        <v>96.7</v>
      </c>
      <c r="H47">
        <v>91.5</v>
      </c>
      <c r="I47">
        <v>88.7</v>
      </c>
      <c r="J47">
        <v>96.1</v>
      </c>
      <c r="N47">
        <v>14309</v>
      </c>
    </row>
    <row r="48" spans="1:14" x14ac:dyDescent="0.3">
      <c r="A48" t="s">
        <v>930</v>
      </c>
      <c r="B48" t="s">
        <v>26</v>
      </c>
      <c r="C48">
        <v>26</v>
      </c>
      <c r="D48">
        <v>97</v>
      </c>
      <c r="E48">
        <v>84.2</v>
      </c>
      <c r="G48">
        <v>97</v>
      </c>
      <c r="I48">
        <v>87.9</v>
      </c>
      <c r="N48">
        <v>16306</v>
      </c>
    </row>
    <row r="49" spans="1:14" x14ac:dyDescent="0.3">
      <c r="A49" t="s">
        <v>187</v>
      </c>
      <c r="B49" t="s">
        <v>58</v>
      </c>
      <c r="C49">
        <v>195.1</v>
      </c>
      <c r="D49">
        <v>97</v>
      </c>
      <c r="F49">
        <v>89.4</v>
      </c>
      <c r="H49">
        <v>89.2</v>
      </c>
      <c r="I49">
        <v>91.5</v>
      </c>
      <c r="J49">
        <v>80.900000000000006</v>
      </c>
      <c r="N49">
        <v>10310</v>
      </c>
    </row>
    <row r="50" spans="1:14" x14ac:dyDescent="0.3">
      <c r="A50" t="s">
        <v>929</v>
      </c>
      <c r="B50" t="s">
        <v>50</v>
      </c>
      <c r="C50">
        <v>11.2</v>
      </c>
      <c r="D50">
        <v>97</v>
      </c>
      <c r="H50">
        <v>86.3</v>
      </c>
      <c r="I50">
        <v>87</v>
      </c>
      <c r="N50">
        <v>18496</v>
      </c>
    </row>
    <row r="51" spans="1:14" x14ac:dyDescent="0.3">
      <c r="A51" t="s">
        <v>928</v>
      </c>
      <c r="B51" t="s">
        <v>36</v>
      </c>
      <c r="C51">
        <v>0.2</v>
      </c>
      <c r="D51">
        <v>97</v>
      </c>
      <c r="H51">
        <v>91.5</v>
      </c>
      <c r="J51">
        <v>76.900000000000006</v>
      </c>
      <c r="N51">
        <v>20218</v>
      </c>
    </row>
    <row r="52" spans="1:14" x14ac:dyDescent="0.3">
      <c r="A52" t="s">
        <v>927</v>
      </c>
      <c r="B52" t="s">
        <v>143</v>
      </c>
      <c r="C52">
        <v>16.2</v>
      </c>
      <c r="D52">
        <v>97</v>
      </c>
      <c r="H52">
        <v>90.3</v>
      </c>
      <c r="I52">
        <v>88.7</v>
      </c>
      <c r="N52">
        <v>17464</v>
      </c>
    </row>
    <row r="53" spans="1:14" x14ac:dyDescent="0.3">
      <c r="A53" t="s">
        <v>926</v>
      </c>
      <c r="B53" t="s">
        <v>34</v>
      </c>
      <c r="C53">
        <v>12</v>
      </c>
      <c r="D53">
        <v>96.9</v>
      </c>
      <c r="G53">
        <v>95.9</v>
      </c>
      <c r="H53">
        <v>86.9</v>
      </c>
      <c r="J53">
        <v>82.9</v>
      </c>
      <c r="N53">
        <v>19959</v>
      </c>
    </row>
    <row r="54" spans="1:14" x14ac:dyDescent="0.3">
      <c r="A54" t="s">
        <v>154</v>
      </c>
      <c r="B54" t="s">
        <v>28</v>
      </c>
      <c r="C54">
        <v>60.2</v>
      </c>
      <c r="D54">
        <v>96.9</v>
      </c>
      <c r="G54">
        <v>96.8</v>
      </c>
      <c r="H54">
        <v>90.8</v>
      </c>
      <c r="I54">
        <v>87</v>
      </c>
      <c r="N54">
        <v>2391</v>
      </c>
    </row>
    <row r="55" spans="1:14" x14ac:dyDescent="0.3">
      <c r="A55" t="s">
        <v>233</v>
      </c>
      <c r="B55" t="s">
        <v>143</v>
      </c>
      <c r="C55">
        <v>68.2</v>
      </c>
      <c r="D55">
        <v>96.9</v>
      </c>
      <c r="E55">
        <v>97.7</v>
      </c>
      <c r="F55">
        <v>82.1</v>
      </c>
      <c r="G55">
        <v>96.3</v>
      </c>
      <c r="H55">
        <v>89.9</v>
      </c>
      <c r="J55">
        <v>79.5</v>
      </c>
      <c r="N55">
        <v>14524</v>
      </c>
    </row>
    <row r="56" spans="1:14" x14ac:dyDescent="0.3">
      <c r="A56" t="s">
        <v>167</v>
      </c>
      <c r="B56" t="s">
        <v>38</v>
      </c>
      <c r="C56">
        <v>64.099999999999994</v>
      </c>
      <c r="D56">
        <v>96.9</v>
      </c>
      <c r="H56">
        <v>88.4</v>
      </c>
      <c r="I56">
        <v>86.2</v>
      </c>
      <c r="J56">
        <v>85.7</v>
      </c>
      <c r="N56">
        <v>12863</v>
      </c>
    </row>
    <row r="57" spans="1:14" x14ac:dyDescent="0.3">
      <c r="A57" t="s">
        <v>925</v>
      </c>
      <c r="B57" t="s">
        <v>77</v>
      </c>
      <c r="C57">
        <v>11.2</v>
      </c>
      <c r="D57">
        <v>96.9</v>
      </c>
      <c r="E57">
        <v>89.6</v>
      </c>
      <c r="J57">
        <v>85.2</v>
      </c>
      <c r="N57">
        <v>14672</v>
      </c>
    </row>
    <row r="58" spans="1:14" x14ac:dyDescent="0.3">
      <c r="A58" t="s">
        <v>924</v>
      </c>
      <c r="B58" t="s">
        <v>56</v>
      </c>
      <c r="C58">
        <v>5.0999999999999996</v>
      </c>
      <c r="D58">
        <v>96.9</v>
      </c>
      <c r="J58">
        <v>84.3</v>
      </c>
      <c r="N58">
        <v>20151</v>
      </c>
    </row>
    <row r="59" spans="1:14" x14ac:dyDescent="0.3">
      <c r="A59" t="s">
        <v>73</v>
      </c>
      <c r="B59" t="s">
        <v>28</v>
      </c>
      <c r="C59">
        <v>65</v>
      </c>
      <c r="D59">
        <v>96.9</v>
      </c>
      <c r="E59">
        <v>91.5</v>
      </c>
      <c r="G59">
        <v>96</v>
      </c>
      <c r="H59">
        <v>84.6</v>
      </c>
      <c r="I59">
        <v>88.1</v>
      </c>
      <c r="N59">
        <v>13764</v>
      </c>
    </row>
    <row r="60" spans="1:14" x14ac:dyDescent="0.3">
      <c r="A60" t="s">
        <v>33</v>
      </c>
      <c r="B60" t="s">
        <v>34</v>
      </c>
      <c r="C60">
        <v>85</v>
      </c>
      <c r="D60">
        <v>96.8</v>
      </c>
      <c r="G60">
        <v>95</v>
      </c>
      <c r="H60">
        <v>87.8</v>
      </c>
      <c r="I60">
        <v>88.9</v>
      </c>
      <c r="J60">
        <v>84.7</v>
      </c>
      <c r="N60">
        <v>3548</v>
      </c>
    </row>
    <row r="61" spans="1:14" x14ac:dyDescent="0.3">
      <c r="A61" t="s">
        <v>923</v>
      </c>
      <c r="B61" t="s">
        <v>102</v>
      </c>
      <c r="C61">
        <v>38.1</v>
      </c>
      <c r="D61">
        <v>96.8</v>
      </c>
      <c r="I61">
        <v>83.2</v>
      </c>
      <c r="N61">
        <v>16631</v>
      </c>
    </row>
    <row r="62" spans="1:14" x14ac:dyDescent="0.3">
      <c r="A62" t="s">
        <v>922</v>
      </c>
      <c r="B62" t="s">
        <v>193</v>
      </c>
      <c r="C62">
        <v>23.2</v>
      </c>
      <c r="D62">
        <v>96.8</v>
      </c>
      <c r="G62">
        <v>94.6</v>
      </c>
      <c r="H62">
        <v>90.9</v>
      </c>
      <c r="I62">
        <v>90.4</v>
      </c>
      <c r="J62">
        <v>89.1</v>
      </c>
      <c r="N62">
        <v>13483</v>
      </c>
    </row>
    <row r="63" spans="1:14" x14ac:dyDescent="0.3">
      <c r="A63" t="s">
        <v>921</v>
      </c>
      <c r="B63" t="s">
        <v>66</v>
      </c>
      <c r="C63">
        <v>14</v>
      </c>
      <c r="D63">
        <v>96.8</v>
      </c>
      <c r="G63">
        <v>97.3</v>
      </c>
      <c r="H63">
        <v>91.9</v>
      </c>
      <c r="I63">
        <v>87.5</v>
      </c>
      <c r="N63">
        <v>15885</v>
      </c>
    </row>
    <row r="64" spans="1:14" x14ac:dyDescent="0.3">
      <c r="A64" t="s">
        <v>112</v>
      </c>
      <c r="B64" t="s">
        <v>53</v>
      </c>
      <c r="C64">
        <v>182.1</v>
      </c>
      <c r="D64">
        <v>96.8</v>
      </c>
      <c r="E64">
        <v>92.8</v>
      </c>
      <c r="G64">
        <v>96.8</v>
      </c>
      <c r="H64">
        <v>91.8</v>
      </c>
      <c r="I64">
        <v>86.9</v>
      </c>
      <c r="J64">
        <v>80.900000000000006</v>
      </c>
      <c r="N64">
        <v>19374</v>
      </c>
    </row>
    <row r="65" spans="1:14" x14ac:dyDescent="0.3">
      <c r="A65" t="s">
        <v>151</v>
      </c>
      <c r="B65" t="s">
        <v>40</v>
      </c>
      <c r="C65">
        <v>61.1</v>
      </c>
      <c r="D65">
        <v>96.7</v>
      </c>
      <c r="H65">
        <v>90.2</v>
      </c>
      <c r="I65">
        <v>83.6</v>
      </c>
      <c r="N65">
        <v>11384</v>
      </c>
    </row>
    <row r="66" spans="1:14" x14ac:dyDescent="0.3">
      <c r="A66" t="s">
        <v>149</v>
      </c>
      <c r="B66" t="s">
        <v>71</v>
      </c>
      <c r="C66">
        <v>121.2</v>
      </c>
      <c r="D66">
        <v>96.7</v>
      </c>
      <c r="G66">
        <v>96.3</v>
      </c>
      <c r="H66">
        <v>87.3</v>
      </c>
      <c r="I66">
        <v>88.8</v>
      </c>
      <c r="J66">
        <v>82.1</v>
      </c>
      <c r="N66">
        <v>16162</v>
      </c>
    </row>
    <row r="67" spans="1:14" x14ac:dyDescent="0.3">
      <c r="A67" t="s">
        <v>920</v>
      </c>
      <c r="B67" t="s">
        <v>43</v>
      </c>
      <c r="C67">
        <v>40</v>
      </c>
      <c r="D67">
        <v>96.7</v>
      </c>
      <c r="H67">
        <v>87.2</v>
      </c>
      <c r="I67">
        <v>88.4</v>
      </c>
      <c r="J67">
        <v>82.2</v>
      </c>
      <c r="N67">
        <v>14552</v>
      </c>
    </row>
    <row r="68" spans="1:14" x14ac:dyDescent="0.3">
      <c r="A68" t="s">
        <v>919</v>
      </c>
      <c r="B68" t="s">
        <v>193</v>
      </c>
      <c r="C68">
        <v>14.2</v>
      </c>
      <c r="D68">
        <v>96.7</v>
      </c>
      <c r="I68">
        <v>87.9</v>
      </c>
      <c r="N68">
        <v>16507</v>
      </c>
    </row>
    <row r="69" spans="1:14" x14ac:dyDescent="0.3">
      <c r="A69" t="s">
        <v>918</v>
      </c>
      <c r="B69" t="s">
        <v>127</v>
      </c>
      <c r="C69">
        <v>18.100000000000001</v>
      </c>
      <c r="D69">
        <v>96.7</v>
      </c>
      <c r="H69">
        <v>88.1</v>
      </c>
      <c r="I69">
        <v>85.4</v>
      </c>
      <c r="J69">
        <v>82</v>
      </c>
      <c r="N69">
        <v>14169</v>
      </c>
    </row>
    <row r="70" spans="1:14" x14ac:dyDescent="0.3">
      <c r="A70" t="s">
        <v>917</v>
      </c>
      <c r="B70" t="s">
        <v>146</v>
      </c>
      <c r="C70">
        <v>41</v>
      </c>
      <c r="D70">
        <v>96.7</v>
      </c>
      <c r="H70">
        <v>87.9</v>
      </c>
      <c r="I70">
        <v>87</v>
      </c>
      <c r="N70">
        <v>14101</v>
      </c>
    </row>
    <row r="71" spans="1:14" x14ac:dyDescent="0.3">
      <c r="A71" t="s">
        <v>916</v>
      </c>
      <c r="B71" t="s">
        <v>50</v>
      </c>
      <c r="C71">
        <v>48.1</v>
      </c>
      <c r="D71">
        <v>96.6</v>
      </c>
      <c r="E71">
        <v>93.6</v>
      </c>
      <c r="G71">
        <v>94.3</v>
      </c>
      <c r="H71">
        <v>88.1</v>
      </c>
      <c r="I71">
        <v>86</v>
      </c>
      <c r="N71">
        <v>11682</v>
      </c>
    </row>
    <row r="72" spans="1:14" x14ac:dyDescent="0.3">
      <c r="A72" t="s">
        <v>915</v>
      </c>
      <c r="B72" t="s">
        <v>159</v>
      </c>
      <c r="C72">
        <v>35.1</v>
      </c>
      <c r="D72">
        <v>96.6</v>
      </c>
      <c r="G72">
        <v>95.9</v>
      </c>
      <c r="H72">
        <v>90.6</v>
      </c>
      <c r="I72">
        <v>86.9</v>
      </c>
      <c r="J72">
        <v>83.5</v>
      </c>
      <c r="N72">
        <v>6399</v>
      </c>
    </row>
    <row r="73" spans="1:14" x14ac:dyDescent="0.3">
      <c r="A73" t="s">
        <v>360</v>
      </c>
      <c r="B73" t="s">
        <v>43</v>
      </c>
      <c r="C73">
        <v>73</v>
      </c>
      <c r="D73">
        <v>96.6</v>
      </c>
      <c r="H73">
        <v>83.3</v>
      </c>
      <c r="I73">
        <v>84.7</v>
      </c>
      <c r="J73">
        <v>79.599999999999994</v>
      </c>
      <c r="N73">
        <v>18525</v>
      </c>
    </row>
    <row r="74" spans="1:14" x14ac:dyDescent="0.3">
      <c r="A74" t="s">
        <v>859</v>
      </c>
      <c r="B74" t="s">
        <v>48</v>
      </c>
      <c r="C74">
        <v>16.2</v>
      </c>
      <c r="D74">
        <v>96.6</v>
      </c>
      <c r="E74">
        <v>95.2</v>
      </c>
      <c r="H74">
        <v>90.2</v>
      </c>
      <c r="I74">
        <v>87</v>
      </c>
      <c r="N74">
        <v>7411</v>
      </c>
    </row>
    <row r="75" spans="1:14" x14ac:dyDescent="0.3">
      <c r="A75" t="s">
        <v>914</v>
      </c>
      <c r="B75" t="s">
        <v>83</v>
      </c>
      <c r="C75">
        <v>27.2</v>
      </c>
      <c r="D75">
        <v>96.6</v>
      </c>
      <c r="G75">
        <v>96</v>
      </c>
      <c r="H75">
        <v>88.8</v>
      </c>
      <c r="J75">
        <v>86.6</v>
      </c>
      <c r="N75">
        <v>17264</v>
      </c>
    </row>
    <row r="76" spans="1:14" x14ac:dyDescent="0.3">
      <c r="A76" t="s">
        <v>913</v>
      </c>
      <c r="B76" t="s">
        <v>30</v>
      </c>
      <c r="C76">
        <v>35</v>
      </c>
      <c r="D76">
        <v>96.6</v>
      </c>
      <c r="G76">
        <v>95.1</v>
      </c>
      <c r="H76">
        <v>90.1</v>
      </c>
      <c r="I76">
        <v>85.4</v>
      </c>
      <c r="N76">
        <v>19558</v>
      </c>
    </row>
    <row r="77" spans="1:14" x14ac:dyDescent="0.3">
      <c r="A77" t="s">
        <v>912</v>
      </c>
      <c r="B77" t="s">
        <v>30</v>
      </c>
      <c r="C77">
        <v>29.2</v>
      </c>
      <c r="D77">
        <v>96.6</v>
      </c>
      <c r="H77">
        <v>90.7</v>
      </c>
      <c r="J77">
        <v>82.2</v>
      </c>
      <c r="N77">
        <v>14696</v>
      </c>
    </row>
    <row r="78" spans="1:14" x14ac:dyDescent="0.3">
      <c r="A78" t="s">
        <v>219</v>
      </c>
      <c r="B78" t="s">
        <v>40</v>
      </c>
      <c r="C78">
        <v>69</v>
      </c>
      <c r="D78">
        <v>96.5</v>
      </c>
      <c r="F78">
        <v>88.7</v>
      </c>
      <c r="I78">
        <v>87.7</v>
      </c>
      <c r="N78">
        <v>15552</v>
      </c>
    </row>
    <row r="79" spans="1:14" x14ac:dyDescent="0.3">
      <c r="A79" t="s">
        <v>128</v>
      </c>
      <c r="B79" t="s">
        <v>98</v>
      </c>
      <c r="C79">
        <v>60.2</v>
      </c>
      <c r="D79">
        <v>96.5</v>
      </c>
      <c r="H79">
        <v>91.5</v>
      </c>
      <c r="I79">
        <v>84.5</v>
      </c>
      <c r="N79">
        <v>17181</v>
      </c>
    </row>
    <row r="80" spans="1:14" x14ac:dyDescent="0.3">
      <c r="A80" t="s">
        <v>911</v>
      </c>
      <c r="B80" t="s">
        <v>26</v>
      </c>
      <c r="C80">
        <v>8</v>
      </c>
      <c r="D80">
        <v>96.5</v>
      </c>
      <c r="F80">
        <v>83.9</v>
      </c>
      <c r="H80">
        <v>88.5</v>
      </c>
      <c r="J80">
        <v>81.7</v>
      </c>
      <c r="N80">
        <v>20039</v>
      </c>
    </row>
    <row r="81" spans="1:14" x14ac:dyDescent="0.3">
      <c r="A81" t="s">
        <v>124</v>
      </c>
      <c r="B81" t="s">
        <v>89</v>
      </c>
      <c r="C81">
        <v>190.2</v>
      </c>
      <c r="D81">
        <v>96.5</v>
      </c>
      <c r="G81">
        <v>96.5</v>
      </c>
      <c r="H81">
        <v>87.3</v>
      </c>
      <c r="I81">
        <v>85.9</v>
      </c>
      <c r="J81">
        <v>95.6</v>
      </c>
      <c r="N81">
        <v>15689</v>
      </c>
    </row>
    <row r="82" spans="1:14" x14ac:dyDescent="0.3">
      <c r="A82" t="s">
        <v>910</v>
      </c>
      <c r="B82" t="s">
        <v>50</v>
      </c>
      <c r="C82">
        <v>20.100000000000001</v>
      </c>
      <c r="D82">
        <v>96.4</v>
      </c>
      <c r="G82">
        <v>95.1</v>
      </c>
      <c r="H82">
        <v>88.4</v>
      </c>
      <c r="J82">
        <v>82.8</v>
      </c>
      <c r="N82">
        <v>17490</v>
      </c>
    </row>
    <row r="83" spans="1:14" x14ac:dyDescent="0.3">
      <c r="A83" t="s">
        <v>909</v>
      </c>
      <c r="B83" t="s">
        <v>71</v>
      </c>
      <c r="C83">
        <v>13.2</v>
      </c>
      <c r="D83">
        <v>96.4</v>
      </c>
      <c r="H83">
        <v>86.1</v>
      </c>
      <c r="I83">
        <v>90.5</v>
      </c>
      <c r="N83">
        <v>15816</v>
      </c>
    </row>
    <row r="84" spans="1:14" x14ac:dyDescent="0.3">
      <c r="A84" t="s">
        <v>60</v>
      </c>
      <c r="B84" t="s">
        <v>48</v>
      </c>
      <c r="C84">
        <v>73</v>
      </c>
      <c r="D84">
        <v>96.4</v>
      </c>
      <c r="G84">
        <v>95.9</v>
      </c>
      <c r="H84">
        <v>89</v>
      </c>
      <c r="I84">
        <v>86.9</v>
      </c>
      <c r="N84">
        <v>7146</v>
      </c>
    </row>
    <row r="85" spans="1:14" x14ac:dyDescent="0.3">
      <c r="A85" t="s">
        <v>908</v>
      </c>
      <c r="B85" t="s">
        <v>48</v>
      </c>
      <c r="C85">
        <v>13</v>
      </c>
      <c r="D85">
        <v>96.4</v>
      </c>
      <c r="G85">
        <v>96.5</v>
      </c>
      <c r="H85">
        <v>88.7</v>
      </c>
      <c r="I85">
        <v>85.5</v>
      </c>
      <c r="N85">
        <v>15007</v>
      </c>
    </row>
    <row r="86" spans="1:14" x14ac:dyDescent="0.3">
      <c r="A86" t="s">
        <v>907</v>
      </c>
      <c r="B86" t="s">
        <v>89</v>
      </c>
      <c r="C86">
        <v>16.100000000000001</v>
      </c>
      <c r="D86">
        <v>96.4</v>
      </c>
      <c r="G86">
        <v>96</v>
      </c>
      <c r="I86">
        <v>86.9</v>
      </c>
      <c r="N86">
        <v>13690</v>
      </c>
    </row>
    <row r="87" spans="1:14" x14ac:dyDescent="0.3">
      <c r="A87" t="s">
        <v>300</v>
      </c>
      <c r="B87" t="s">
        <v>38</v>
      </c>
      <c r="C87">
        <v>55.2</v>
      </c>
      <c r="D87">
        <v>96.4</v>
      </c>
      <c r="G87">
        <v>96.4</v>
      </c>
      <c r="H87">
        <v>87.8</v>
      </c>
      <c r="I87">
        <v>85.5</v>
      </c>
      <c r="N87">
        <v>5615</v>
      </c>
    </row>
    <row r="88" spans="1:14" x14ac:dyDescent="0.3">
      <c r="A88" t="s">
        <v>906</v>
      </c>
      <c r="B88" t="s">
        <v>89</v>
      </c>
      <c r="C88">
        <v>9.1999999999999993</v>
      </c>
      <c r="D88">
        <v>96.4</v>
      </c>
      <c r="G88">
        <v>95.9</v>
      </c>
      <c r="H88">
        <v>89.7</v>
      </c>
      <c r="I88">
        <v>86.2</v>
      </c>
      <c r="N88">
        <v>19995</v>
      </c>
    </row>
    <row r="89" spans="1:14" x14ac:dyDescent="0.3">
      <c r="A89" t="s">
        <v>905</v>
      </c>
      <c r="B89" t="s">
        <v>77</v>
      </c>
      <c r="C89">
        <v>20.2</v>
      </c>
      <c r="D89">
        <v>96.4</v>
      </c>
      <c r="J89">
        <v>86</v>
      </c>
      <c r="N89">
        <v>6655</v>
      </c>
    </row>
    <row r="90" spans="1:14" x14ac:dyDescent="0.3">
      <c r="A90" t="s">
        <v>904</v>
      </c>
      <c r="B90" t="s">
        <v>146</v>
      </c>
      <c r="C90">
        <v>26.1</v>
      </c>
      <c r="D90">
        <v>96.3</v>
      </c>
      <c r="G90">
        <v>95.6</v>
      </c>
      <c r="I90">
        <v>89.1</v>
      </c>
      <c r="N90">
        <v>17586</v>
      </c>
    </row>
    <row r="91" spans="1:14" x14ac:dyDescent="0.3">
      <c r="A91" t="s">
        <v>119</v>
      </c>
      <c r="B91" t="s">
        <v>48</v>
      </c>
      <c r="C91">
        <v>65</v>
      </c>
      <c r="D91">
        <v>96.3</v>
      </c>
      <c r="I91">
        <v>83.3</v>
      </c>
      <c r="N91">
        <v>18337</v>
      </c>
    </row>
    <row r="92" spans="1:14" x14ac:dyDescent="0.3">
      <c r="A92" t="s">
        <v>903</v>
      </c>
      <c r="B92" t="s">
        <v>77</v>
      </c>
      <c r="C92">
        <v>9.1</v>
      </c>
      <c r="D92">
        <v>96.3</v>
      </c>
      <c r="H92">
        <v>87.5</v>
      </c>
      <c r="I92">
        <v>84.9</v>
      </c>
      <c r="N92">
        <v>16440</v>
      </c>
    </row>
    <row r="93" spans="1:14" x14ac:dyDescent="0.3">
      <c r="A93" t="s">
        <v>374</v>
      </c>
      <c r="B93" t="s">
        <v>43</v>
      </c>
      <c r="C93">
        <v>51.1</v>
      </c>
      <c r="D93">
        <v>96.3</v>
      </c>
      <c r="E93">
        <v>92.2</v>
      </c>
      <c r="G93">
        <v>95.6</v>
      </c>
      <c r="H93">
        <v>88.9</v>
      </c>
      <c r="I93">
        <v>82.6</v>
      </c>
      <c r="J93">
        <v>85</v>
      </c>
      <c r="N93">
        <v>6033</v>
      </c>
    </row>
    <row r="94" spans="1:14" x14ac:dyDescent="0.3">
      <c r="A94" t="s">
        <v>902</v>
      </c>
      <c r="B94" t="s">
        <v>159</v>
      </c>
      <c r="C94">
        <v>15.1</v>
      </c>
      <c r="D94">
        <v>96.3</v>
      </c>
      <c r="F94">
        <v>88.3</v>
      </c>
      <c r="I94">
        <v>91.1</v>
      </c>
      <c r="J94">
        <v>85.8</v>
      </c>
      <c r="N94">
        <v>16866</v>
      </c>
    </row>
    <row r="95" spans="1:14" x14ac:dyDescent="0.3">
      <c r="A95" t="s">
        <v>176</v>
      </c>
      <c r="B95" t="s">
        <v>75</v>
      </c>
      <c r="C95">
        <v>72.2</v>
      </c>
      <c r="D95">
        <v>96.3</v>
      </c>
      <c r="H95">
        <v>83</v>
      </c>
      <c r="I95">
        <v>87.8</v>
      </c>
      <c r="J95">
        <v>83.9</v>
      </c>
      <c r="N95">
        <v>11752</v>
      </c>
    </row>
    <row r="96" spans="1:14" x14ac:dyDescent="0.3">
      <c r="A96" t="s">
        <v>163</v>
      </c>
      <c r="B96" t="s">
        <v>77</v>
      </c>
      <c r="C96">
        <v>76.2</v>
      </c>
      <c r="D96">
        <v>96.3</v>
      </c>
      <c r="E96">
        <v>90.3</v>
      </c>
      <c r="G96">
        <v>95.8</v>
      </c>
      <c r="H96">
        <v>87.8</v>
      </c>
      <c r="J96">
        <v>81.400000000000006</v>
      </c>
      <c r="N96">
        <v>4338</v>
      </c>
    </row>
    <row r="97" spans="1:14" x14ac:dyDescent="0.3">
      <c r="A97" t="s">
        <v>351</v>
      </c>
      <c r="B97" t="s">
        <v>26</v>
      </c>
      <c r="C97">
        <v>51</v>
      </c>
      <c r="D97">
        <v>96.3</v>
      </c>
      <c r="E97">
        <v>86</v>
      </c>
      <c r="I97">
        <v>86.1</v>
      </c>
      <c r="N97">
        <v>17793</v>
      </c>
    </row>
    <row r="98" spans="1:14" x14ac:dyDescent="0.3">
      <c r="A98" t="s">
        <v>901</v>
      </c>
      <c r="B98" t="s">
        <v>83</v>
      </c>
      <c r="C98">
        <v>24.1</v>
      </c>
      <c r="D98">
        <v>96.3</v>
      </c>
      <c r="G98">
        <v>96.1</v>
      </c>
      <c r="I98">
        <v>85.5</v>
      </c>
      <c r="N98">
        <v>14665</v>
      </c>
    </row>
    <row r="99" spans="1:14" x14ac:dyDescent="0.3">
      <c r="A99" t="s">
        <v>150</v>
      </c>
      <c r="B99" t="s">
        <v>50</v>
      </c>
      <c r="C99">
        <v>66.099999999999994</v>
      </c>
      <c r="D99">
        <v>96.2</v>
      </c>
      <c r="E99">
        <v>90.5</v>
      </c>
      <c r="G99">
        <v>96.1</v>
      </c>
      <c r="H99">
        <v>83.4</v>
      </c>
      <c r="I99">
        <v>92.6</v>
      </c>
      <c r="J99">
        <v>77.400000000000006</v>
      </c>
      <c r="N99">
        <v>13684</v>
      </c>
    </row>
    <row r="100" spans="1:14" x14ac:dyDescent="0.3">
      <c r="A100" t="s">
        <v>900</v>
      </c>
      <c r="B100" t="s">
        <v>75</v>
      </c>
      <c r="C100">
        <v>29</v>
      </c>
      <c r="D100">
        <v>96.2</v>
      </c>
      <c r="H100">
        <v>93.4</v>
      </c>
      <c r="I100">
        <v>84.8</v>
      </c>
      <c r="N100">
        <v>17470</v>
      </c>
    </row>
    <row r="101" spans="1:14" x14ac:dyDescent="0.3">
      <c r="A101" t="s">
        <v>273</v>
      </c>
      <c r="B101" t="s">
        <v>48</v>
      </c>
      <c r="C101">
        <v>62</v>
      </c>
      <c r="D101">
        <v>96.2</v>
      </c>
      <c r="G101">
        <v>96</v>
      </c>
      <c r="H101">
        <v>90.5</v>
      </c>
      <c r="I101">
        <v>85.4</v>
      </c>
      <c r="J101">
        <v>85</v>
      </c>
      <c r="N101">
        <v>5003</v>
      </c>
    </row>
    <row r="102" spans="1:14" x14ac:dyDescent="0.3">
      <c r="A102" t="s">
        <v>123</v>
      </c>
      <c r="B102" t="s">
        <v>48</v>
      </c>
      <c r="C102">
        <v>55.2</v>
      </c>
      <c r="D102">
        <v>96.2</v>
      </c>
      <c r="E102">
        <v>91</v>
      </c>
      <c r="F102">
        <v>89.1</v>
      </c>
      <c r="G102">
        <v>95.6</v>
      </c>
      <c r="I102">
        <v>86.2</v>
      </c>
      <c r="N102">
        <v>11847</v>
      </c>
    </row>
    <row r="103" spans="1:14" x14ac:dyDescent="0.3">
      <c r="A103" t="s">
        <v>899</v>
      </c>
      <c r="B103" t="s">
        <v>93</v>
      </c>
      <c r="C103">
        <v>0.2</v>
      </c>
      <c r="D103">
        <v>96.2</v>
      </c>
      <c r="H103">
        <v>89.5</v>
      </c>
      <c r="J103">
        <v>84.1</v>
      </c>
      <c r="N103">
        <v>16668</v>
      </c>
    </row>
    <row r="104" spans="1:14" x14ac:dyDescent="0.3">
      <c r="A104" t="s">
        <v>898</v>
      </c>
      <c r="B104" t="s">
        <v>53</v>
      </c>
      <c r="C104">
        <v>21.1</v>
      </c>
      <c r="D104">
        <v>96.2</v>
      </c>
      <c r="G104">
        <v>96.1</v>
      </c>
      <c r="I104">
        <v>86.9</v>
      </c>
      <c r="N104">
        <v>13767</v>
      </c>
    </row>
    <row r="105" spans="1:14" x14ac:dyDescent="0.3">
      <c r="A105" t="s">
        <v>177</v>
      </c>
      <c r="B105" t="s">
        <v>46</v>
      </c>
      <c r="C105">
        <v>150</v>
      </c>
      <c r="D105">
        <v>96.1</v>
      </c>
      <c r="G105">
        <v>95.5</v>
      </c>
      <c r="H105">
        <v>86.7</v>
      </c>
      <c r="I105">
        <v>88.5</v>
      </c>
      <c r="J105">
        <v>78.7</v>
      </c>
      <c r="N105">
        <v>14916</v>
      </c>
    </row>
    <row r="106" spans="1:14" x14ac:dyDescent="0.3">
      <c r="A106" t="s">
        <v>897</v>
      </c>
      <c r="B106" t="s">
        <v>127</v>
      </c>
      <c r="C106">
        <v>19.100000000000001</v>
      </c>
      <c r="D106">
        <v>96.1</v>
      </c>
      <c r="J106">
        <v>81.8</v>
      </c>
      <c r="N106">
        <v>18335</v>
      </c>
    </row>
    <row r="107" spans="1:14" x14ac:dyDescent="0.3">
      <c r="A107" t="s">
        <v>896</v>
      </c>
      <c r="B107" t="s">
        <v>26</v>
      </c>
      <c r="C107">
        <v>29.2</v>
      </c>
      <c r="D107">
        <v>96.1</v>
      </c>
      <c r="H107">
        <v>86.1</v>
      </c>
      <c r="J107">
        <v>82.5</v>
      </c>
      <c r="N107">
        <v>20100</v>
      </c>
    </row>
    <row r="108" spans="1:14" x14ac:dyDescent="0.3">
      <c r="A108" t="s">
        <v>208</v>
      </c>
      <c r="B108" t="s">
        <v>26</v>
      </c>
      <c r="C108">
        <v>73</v>
      </c>
      <c r="D108">
        <v>96.1</v>
      </c>
      <c r="G108">
        <v>96.4</v>
      </c>
      <c r="H108">
        <v>92.3</v>
      </c>
      <c r="I108">
        <v>85.8</v>
      </c>
      <c r="N108">
        <v>17186</v>
      </c>
    </row>
    <row r="109" spans="1:14" x14ac:dyDescent="0.3">
      <c r="A109" t="s">
        <v>895</v>
      </c>
      <c r="B109" t="s">
        <v>143</v>
      </c>
      <c r="C109">
        <v>29</v>
      </c>
      <c r="D109">
        <v>96</v>
      </c>
      <c r="G109">
        <v>95.4</v>
      </c>
      <c r="H109">
        <v>90</v>
      </c>
      <c r="I109">
        <v>85.2</v>
      </c>
      <c r="N109">
        <v>12760</v>
      </c>
    </row>
    <row r="110" spans="1:14" x14ac:dyDescent="0.3">
      <c r="A110" t="s">
        <v>359</v>
      </c>
      <c r="B110" t="s">
        <v>159</v>
      </c>
      <c r="C110">
        <v>57.2</v>
      </c>
      <c r="D110">
        <v>96</v>
      </c>
      <c r="G110">
        <v>95.7</v>
      </c>
      <c r="H110">
        <v>88.4</v>
      </c>
      <c r="I110">
        <v>85.3</v>
      </c>
      <c r="N110">
        <v>19677</v>
      </c>
    </row>
    <row r="111" spans="1:14" x14ac:dyDescent="0.3">
      <c r="A111" t="s">
        <v>894</v>
      </c>
      <c r="B111" t="s">
        <v>48</v>
      </c>
      <c r="C111">
        <v>24.1</v>
      </c>
      <c r="D111">
        <v>96</v>
      </c>
      <c r="E111">
        <v>91.1</v>
      </c>
      <c r="G111">
        <v>95.4</v>
      </c>
      <c r="H111">
        <v>89.5</v>
      </c>
      <c r="I111">
        <v>83.6</v>
      </c>
      <c r="N111">
        <v>7836</v>
      </c>
    </row>
    <row r="112" spans="1:14" x14ac:dyDescent="0.3">
      <c r="A112" t="s">
        <v>893</v>
      </c>
      <c r="B112" t="s">
        <v>75</v>
      </c>
      <c r="C112">
        <v>29.1</v>
      </c>
      <c r="D112">
        <v>96</v>
      </c>
      <c r="H112">
        <v>86</v>
      </c>
      <c r="I112">
        <v>91.5</v>
      </c>
      <c r="N112">
        <v>18655</v>
      </c>
    </row>
    <row r="113" spans="1:14" x14ac:dyDescent="0.3">
      <c r="A113" t="s">
        <v>105</v>
      </c>
      <c r="B113" t="s">
        <v>53</v>
      </c>
      <c r="C113">
        <v>69.2</v>
      </c>
      <c r="D113">
        <v>96</v>
      </c>
      <c r="H113">
        <v>86.4</v>
      </c>
      <c r="I113">
        <v>86.5</v>
      </c>
      <c r="J113">
        <v>86.5</v>
      </c>
      <c r="N113">
        <v>5420</v>
      </c>
    </row>
    <row r="114" spans="1:14" x14ac:dyDescent="0.3">
      <c r="A114" t="s">
        <v>892</v>
      </c>
      <c r="B114" t="s">
        <v>89</v>
      </c>
      <c r="C114">
        <v>3.2</v>
      </c>
      <c r="D114">
        <v>96</v>
      </c>
      <c r="G114">
        <v>94.8</v>
      </c>
      <c r="H114">
        <v>87.6</v>
      </c>
      <c r="J114">
        <v>82</v>
      </c>
      <c r="N114">
        <v>15964</v>
      </c>
    </row>
    <row r="115" spans="1:14" x14ac:dyDescent="0.3">
      <c r="A115" t="s">
        <v>891</v>
      </c>
      <c r="B115" t="s">
        <v>58</v>
      </c>
      <c r="C115">
        <v>22</v>
      </c>
      <c r="D115">
        <v>96</v>
      </c>
      <c r="G115">
        <v>94.7</v>
      </c>
      <c r="H115">
        <v>87.8</v>
      </c>
      <c r="I115">
        <v>82.4</v>
      </c>
      <c r="N115">
        <v>15203</v>
      </c>
    </row>
    <row r="116" spans="1:14" x14ac:dyDescent="0.3">
      <c r="A116" t="s">
        <v>890</v>
      </c>
      <c r="B116" t="s">
        <v>77</v>
      </c>
      <c r="C116">
        <v>33.1</v>
      </c>
      <c r="D116">
        <v>96</v>
      </c>
      <c r="E116">
        <v>92.2</v>
      </c>
      <c r="I116">
        <v>84</v>
      </c>
      <c r="J116">
        <v>77</v>
      </c>
      <c r="N116">
        <v>14646</v>
      </c>
    </row>
    <row r="117" spans="1:14" x14ac:dyDescent="0.3">
      <c r="A117" t="s">
        <v>889</v>
      </c>
      <c r="B117" t="s">
        <v>28</v>
      </c>
      <c r="C117">
        <v>5.0999999999999996</v>
      </c>
      <c r="D117">
        <v>96</v>
      </c>
      <c r="I117">
        <v>86.1</v>
      </c>
      <c r="N117">
        <v>13058</v>
      </c>
    </row>
    <row r="118" spans="1:14" x14ac:dyDescent="0.3">
      <c r="A118" t="s">
        <v>99</v>
      </c>
      <c r="B118" t="s">
        <v>66</v>
      </c>
      <c r="C118">
        <v>64.099999999999994</v>
      </c>
      <c r="D118">
        <v>95.9</v>
      </c>
      <c r="H118">
        <v>87.9</v>
      </c>
      <c r="I118">
        <v>84.2</v>
      </c>
      <c r="J118">
        <v>80.3</v>
      </c>
      <c r="N118">
        <v>6398</v>
      </c>
    </row>
    <row r="119" spans="1:14" x14ac:dyDescent="0.3">
      <c r="A119" t="s">
        <v>888</v>
      </c>
      <c r="B119" t="s">
        <v>53</v>
      </c>
      <c r="C119">
        <v>5</v>
      </c>
      <c r="D119">
        <v>95.9</v>
      </c>
      <c r="E119">
        <v>90.2</v>
      </c>
      <c r="I119">
        <v>87.8</v>
      </c>
      <c r="J119">
        <v>81.900000000000006</v>
      </c>
      <c r="N119">
        <v>15066</v>
      </c>
    </row>
    <row r="120" spans="1:14" x14ac:dyDescent="0.3">
      <c r="A120" t="s">
        <v>887</v>
      </c>
      <c r="B120" t="s">
        <v>30</v>
      </c>
      <c r="C120">
        <v>9.1</v>
      </c>
      <c r="D120">
        <v>95.9</v>
      </c>
      <c r="E120">
        <v>92</v>
      </c>
      <c r="H120">
        <v>91.7</v>
      </c>
      <c r="J120">
        <v>84.4</v>
      </c>
      <c r="N120">
        <v>11604</v>
      </c>
    </row>
    <row r="121" spans="1:14" x14ac:dyDescent="0.3">
      <c r="A121" t="s">
        <v>886</v>
      </c>
      <c r="B121" t="s">
        <v>48</v>
      </c>
      <c r="C121">
        <v>39.200000000000003</v>
      </c>
      <c r="D121">
        <v>95.9</v>
      </c>
      <c r="G121">
        <v>95.1</v>
      </c>
      <c r="H121">
        <v>87.6</v>
      </c>
      <c r="I121">
        <v>87.6</v>
      </c>
      <c r="N121">
        <v>14295</v>
      </c>
    </row>
    <row r="122" spans="1:14" x14ac:dyDescent="0.3">
      <c r="A122" t="s">
        <v>885</v>
      </c>
      <c r="B122" t="s">
        <v>75</v>
      </c>
      <c r="C122">
        <v>4</v>
      </c>
      <c r="D122">
        <v>95.9</v>
      </c>
      <c r="J122">
        <v>83.2</v>
      </c>
      <c r="N122">
        <v>5498</v>
      </c>
    </row>
    <row r="123" spans="1:14" x14ac:dyDescent="0.3">
      <c r="A123" t="s">
        <v>70</v>
      </c>
      <c r="B123" t="s">
        <v>71</v>
      </c>
      <c r="C123">
        <v>75.2</v>
      </c>
      <c r="D123">
        <v>95.9</v>
      </c>
      <c r="H123">
        <v>89.6</v>
      </c>
      <c r="I123">
        <v>82.1</v>
      </c>
      <c r="N123">
        <v>14212</v>
      </c>
    </row>
    <row r="124" spans="1:14" x14ac:dyDescent="0.3">
      <c r="A124" t="s">
        <v>181</v>
      </c>
      <c r="B124" t="s">
        <v>102</v>
      </c>
      <c r="C124">
        <v>197.1</v>
      </c>
      <c r="D124">
        <v>95.9</v>
      </c>
      <c r="E124">
        <v>93.6</v>
      </c>
      <c r="G124">
        <v>95.6</v>
      </c>
      <c r="H124">
        <v>89.5</v>
      </c>
      <c r="I124">
        <v>86.1</v>
      </c>
      <c r="J124">
        <v>81.3</v>
      </c>
      <c r="N124">
        <v>18684</v>
      </c>
    </row>
    <row r="125" spans="1:14" x14ac:dyDescent="0.3">
      <c r="A125" t="s">
        <v>108</v>
      </c>
      <c r="B125" t="s">
        <v>89</v>
      </c>
      <c r="C125">
        <v>56</v>
      </c>
      <c r="D125">
        <v>95.9</v>
      </c>
      <c r="G125">
        <v>95.4</v>
      </c>
      <c r="H125">
        <v>85.6</v>
      </c>
      <c r="I125">
        <v>86</v>
      </c>
      <c r="N125">
        <v>14375</v>
      </c>
    </row>
    <row r="126" spans="1:14" x14ac:dyDescent="0.3">
      <c r="A126" t="s">
        <v>228</v>
      </c>
      <c r="B126" t="s">
        <v>32</v>
      </c>
      <c r="C126">
        <v>107</v>
      </c>
      <c r="D126">
        <v>95.9</v>
      </c>
      <c r="H126">
        <v>86.7</v>
      </c>
      <c r="I126">
        <v>87.6</v>
      </c>
      <c r="J126">
        <v>81.3</v>
      </c>
      <c r="N126">
        <v>13543</v>
      </c>
    </row>
    <row r="127" spans="1:14" x14ac:dyDescent="0.3">
      <c r="A127" t="s">
        <v>884</v>
      </c>
      <c r="B127" t="s">
        <v>40</v>
      </c>
      <c r="C127">
        <v>12</v>
      </c>
      <c r="D127">
        <v>95.9</v>
      </c>
      <c r="H127">
        <v>88</v>
      </c>
      <c r="I127">
        <v>83.8</v>
      </c>
      <c r="N127">
        <v>15890</v>
      </c>
    </row>
    <row r="128" spans="1:14" x14ac:dyDescent="0.3">
      <c r="A128" t="s">
        <v>883</v>
      </c>
      <c r="B128" t="s">
        <v>53</v>
      </c>
      <c r="C128">
        <v>34.200000000000003</v>
      </c>
      <c r="D128">
        <v>95.8</v>
      </c>
      <c r="E128">
        <v>90.9</v>
      </c>
      <c r="G128">
        <v>96.2</v>
      </c>
      <c r="H128">
        <v>87</v>
      </c>
      <c r="I128">
        <v>90.8</v>
      </c>
      <c r="J128">
        <v>83.2</v>
      </c>
      <c r="N128">
        <v>19716</v>
      </c>
    </row>
    <row r="129" spans="1:14" x14ac:dyDescent="0.3">
      <c r="A129" t="s">
        <v>51</v>
      </c>
      <c r="B129" t="s">
        <v>32</v>
      </c>
      <c r="C129">
        <v>70</v>
      </c>
      <c r="D129">
        <v>95.8</v>
      </c>
      <c r="I129">
        <v>87.8</v>
      </c>
      <c r="J129">
        <v>80.900000000000006</v>
      </c>
      <c r="N129">
        <v>14771</v>
      </c>
    </row>
    <row r="130" spans="1:14" x14ac:dyDescent="0.3">
      <c r="A130" t="s">
        <v>136</v>
      </c>
      <c r="B130" t="s">
        <v>98</v>
      </c>
      <c r="C130">
        <v>71.2</v>
      </c>
      <c r="D130">
        <v>95.8</v>
      </c>
      <c r="G130">
        <v>95.2</v>
      </c>
      <c r="H130">
        <v>88.8</v>
      </c>
      <c r="I130">
        <v>0</v>
      </c>
      <c r="J130">
        <v>82.3</v>
      </c>
      <c r="N130">
        <v>12918</v>
      </c>
    </row>
    <row r="131" spans="1:14" x14ac:dyDescent="0.3">
      <c r="A131" t="s">
        <v>882</v>
      </c>
      <c r="B131" t="s">
        <v>46</v>
      </c>
      <c r="C131">
        <v>34</v>
      </c>
      <c r="D131">
        <v>95.8</v>
      </c>
      <c r="H131">
        <v>89.2</v>
      </c>
      <c r="I131">
        <v>85.9</v>
      </c>
      <c r="N131">
        <v>15068</v>
      </c>
    </row>
    <row r="132" spans="1:14" x14ac:dyDescent="0.3">
      <c r="A132" t="s">
        <v>54</v>
      </c>
      <c r="B132" t="s">
        <v>28</v>
      </c>
      <c r="C132">
        <v>54.1</v>
      </c>
      <c r="D132">
        <v>95.8</v>
      </c>
      <c r="G132">
        <v>90</v>
      </c>
      <c r="I132">
        <v>90.3</v>
      </c>
      <c r="J132">
        <v>83.1</v>
      </c>
      <c r="N132">
        <v>7005</v>
      </c>
    </row>
    <row r="133" spans="1:14" x14ac:dyDescent="0.3">
      <c r="A133" t="s">
        <v>881</v>
      </c>
      <c r="B133" t="s">
        <v>83</v>
      </c>
      <c r="C133">
        <v>5.0999999999999996</v>
      </c>
      <c r="D133">
        <v>95.8</v>
      </c>
      <c r="H133">
        <v>86.1</v>
      </c>
      <c r="I133">
        <v>87</v>
      </c>
      <c r="N133">
        <v>11896</v>
      </c>
    </row>
    <row r="134" spans="1:14" x14ac:dyDescent="0.3">
      <c r="A134" t="s">
        <v>880</v>
      </c>
      <c r="B134" t="s">
        <v>193</v>
      </c>
      <c r="C134">
        <v>48</v>
      </c>
      <c r="D134">
        <v>95.8</v>
      </c>
      <c r="F134">
        <v>86.8</v>
      </c>
      <c r="G134">
        <v>95.6</v>
      </c>
      <c r="I134">
        <v>87.5</v>
      </c>
      <c r="N134">
        <v>7982</v>
      </c>
    </row>
    <row r="135" spans="1:14" x14ac:dyDescent="0.3">
      <c r="A135" t="s">
        <v>336</v>
      </c>
      <c r="B135" t="s">
        <v>43</v>
      </c>
      <c r="C135">
        <v>184</v>
      </c>
      <c r="D135">
        <v>95.8</v>
      </c>
      <c r="E135">
        <v>96.9</v>
      </c>
      <c r="G135">
        <v>95.9</v>
      </c>
      <c r="H135">
        <v>84.4</v>
      </c>
      <c r="I135">
        <v>84.3</v>
      </c>
      <c r="J135">
        <v>77.900000000000006</v>
      </c>
      <c r="N135">
        <v>16400</v>
      </c>
    </row>
    <row r="136" spans="1:14" x14ac:dyDescent="0.3">
      <c r="A136" t="s">
        <v>353</v>
      </c>
      <c r="B136" t="s">
        <v>58</v>
      </c>
      <c r="C136">
        <v>60</v>
      </c>
      <c r="D136">
        <v>95.8</v>
      </c>
      <c r="F136">
        <v>92.6</v>
      </c>
      <c r="G136">
        <v>96.1</v>
      </c>
      <c r="I136">
        <v>88.3</v>
      </c>
      <c r="N136">
        <v>5114</v>
      </c>
    </row>
    <row r="137" spans="1:14" x14ac:dyDescent="0.3">
      <c r="A137" t="s">
        <v>879</v>
      </c>
      <c r="B137" t="s">
        <v>48</v>
      </c>
      <c r="C137">
        <v>22</v>
      </c>
      <c r="D137">
        <v>95.7</v>
      </c>
      <c r="H137">
        <v>84.7</v>
      </c>
      <c r="I137">
        <v>83.2</v>
      </c>
      <c r="N137">
        <v>12106</v>
      </c>
    </row>
    <row r="138" spans="1:14" x14ac:dyDescent="0.3">
      <c r="A138" t="s">
        <v>878</v>
      </c>
      <c r="B138" t="s">
        <v>95</v>
      </c>
      <c r="C138">
        <v>5.0999999999999996</v>
      </c>
      <c r="D138">
        <v>95.7</v>
      </c>
      <c r="E138">
        <v>91.2</v>
      </c>
      <c r="G138">
        <v>94.3</v>
      </c>
      <c r="J138">
        <v>83.6</v>
      </c>
      <c r="N138">
        <v>1157</v>
      </c>
    </row>
    <row r="139" spans="1:14" x14ac:dyDescent="0.3">
      <c r="A139" t="s">
        <v>877</v>
      </c>
      <c r="B139" t="s">
        <v>43</v>
      </c>
      <c r="C139">
        <v>19.2</v>
      </c>
      <c r="D139">
        <v>95.7</v>
      </c>
      <c r="E139">
        <v>87.7</v>
      </c>
      <c r="F139">
        <v>82.2</v>
      </c>
      <c r="I139">
        <v>84.7</v>
      </c>
      <c r="L139">
        <v>90.8</v>
      </c>
      <c r="N139">
        <v>17536</v>
      </c>
    </row>
    <row r="140" spans="1:14" x14ac:dyDescent="0.3">
      <c r="A140" t="s">
        <v>289</v>
      </c>
      <c r="B140" t="s">
        <v>46</v>
      </c>
      <c r="C140">
        <v>174</v>
      </c>
      <c r="D140">
        <v>95.7</v>
      </c>
      <c r="G140">
        <v>94.5</v>
      </c>
      <c r="H140">
        <v>88.2</v>
      </c>
      <c r="I140">
        <v>87.3</v>
      </c>
      <c r="J140">
        <v>84.8</v>
      </c>
      <c r="N140">
        <v>15038</v>
      </c>
    </row>
    <row r="141" spans="1:14" x14ac:dyDescent="0.3">
      <c r="A141" t="s">
        <v>264</v>
      </c>
      <c r="B141" t="s">
        <v>146</v>
      </c>
      <c r="C141">
        <v>63</v>
      </c>
      <c r="D141">
        <v>95.7</v>
      </c>
      <c r="H141">
        <v>85.1</v>
      </c>
      <c r="I141">
        <v>87.6</v>
      </c>
      <c r="N141">
        <v>10430</v>
      </c>
    </row>
    <row r="142" spans="1:14" x14ac:dyDescent="0.3">
      <c r="A142" t="s">
        <v>175</v>
      </c>
      <c r="B142" t="s">
        <v>40</v>
      </c>
      <c r="C142">
        <v>150.19999999999999</v>
      </c>
      <c r="D142">
        <v>95.7</v>
      </c>
      <c r="E142">
        <v>88.2</v>
      </c>
      <c r="G142">
        <v>95.1</v>
      </c>
      <c r="H142">
        <v>86.3</v>
      </c>
      <c r="J142">
        <v>81.2</v>
      </c>
      <c r="N142">
        <v>11828</v>
      </c>
    </row>
    <row r="143" spans="1:14" x14ac:dyDescent="0.3">
      <c r="A143" t="s">
        <v>277</v>
      </c>
      <c r="B143" t="s">
        <v>58</v>
      </c>
      <c r="C143">
        <v>63.2</v>
      </c>
      <c r="D143">
        <v>95.7</v>
      </c>
      <c r="G143">
        <v>95.6</v>
      </c>
      <c r="H143">
        <v>87.6</v>
      </c>
      <c r="I143">
        <v>90.7</v>
      </c>
      <c r="J143">
        <v>81.7</v>
      </c>
      <c r="N143">
        <v>13696</v>
      </c>
    </row>
    <row r="144" spans="1:14" x14ac:dyDescent="0.3">
      <c r="A144" t="s">
        <v>876</v>
      </c>
      <c r="B144" t="s">
        <v>32</v>
      </c>
      <c r="C144">
        <v>2.1</v>
      </c>
      <c r="D144">
        <v>95.7</v>
      </c>
      <c r="G144">
        <v>94.9</v>
      </c>
      <c r="H144">
        <v>86.7</v>
      </c>
      <c r="N144">
        <v>16318</v>
      </c>
    </row>
    <row r="145" spans="1:14" x14ac:dyDescent="0.3">
      <c r="A145" t="s">
        <v>380</v>
      </c>
      <c r="B145" t="s">
        <v>102</v>
      </c>
      <c r="C145">
        <v>60.2</v>
      </c>
      <c r="D145">
        <v>95.7</v>
      </c>
      <c r="E145">
        <v>87.2</v>
      </c>
      <c r="G145">
        <v>95.4</v>
      </c>
      <c r="H145">
        <v>86.8</v>
      </c>
      <c r="I145">
        <v>85.9</v>
      </c>
      <c r="J145">
        <v>83.2</v>
      </c>
      <c r="N145">
        <v>14457</v>
      </c>
    </row>
    <row r="146" spans="1:14" x14ac:dyDescent="0.3">
      <c r="A146" t="s">
        <v>875</v>
      </c>
      <c r="B146" t="s">
        <v>71</v>
      </c>
      <c r="C146">
        <v>14.2</v>
      </c>
      <c r="D146">
        <v>95.6</v>
      </c>
      <c r="G146">
        <v>95.1</v>
      </c>
      <c r="H146">
        <v>90.1</v>
      </c>
      <c r="I146">
        <v>86.6</v>
      </c>
      <c r="N146">
        <v>14899</v>
      </c>
    </row>
    <row r="147" spans="1:14" x14ac:dyDescent="0.3">
      <c r="A147" t="s">
        <v>80</v>
      </c>
      <c r="B147" t="s">
        <v>56</v>
      </c>
      <c r="C147">
        <v>126</v>
      </c>
      <c r="D147">
        <v>95.6</v>
      </c>
      <c r="H147">
        <v>87.4</v>
      </c>
      <c r="I147">
        <v>80.900000000000006</v>
      </c>
      <c r="J147">
        <v>77.7</v>
      </c>
      <c r="N147">
        <v>12808</v>
      </c>
    </row>
    <row r="148" spans="1:14" x14ac:dyDescent="0.3">
      <c r="A148" t="s">
        <v>217</v>
      </c>
      <c r="B148" t="s">
        <v>89</v>
      </c>
      <c r="C148">
        <v>67</v>
      </c>
      <c r="D148">
        <v>95.6</v>
      </c>
      <c r="G148">
        <v>95.2</v>
      </c>
      <c r="H148">
        <v>89.2</v>
      </c>
      <c r="I148">
        <v>84.1</v>
      </c>
      <c r="N148">
        <v>17130</v>
      </c>
    </row>
    <row r="149" spans="1:14" x14ac:dyDescent="0.3">
      <c r="A149" t="s">
        <v>874</v>
      </c>
      <c r="B149" t="s">
        <v>71</v>
      </c>
      <c r="C149">
        <v>49</v>
      </c>
      <c r="D149">
        <v>95.6</v>
      </c>
      <c r="G149">
        <v>96</v>
      </c>
      <c r="H149">
        <v>91.2</v>
      </c>
      <c r="I149">
        <v>88.2</v>
      </c>
      <c r="J149">
        <v>81.7</v>
      </c>
      <c r="N149">
        <v>19361</v>
      </c>
    </row>
    <row r="150" spans="1:14" x14ac:dyDescent="0.3">
      <c r="A150" t="s">
        <v>873</v>
      </c>
      <c r="B150" t="s">
        <v>38</v>
      </c>
      <c r="C150">
        <v>30.1</v>
      </c>
      <c r="D150">
        <v>95.6</v>
      </c>
      <c r="I150">
        <v>82.9</v>
      </c>
      <c r="J150">
        <v>77.3</v>
      </c>
      <c r="N150">
        <v>19848</v>
      </c>
    </row>
    <row r="151" spans="1:14" x14ac:dyDescent="0.3">
      <c r="A151" t="s">
        <v>209</v>
      </c>
      <c r="B151" t="s">
        <v>48</v>
      </c>
      <c r="C151">
        <v>50.2</v>
      </c>
      <c r="D151">
        <v>95.6</v>
      </c>
      <c r="I151">
        <v>89</v>
      </c>
      <c r="J151">
        <v>86.3</v>
      </c>
      <c r="N151">
        <v>3950</v>
      </c>
    </row>
    <row r="152" spans="1:14" x14ac:dyDescent="0.3">
      <c r="A152" t="s">
        <v>238</v>
      </c>
      <c r="B152" t="s">
        <v>159</v>
      </c>
      <c r="C152">
        <v>59.2</v>
      </c>
      <c r="D152">
        <v>95.5</v>
      </c>
      <c r="H152">
        <v>89.7</v>
      </c>
      <c r="I152">
        <v>86.5</v>
      </c>
      <c r="N152">
        <v>15761</v>
      </c>
    </row>
    <row r="153" spans="1:14" x14ac:dyDescent="0.3">
      <c r="A153" t="s">
        <v>872</v>
      </c>
      <c r="B153" t="s">
        <v>143</v>
      </c>
      <c r="C153">
        <v>22.1</v>
      </c>
      <c r="D153">
        <v>95.5</v>
      </c>
      <c r="E153">
        <v>90.6</v>
      </c>
      <c r="G153">
        <v>95.8</v>
      </c>
      <c r="H153">
        <v>85.9</v>
      </c>
      <c r="I153">
        <v>87.3</v>
      </c>
      <c r="J153">
        <v>78.5</v>
      </c>
      <c r="N153">
        <v>19285</v>
      </c>
    </row>
    <row r="154" spans="1:14" x14ac:dyDescent="0.3">
      <c r="A154" t="s">
        <v>41</v>
      </c>
      <c r="B154" t="s">
        <v>40</v>
      </c>
      <c r="C154">
        <v>61.1</v>
      </c>
      <c r="D154">
        <v>95.5</v>
      </c>
      <c r="G154">
        <v>94.8</v>
      </c>
      <c r="J154">
        <v>80.599999999999994</v>
      </c>
      <c r="N154">
        <v>3240</v>
      </c>
    </row>
    <row r="155" spans="1:14" x14ac:dyDescent="0.3">
      <c r="A155" t="s">
        <v>871</v>
      </c>
      <c r="B155" t="s">
        <v>28</v>
      </c>
      <c r="C155">
        <v>19.100000000000001</v>
      </c>
      <c r="D155">
        <v>95.5</v>
      </c>
      <c r="H155">
        <v>87.5</v>
      </c>
      <c r="I155">
        <v>89.2</v>
      </c>
      <c r="J155">
        <v>83.8</v>
      </c>
      <c r="N155">
        <v>19884</v>
      </c>
    </row>
    <row r="156" spans="1:14" x14ac:dyDescent="0.3">
      <c r="A156" t="s">
        <v>870</v>
      </c>
      <c r="B156" t="s">
        <v>93</v>
      </c>
      <c r="C156">
        <v>5</v>
      </c>
      <c r="D156">
        <v>95.5</v>
      </c>
      <c r="H156">
        <v>86.9</v>
      </c>
      <c r="I156">
        <v>89</v>
      </c>
      <c r="J156">
        <v>79.400000000000006</v>
      </c>
      <c r="N156">
        <v>9654</v>
      </c>
    </row>
    <row r="157" spans="1:14" x14ac:dyDescent="0.3">
      <c r="A157" t="s">
        <v>869</v>
      </c>
      <c r="B157" t="s">
        <v>30</v>
      </c>
      <c r="C157">
        <v>48</v>
      </c>
      <c r="D157">
        <v>95.5</v>
      </c>
      <c r="H157">
        <v>91.1</v>
      </c>
      <c r="I157">
        <v>87.7</v>
      </c>
      <c r="J157">
        <v>81.3</v>
      </c>
      <c r="N157">
        <v>17594</v>
      </c>
    </row>
    <row r="158" spans="1:14" x14ac:dyDescent="0.3">
      <c r="A158" t="s">
        <v>868</v>
      </c>
      <c r="B158" t="s">
        <v>48</v>
      </c>
      <c r="C158">
        <v>14.1</v>
      </c>
      <c r="D158">
        <v>95.5</v>
      </c>
      <c r="H158">
        <v>85.9</v>
      </c>
      <c r="I158">
        <v>87.8</v>
      </c>
      <c r="N158">
        <v>17871</v>
      </c>
    </row>
    <row r="159" spans="1:14" x14ac:dyDescent="0.3">
      <c r="A159" t="s">
        <v>867</v>
      </c>
      <c r="B159" t="s">
        <v>48</v>
      </c>
      <c r="C159">
        <v>18</v>
      </c>
      <c r="D159">
        <v>95.5</v>
      </c>
      <c r="G159">
        <v>95.6</v>
      </c>
      <c r="H159">
        <v>90.8</v>
      </c>
      <c r="I159">
        <v>87.4</v>
      </c>
      <c r="N159">
        <v>16459</v>
      </c>
    </row>
    <row r="160" spans="1:14" x14ac:dyDescent="0.3">
      <c r="A160" t="s">
        <v>866</v>
      </c>
      <c r="B160" t="s">
        <v>28</v>
      </c>
      <c r="C160">
        <v>9</v>
      </c>
      <c r="D160">
        <v>95.5</v>
      </c>
      <c r="H160">
        <v>88</v>
      </c>
      <c r="I160">
        <v>83.3</v>
      </c>
      <c r="J160">
        <v>77.7</v>
      </c>
      <c r="N160">
        <v>19614</v>
      </c>
    </row>
    <row r="161" spans="1:14" x14ac:dyDescent="0.3">
      <c r="A161" t="s">
        <v>865</v>
      </c>
      <c r="B161" t="s">
        <v>30</v>
      </c>
      <c r="C161">
        <v>49</v>
      </c>
      <c r="D161">
        <v>95.4</v>
      </c>
      <c r="G161">
        <v>95.2</v>
      </c>
      <c r="H161">
        <v>89.1</v>
      </c>
      <c r="I161">
        <v>81.7</v>
      </c>
      <c r="N161">
        <v>13182</v>
      </c>
    </row>
    <row r="162" spans="1:14" x14ac:dyDescent="0.3">
      <c r="A162" t="s">
        <v>864</v>
      </c>
      <c r="B162" t="s">
        <v>32</v>
      </c>
      <c r="C162">
        <v>49.2</v>
      </c>
      <c r="D162">
        <v>95.4</v>
      </c>
      <c r="G162">
        <v>95.1</v>
      </c>
      <c r="H162">
        <v>86</v>
      </c>
      <c r="I162">
        <v>88.5</v>
      </c>
      <c r="N162">
        <v>12828</v>
      </c>
    </row>
    <row r="163" spans="1:14" x14ac:dyDescent="0.3">
      <c r="A163" t="s">
        <v>863</v>
      </c>
      <c r="B163" t="s">
        <v>26</v>
      </c>
      <c r="C163">
        <v>11</v>
      </c>
      <c r="D163">
        <v>95.4</v>
      </c>
      <c r="F163">
        <v>88.2</v>
      </c>
      <c r="J163">
        <v>77</v>
      </c>
      <c r="N163">
        <v>19569</v>
      </c>
    </row>
    <row r="164" spans="1:14" x14ac:dyDescent="0.3">
      <c r="A164" t="s">
        <v>862</v>
      </c>
      <c r="B164" t="s">
        <v>193</v>
      </c>
      <c r="C164">
        <v>5.0999999999999996</v>
      </c>
      <c r="D164">
        <v>95.4</v>
      </c>
      <c r="I164">
        <v>85.9</v>
      </c>
      <c r="J164">
        <v>80</v>
      </c>
      <c r="N164">
        <v>18251</v>
      </c>
    </row>
    <row r="165" spans="1:14" x14ac:dyDescent="0.3">
      <c r="A165" t="s">
        <v>69</v>
      </c>
      <c r="B165" t="s">
        <v>66</v>
      </c>
      <c r="C165">
        <v>69</v>
      </c>
      <c r="D165">
        <v>95.4</v>
      </c>
      <c r="G165">
        <v>95</v>
      </c>
      <c r="I165">
        <v>83.7</v>
      </c>
      <c r="J165">
        <v>81</v>
      </c>
      <c r="N165">
        <v>13449</v>
      </c>
    </row>
    <row r="166" spans="1:14" x14ac:dyDescent="0.3">
      <c r="A166" t="s">
        <v>195</v>
      </c>
      <c r="B166" t="s">
        <v>30</v>
      </c>
      <c r="C166">
        <v>56.1</v>
      </c>
      <c r="D166">
        <v>95.4</v>
      </c>
      <c r="G166">
        <v>82.3</v>
      </c>
      <c r="H166">
        <v>86.4</v>
      </c>
      <c r="I166">
        <v>82</v>
      </c>
      <c r="N166">
        <v>11903</v>
      </c>
    </row>
    <row r="167" spans="1:14" x14ac:dyDescent="0.3">
      <c r="A167" t="s">
        <v>861</v>
      </c>
      <c r="B167" t="s">
        <v>71</v>
      </c>
      <c r="C167">
        <v>8</v>
      </c>
      <c r="D167">
        <v>95.4</v>
      </c>
      <c r="G167">
        <v>93.9</v>
      </c>
      <c r="H167">
        <v>88.4</v>
      </c>
      <c r="I167">
        <v>84.4</v>
      </c>
      <c r="N167">
        <v>10534</v>
      </c>
    </row>
    <row r="168" spans="1:14" x14ac:dyDescent="0.3">
      <c r="A168" t="s">
        <v>158</v>
      </c>
      <c r="B168" t="s">
        <v>159</v>
      </c>
      <c r="C168">
        <v>67.2</v>
      </c>
      <c r="D168">
        <v>95.3</v>
      </c>
      <c r="G168">
        <v>94.1</v>
      </c>
      <c r="H168">
        <v>88.4</v>
      </c>
      <c r="I168">
        <v>82.7</v>
      </c>
      <c r="N168">
        <v>14814</v>
      </c>
    </row>
    <row r="169" spans="1:14" x14ac:dyDescent="0.3">
      <c r="A169" t="s">
        <v>42</v>
      </c>
      <c r="B169" t="s">
        <v>43</v>
      </c>
      <c r="C169">
        <v>67.2</v>
      </c>
      <c r="D169">
        <v>95.3</v>
      </c>
      <c r="E169">
        <v>88.9</v>
      </c>
      <c r="G169">
        <v>95.8</v>
      </c>
      <c r="H169">
        <v>89.5</v>
      </c>
      <c r="I169">
        <v>85.5</v>
      </c>
      <c r="N169">
        <v>16258</v>
      </c>
    </row>
    <row r="170" spans="1:14" x14ac:dyDescent="0.3">
      <c r="A170" t="s">
        <v>860</v>
      </c>
      <c r="B170" t="s">
        <v>58</v>
      </c>
      <c r="C170">
        <v>6.2</v>
      </c>
      <c r="D170">
        <v>95.3</v>
      </c>
      <c r="G170">
        <v>94.1</v>
      </c>
      <c r="H170">
        <v>87.2</v>
      </c>
      <c r="I170">
        <v>84.4</v>
      </c>
      <c r="N170">
        <v>19545</v>
      </c>
    </row>
    <row r="171" spans="1:14" x14ac:dyDescent="0.3">
      <c r="A171" t="s">
        <v>859</v>
      </c>
      <c r="B171" t="s">
        <v>48</v>
      </c>
      <c r="C171">
        <v>32</v>
      </c>
      <c r="D171">
        <v>95.3</v>
      </c>
      <c r="G171">
        <v>95.6</v>
      </c>
      <c r="I171">
        <v>89.6</v>
      </c>
      <c r="N171">
        <v>13801</v>
      </c>
    </row>
    <row r="172" spans="1:14" x14ac:dyDescent="0.3">
      <c r="A172" t="s">
        <v>858</v>
      </c>
      <c r="B172" t="s">
        <v>127</v>
      </c>
      <c r="C172">
        <v>4.2</v>
      </c>
      <c r="D172">
        <v>95.3</v>
      </c>
      <c r="H172">
        <v>87.4</v>
      </c>
      <c r="I172">
        <v>86.2</v>
      </c>
      <c r="J172">
        <v>83.8</v>
      </c>
      <c r="N172">
        <v>13287</v>
      </c>
    </row>
    <row r="173" spans="1:14" x14ac:dyDescent="0.3">
      <c r="A173" t="s">
        <v>857</v>
      </c>
      <c r="B173" t="s">
        <v>26</v>
      </c>
      <c r="C173">
        <v>0.2</v>
      </c>
      <c r="D173">
        <v>95.2</v>
      </c>
      <c r="I173">
        <v>84</v>
      </c>
      <c r="N173">
        <v>17169</v>
      </c>
    </row>
    <row r="174" spans="1:14" x14ac:dyDescent="0.3">
      <c r="A174" t="s">
        <v>856</v>
      </c>
      <c r="B174" t="s">
        <v>58</v>
      </c>
      <c r="C174">
        <v>39</v>
      </c>
      <c r="D174">
        <v>95.2</v>
      </c>
      <c r="E174">
        <v>90.3</v>
      </c>
      <c r="I174">
        <v>84</v>
      </c>
      <c r="N174">
        <v>4301</v>
      </c>
    </row>
    <row r="175" spans="1:14" x14ac:dyDescent="0.3">
      <c r="A175" t="s">
        <v>855</v>
      </c>
      <c r="B175" t="s">
        <v>34</v>
      </c>
      <c r="C175">
        <v>32.200000000000003</v>
      </c>
      <c r="D175">
        <v>95.2</v>
      </c>
      <c r="G175">
        <v>94.1</v>
      </c>
      <c r="H175">
        <v>86.8</v>
      </c>
      <c r="I175">
        <v>85.3</v>
      </c>
      <c r="J175">
        <v>80.599999999999994</v>
      </c>
      <c r="N175">
        <v>14506</v>
      </c>
    </row>
    <row r="176" spans="1:14" x14ac:dyDescent="0.3">
      <c r="A176" t="s">
        <v>854</v>
      </c>
      <c r="B176" t="s">
        <v>30</v>
      </c>
      <c r="C176">
        <v>5.2</v>
      </c>
      <c r="D176">
        <v>95.2</v>
      </c>
      <c r="H176">
        <v>84.3</v>
      </c>
      <c r="J176">
        <v>78.8</v>
      </c>
      <c r="N176">
        <v>17345</v>
      </c>
    </row>
    <row r="177" spans="1:14" x14ac:dyDescent="0.3">
      <c r="A177" t="s">
        <v>63</v>
      </c>
      <c r="B177" t="s">
        <v>53</v>
      </c>
      <c r="C177">
        <v>79.2</v>
      </c>
      <c r="D177">
        <v>95.2</v>
      </c>
      <c r="G177">
        <v>95</v>
      </c>
      <c r="H177">
        <v>82.4</v>
      </c>
      <c r="I177">
        <v>84.7</v>
      </c>
      <c r="J177">
        <v>77.400000000000006</v>
      </c>
      <c r="N177">
        <v>14765</v>
      </c>
    </row>
    <row r="178" spans="1:14" x14ac:dyDescent="0.3">
      <c r="A178" t="s">
        <v>211</v>
      </c>
      <c r="B178" t="s">
        <v>38</v>
      </c>
      <c r="C178">
        <v>54.2</v>
      </c>
      <c r="D178">
        <v>95.2</v>
      </c>
      <c r="E178">
        <v>93.5</v>
      </c>
      <c r="H178">
        <v>89.9</v>
      </c>
      <c r="I178">
        <v>88.2</v>
      </c>
      <c r="J178">
        <v>82.1</v>
      </c>
      <c r="N178">
        <v>12997</v>
      </c>
    </row>
    <row r="179" spans="1:14" x14ac:dyDescent="0.3">
      <c r="A179" t="s">
        <v>853</v>
      </c>
      <c r="B179" t="s">
        <v>30</v>
      </c>
      <c r="C179">
        <v>37.1</v>
      </c>
      <c r="D179">
        <v>95.2</v>
      </c>
      <c r="G179">
        <v>95.5</v>
      </c>
      <c r="H179">
        <v>88.5</v>
      </c>
      <c r="I179">
        <v>89.2</v>
      </c>
      <c r="J179">
        <v>82.7</v>
      </c>
      <c r="N179">
        <v>11674</v>
      </c>
    </row>
    <row r="180" spans="1:14" x14ac:dyDescent="0.3">
      <c r="A180" t="s">
        <v>852</v>
      </c>
      <c r="B180" t="s">
        <v>53</v>
      </c>
      <c r="C180">
        <v>9</v>
      </c>
      <c r="D180">
        <v>95.2</v>
      </c>
      <c r="I180">
        <v>86</v>
      </c>
      <c r="J180">
        <v>78.3</v>
      </c>
      <c r="N180">
        <v>18323</v>
      </c>
    </row>
    <row r="181" spans="1:14" x14ac:dyDescent="0.3">
      <c r="A181" t="s">
        <v>323</v>
      </c>
      <c r="B181" t="s">
        <v>102</v>
      </c>
      <c r="C181">
        <v>84.2</v>
      </c>
      <c r="D181">
        <v>95.2</v>
      </c>
      <c r="E181">
        <v>89.7</v>
      </c>
      <c r="G181">
        <v>96.3</v>
      </c>
      <c r="H181">
        <v>90.5</v>
      </c>
      <c r="I181">
        <v>85.9</v>
      </c>
      <c r="J181">
        <v>97</v>
      </c>
      <c r="N181">
        <v>11589</v>
      </c>
    </row>
    <row r="182" spans="1:14" x14ac:dyDescent="0.3">
      <c r="A182" t="s">
        <v>851</v>
      </c>
      <c r="B182" t="s">
        <v>75</v>
      </c>
      <c r="C182">
        <v>32.1</v>
      </c>
      <c r="D182">
        <v>95.2</v>
      </c>
      <c r="H182">
        <v>85.8</v>
      </c>
      <c r="J182">
        <v>81.7</v>
      </c>
      <c r="N182">
        <v>19274</v>
      </c>
    </row>
    <row r="183" spans="1:14" x14ac:dyDescent="0.3">
      <c r="A183" t="s">
        <v>92</v>
      </c>
      <c r="B183" t="s">
        <v>93</v>
      </c>
      <c r="C183">
        <v>172.1</v>
      </c>
      <c r="D183">
        <v>95.2</v>
      </c>
      <c r="E183">
        <v>90</v>
      </c>
      <c r="H183">
        <v>84.6</v>
      </c>
      <c r="I183">
        <v>85.8</v>
      </c>
      <c r="J183">
        <v>78.8</v>
      </c>
      <c r="N183">
        <v>3137</v>
      </c>
    </row>
    <row r="184" spans="1:14" x14ac:dyDescent="0.3">
      <c r="A184" t="s">
        <v>850</v>
      </c>
      <c r="B184" t="s">
        <v>102</v>
      </c>
      <c r="C184">
        <v>14.1</v>
      </c>
      <c r="D184">
        <v>95.1</v>
      </c>
      <c r="G184">
        <v>94.3</v>
      </c>
      <c r="I184">
        <v>83</v>
      </c>
      <c r="N184">
        <v>18806</v>
      </c>
    </row>
    <row r="185" spans="1:14" x14ac:dyDescent="0.3">
      <c r="A185" t="s">
        <v>849</v>
      </c>
      <c r="B185" t="s">
        <v>28</v>
      </c>
      <c r="C185">
        <v>8.1999999999999993</v>
      </c>
      <c r="D185">
        <v>95.1</v>
      </c>
      <c r="H185">
        <v>89.4</v>
      </c>
      <c r="I185">
        <v>86.7</v>
      </c>
      <c r="J185">
        <v>86.1</v>
      </c>
      <c r="N185">
        <v>16609</v>
      </c>
    </row>
    <row r="186" spans="1:14" x14ac:dyDescent="0.3">
      <c r="A186" t="s">
        <v>848</v>
      </c>
      <c r="B186" t="s">
        <v>58</v>
      </c>
      <c r="C186">
        <v>6.1</v>
      </c>
      <c r="D186">
        <v>95.1</v>
      </c>
      <c r="H186">
        <v>85.4</v>
      </c>
      <c r="I186">
        <v>86.9</v>
      </c>
      <c r="N186">
        <v>15267</v>
      </c>
    </row>
    <row r="187" spans="1:14" x14ac:dyDescent="0.3">
      <c r="A187" t="s">
        <v>847</v>
      </c>
      <c r="B187" t="s">
        <v>193</v>
      </c>
      <c r="C187">
        <v>12.1</v>
      </c>
      <c r="D187">
        <v>95.1</v>
      </c>
      <c r="G187">
        <v>94.7</v>
      </c>
      <c r="H187">
        <v>88</v>
      </c>
      <c r="I187">
        <v>86.5</v>
      </c>
      <c r="N187">
        <v>18306</v>
      </c>
    </row>
    <row r="188" spans="1:14" x14ac:dyDescent="0.3">
      <c r="A188" t="s">
        <v>846</v>
      </c>
      <c r="B188" t="s">
        <v>48</v>
      </c>
      <c r="C188">
        <v>16.100000000000001</v>
      </c>
      <c r="D188">
        <v>95.1</v>
      </c>
      <c r="G188">
        <v>94.7</v>
      </c>
      <c r="I188">
        <v>89.2</v>
      </c>
      <c r="N188">
        <v>13652</v>
      </c>
    </row>
    <row r="189" spans="1:14" x14ac:dyDescent="0.3">
      <c r="A189" t="s">
        <v>845</v>
      </c>
      <c r="B189" t="s">
        <v>102</v>
      </c>
      <c r="C189">
        <v>49.1</v>
      </c>
      <c r="D189">
        <v>95</v>
      </c>
      <c r="G189">
        <v>95.6</v>
      </c>
      <c r="I189">
        <v>88.6</v>
      </c>
      <c r="J189">
        <v>88</v>
      </c>
      <c r="N189">
        <v>18297</v>
      </c>
    </row>
    <row r="190" spans="1:14" x14ac:dyDescent="0.3">
      <c r="A190" t="s">
        <v>844</v>
      </c>
      <c r="B190" t="s">
        <v>36</v>
      </c>
      <c r="C190">
        <v>15.1</v>
      </c>
      <c r="D190">
        <v>95</v>
      </c>
      <c r="I190">
        <v>85.1</v>
      </c>
      <c r="N190">
        <v>16122</v>
      </c>
    </row>
    <row r="191" spans="1:14" x14ac:dyDescent="0.3">
      <c r="A191" t="s">
        <v>843</v>
      </c>
      <c r="B191" t="s">
        <v>193</v>
      </c>
      <c r="C191">
        <v>47.1</v>
      </c>
      <c r="D191">
        <v>95</v>
      </c>
      <c r="H191">
        <v>85</v>
      </c>
      <c r="I191">
        <v>87.5</v>
      </c>
      <c r="N191">
        <v>13527</v>
      </c>
    </row>
    <row r="192" spans="1:14" x14ac:dyDescent="0.3">
      <c r="A192" t="s">
        <v>164</v>
      </c>
      <c r="B192" t="s">
        <v>89</v>
      </c>
      <c r="C192">
        <v>64.2</v>
      </c>
      <c r="D192">
        <v>95</v>
      </c>
      <c r="H192">
        <v>87.2</v>
      </c>
      <c r="I192">
        <v>84.6</v>
      </c>
      <c r="J192">
        <v>84.1</v>
      </c>
      <c r="N192">
        <v>13594</v>
      </c>
    </row>
    <row r="193" spans="1:14" x14ac:dyDescent="0.3">
      <c r="A193" t="s">
        <v>842</v>
      </c>
      <c r="B193" t="s">
        <v>77</v>
      </c>
      <c r="C193">
        <v>11.2</v>
      </c>
      <c r="D193">
        <v>95</v>
      </c>
      <c r="G193">
        <v>93.5</v>
      </c>
      <c r="H193">
        <v>88.5</v>
      </c>
      <c r="J193">
        <v>82.2</v>
      </c>
      <c r="N193">
        <v>14677</v>
      </c>
    </row>
    <row r="194" spans="1:14" x14ac:dyDescent="0.3">
      <c r="A194" t="s">
        <v>841</v>
      </c>
      <c r="B194" t="s">
        <v>26</v>
      </c>
      <c r="C194">
        <v>8.1999999999999993</v>
      </c>
      <c r="D194">
        <v>95</v>
      </c>
      <c r="G194">
        <v>95.7</v>
      </c>
      <c r="H194">
        <v>90.4</v>
      </c>
      <c r="I194">
        <v>89.1</v>
      </c>
      <c r="J194">
        <v>80.5</v>
      </c>
      <c r="N194">
        <v>9784</v>
      </c>
    </row>
    <row r="195" spans="1:14" x14ac:dyDescent="0.3">
      <c r="A195" t="s">
        <v>104</v>
      </c>
      <c r="B195" t="s">
        <v>32</v>
      </c>
      <c r="C195">
        <v>194.2</v>
      </c>
      <c r="D195">
        <v>95</v>
      </c>
      <c r="E195">
        <v>86.7</v>
      </c>
      <c r="F195">
        <v>85.2</v>
      </c>
      <c r="G195">
        <v>94.2</v>
      </c>
      <c r="I195">
        <v>85.5</v>
      </c>
      <c r="J195">
        <v>78.8</v>
      </c>
      <c r="N195">
        <v>4676</v>
      </c>
    </row>
    <row r="196" spans="1:14" x14ac:dyDescent="0.3">
      <c r="A196" t="s">
        <v>840</v>
      </c>
      <c r="B196" t="s">
        <v>62</v>
      </c>
      <c r="C196">
        <v>47</v>
      </c>
      <c r="D196">
        <v>95</v>
      </c>
      <c r="G196">
        <v>95</v>
      </c>
      <c r="H196">
        <v>88.7</v>
      </c>
      <c r="I196">
        <v>84.8</v>
      </c>
      <c r="J196">
        <v>82.9</v>
      </c>
      <c r="N196">
        <v>16201</v>
      </c>
    </row>
    <row r="197" spans="1:14" x14ac:dyDescent="0.3">
      <c r="A197" t="s">
        <v>839</v>
      </c>
      <c r="B197" t="s">
        <v>50</v>
      </c>
      <c r="C197">
        <v>19</v>
      </c>
      <c r="D197">
        <v>95</v>
      </c>
      <c r="H197">
        <v>88.8</v>
      </c>
      <c r="I197">
        <v>86</v>
      </c>
      <c r="J197">
        <v>77.099999999999994</v>
      </c>
      <c r="N197">
        <v>15451</v>
      </c>
    </row>
    <row r="198" spans="1:14" x14ac:dyDescent="0.3">
      <c r="A198" t="s">
        <v>838</v>
      </c>
      <c r="B198" t="s">
        <v>38</v>
      </c>
      <c r="C198">
        <v>47.1</v>
      </c>
      <c r="D198">
        <v>95</v>
      </c>
      <c r="G198">
        <v>95</v>
      </c>
      <c r="H198">
        <v>88.5</v>
      </c>
      <c r="I198">
        <v>87.6</v>
      </c>
      <c r="J198">
        <v>79.900000000000006</v>
      </c>
      <c r="N198">
        <v>17359</v>
      </c>
    </row>
    <row r="199" spans="1:14" x14ac:dyDescent="0.3">
      <c r="A199" t="s">
        <v>837</v>
      </c>
      <c r="B199" t="s">
        <v>48</v>
      </c>
      <c r="C199">
        <v>46.1</v>
      </c>
      <c r="D199">
        <v>95</v>
      </c>
      <c r="E199">
        <v>90.3</v>
      </c>
      <c r="G199">
        <v>93.6</v>
      </c>
      <c r="H199">
        <v>86.9</v>
      </c>
      <c r="J199">
        <v>81.8</v>
      </c>
      <c r="N199">
        <v>11209</v>
      </c>
    </row>
    <row r="200" spans="1:14" x14ac:dyDescent="0.3">
      <c r="A200" t="s">
        <v>196</v>
      </c>
      <c r="B200" t="s">
        <v>26</v>
      </c>
      <c r="C200">
        <v>72</v>
      </c>
      <c r="D200">
        <v>95</v>
      </c>
      <c r="G200">
        <v>94.3</v>
      </c>
      <c r="H200">
        <v>88.6</v>
      </c>
      <c r="I200">
        <v>86.8</v>
      </c>
      <c r="N200">
        <v>14682</v>
      </c>
    </row>
    <row r="201" spans="1:14" x14ac:dyDescent="0.3">
      <c r="A201" t="s">
        <v>183</v>
      </c>
      <c r="B201" t="s">
        <v>89</v>
      </c>
      <c r="C201">
        <v>166.2</v>
      </c>
      <c r="D201">
        <v>94.9</v>
      </c>
      <c r="G201">
        <v>94.7</v>
      </c>
      <c r="H201">
        <v>88.6</v>
      </c>
      <c r="I201">
        <v>89.4</v>
      </c>
      <c r="J201">
        <v>83.2</v>
      </c>
      <c r="N201">
        <v>13050</v>
      </c>
    </row>
    <row r="202" spans="1:14" x14ac:dyDescent="0.3">
      <c r="A202" t="s">
        <v>243</v>
      </c>
      <c r="B202" t="s">
        <v>83</v>
      </c>
      <c r="C202">
        <v>52.2</v>
      </c>
      <c r="D202">
        <v>94.9</v>
      </c>
      <c r="G202">
        <v>94.7</v>
      </c>
      <c r="H202">
        <v>89.3</v>
      </c>
      <c r="I202">
        <v>86.3</v>
      </c>
      <c r="J202">
        <v>81.3</v>
      </c>
      <c r="N202">
        <v>15046</v>
      </c>
    </row>
    <row r="203" spans="1:14" x14ac:dyDescent="0.3">
      <c r="A203" t="s">
        <v>836</v>
      </c>
      <c r="B203" t="s">
        <v>40</v>
      </c>
      <c r="C203">
        <v>0.2</v>
      </c>
      <c r="D203">
        <v>94.9</v>
      </c>
      <c r="J203">
        <v>84.1</v>
      </c>
      <c r="N203">
        <v>6216</v>
      </c>
    </row>
    <row r="204" spans="1:14" x14ac:dyDescent="0.3">
      <c r="A204" t="s">
        <v>258</v>
      </c>
      <c r="B204" t="s">
        <v>75</v>
      </c>
      <c r="C204">
        <v>117</v>
      </c>
      <c r="D204">
        <v>94.9</v>
      </c>
      <c r="G204">
        <v>95</v>
      </c>
      <c r="H204">
        <v>86.8</v>
      </c>
      <c r="I204">
        <v>85.5</v>
      </c>
      <c r="J204">
        <v>79.5</v>
      </c>
      <c r="N204">
        <v>10811</v>
      </c>
    </row>
    <row r="205" spans="1:14" x14ac:dyDescent="0.3">
      <c r="A205" t="s">
        <v>835</v>
      </c>
      <c r="B205" t="s">
        <v>75</v>
      </c>
      <c r="C205">
        <v>9.1</v>
      </c>
      <c r="D205">
        <v>94.9</v>
      </c>
      <c r="H205">
        <v>88.6</v>
      </c>
      <c r="I205">
        <v>89.2</v>
      </c>
      <c r="J205">
        <v>81.400000000000006</v>
      </c>
      <c r="N205">
        <v>15258</v>
      </c>
    </row>
    <row r="206" spans="1:14" x14ac:dyDescent="0.3">
      <c r="A206" t="s">
        <v>337</v>
      </c>
      <c r="B206" t="s">
        <v>95</v>
      </c>
      <c r="C206">
        <v>93.2</v>
      </c>
      <c r="D206">
        <v>94.9</v>
      </c>
      <c r="E206">
        <v>88.9</v>
      </c>
      <c r="G206">
        <v>93.7</v>
      </c>
      <c r="H206">
        <v>88.2</v>
      </c>
      <c r="I206">
        <v>85.9</v>
      </c>
      <c r="J206">
        <v>80.8</v>
      </c>
      <c r="N206">
        <v>15454</v>
      </c>
    </row>
    <row r="207" spans="1:14" x14ac:dyDescent="0.3">
      <c r="A207" t="s">
        <v>139</v>
      </c>
      <c r="B207" t="s">
        <v>71</v>
      </c>
      <c r="C207">
        <v>83.2</v>
      </c>
      <c r="D207">
        <v>94.9</v>
      </c>
      <c r="F207">
        <v>86.3</v>
      </c>
      <c r="G207">
        <v>95.1</v>
      </c>
      <c r="I207">
        <v>84.8</v>
      </c>
      <c r="J207">
        <v>82.4</v>
      </c>
      <c r="N207">
        <v>5702</v>
      </c>
    </row>
    <row r="208" spans="1:14" x14ac:dyDescent="0.3">
      <c r="A208" t="s">
        <v>834</v>
      </c>
      <c r="B208" t="s">
        <v>48</v>
      </c>
      <c r="C208">
        <v>25</v>
      </c>
      <c r="D208">
        <v>94.9</v>
      </c>
      <c r="I208">
        <v>85</v>
      </c>
      <c r="J208">
        <v>79.599999999999994</v>
      </c>
      <c r="N208">
        <v>7677</v>
      </c>
    </row>
    <row r="209" spans="1:14" x14ac:dyDescent="0.3">
      <c r="A209" t="s">
        <v>833</v>
      </c>
      <c r="B209" t="s">
        <v>26</v>
      </c>
      <c r="C209">
        <v>6.1</v>
      </c>
      <c r="D209">
        <v>94.9</v>
      </c>
      <c r="H209">
        <v>87.6</v>
      </c>
      <c r="I209">
        <v>87.6</v>
      </c>
      <c r="N209">
        <v>18815</v>
      </c>
    </row>
    <row r="210" spans="1:14" x14ac:dyDescent="0.3">
      <c r="A210" t="s">
        <v>832</v>
      </c>
      <c r="B210" t="s">
        <v>127</v>
      </c>
      <c r="C210">
        <v>40.1</v>
      </c>
      <c r="D210">
        <v>94.9</v>
      </c>
      <c r="G210">
        <v>94.8</v>
      </c>
      <c r="H210">
        <v>85.4</v>
      </c>
      <c r="I210">
        <v>82.5</v>
      </c>
      <c r="J210">
        <v>75.900000000000006</v>
      </c>
      <c r="N210">
        <v>7738</v>
      </c>
    </row>
    <row r="211" spans="1:14" x14ac:dyDescent="0.3">
      <c r="A211" t="s">
        <v>294</v>
      </c>
      <c r="B211" t="s">
        <v>28</v>
      </c>
      <c r="C211">
        <v>69</v>
      </c>
      <c r="D211">
        <v>94.8</v>
      </c>
      <c r="G211">
        <v>95.3</v>
      </c>
      <c r="H211">
        <v>84.1</v>
      </c>
      <c r="I211">
        <v>81.599999999999994</v>
      </c>
      <c r="N211">
        <v>12763</v>
      </c>
    </row>
    <row r="212" spans="1:14" x14ac:dyDescent="0.3">
      <c r="A212" t="s">
        <v>156</v>
      </c>
      <c r="B212" t="s">
        <v>71</v>
      </c>
      <c r="C212">
        <v>111.1</v>
      </c>
      <c r="D212">
        <v>94.8</v>
      </c>
      <c r="G212">
        <v>94.5</v>
      </c>
      <c r="H212">
        <v>85.7</v>
      </c>
      <c r="I212">
        <v>88.1</v>
      </c>
      <c r="J212">
        <v>80.8</v>
      </c>
      <c r="N212">
        <v>12718</v>
      </c>
    </row>
    <row r="213" spans="1:14" x14ac:dyDescent="0.3">
      <c r="A213" t="s">
        <v>126</v>
      </c>
      <c r="B213" t="s">
        <v>127</v>
      </c>
      <c r="C213">
        <v>63.1</v>
      </c>
      <c r="D213">
        <v>94.8</v>
      </c>
      <c r="E213">
        <v>91.6</v>
      </c>
      <c r="H213">
        <v>88.2</v>
      </c>
      <c r="J213">
        <v>80.900000000000006</v>
      </c>
      <c r="N213">
        <v>6986</v>
      </c>
    </row>
    <row r="214" spans="1:14" x14ac:dyDescent="0.3">
      <c r="A214" t="s">
        <v>831</v>
      </c>
      <c r="B214" t="s">
        <v>75</v>
      </c>
      <c r="C214">
        <v>20</v>
      </c>
      <c r="D214">
        <v>94.8</v>
      </c>
      <c r="E214">
        <v>89.5</v>
      </c>
      <c r="G214">
        <v>92.9</v>
      </c>
      <c r="H214">
        <v>85</v>
      </c>
      <c r="I214">
        <v>85.2</v>
      </c>
      <c r="J214">
        <v>79.2</v>
      </c>
      <c r="N214">
        <v>19990</v>
      </c>
    </row>
    <row r="215" spans="1:14" x14ac:dyDescent="0.3">
      <c r="A215" t="s">
        <v>830</v>
      </c>
      <c r="B215" t="s">
        <v>75</v>
      </c>
      <c r="C215">
        <v>19.2</v>
      </c>
      <c r="D215">
        <v>94.8</v>
      </c>
      <c r="G215">
        <v>93.9</v>
      </c>
      <c r="H215">
        <v>85.9</v>
      </c>
      <c r="I215">
        <v>87.1</v>
      </c>
      <c r="J215">
        <v>80.599999999999994</v>
      </c>
      <c r="N215">
        <v>19665</v>
      </c>
    </row>
    <row r="216" spans="1:14" x14ac:dyDescent="0.3">
      <c r="A216" t="s">
        <v>152</v>
      </c>
      <c r="B216" t="s">
        <v>143</v>
      </c>
      <c r="C216">
        <v>208.1</v>
      </c>
      <c r="D216">
        <v>94.8</v>
      </c>
      <c r="E216">
        <v>89.4</v>
      </c>
      <c r="G216">
        <v>93</v>
      </c>
      <c r="H216">
        <v>87.1</v>
      </c>
      <c r="I216">
        <v>85.8</v>
      </c>
      <c r="J216">
        <v>81.3</v>
      </c>
      <c r="N216">
        <v>2520</v>
      </c>
    </row>
    <row r="217" spans="1:14" x14ac:dyDescent="0.3">
      <c r="A217" t="s">
        <v>251</v>
      </c>
      <c r="B217" t="s">
        <v>48</v>
      </c>
      <c r="C217">
        <v>213</v>
      </c>
      <c r="D217">
        <v>94.8</v>
      </c>
      <c r="E217">
        <v>84.9</v>
      </c>
      <c r="G217">
        <v>95.2</v>
      </c>
      <c r="H217">
        <v>86.4</v>
      </c>
      <c r="I217">
        <v>79.8</v>
      </c>
      <c r="J217">
        <v>79.400000000000006</v>
      </c>
      <c r="N217">
        <v>12703</v>
      </c>
    </row>
    <row r="218" spans="1:14" x14ac:dyDescent="0.3">
      <c r="A218" t="s">
        <v>829</v>
      </c>
      <c r="B218" t="s">
        <v>66</v>
      </c>
      <c r="C218">
        <v>8.1</v>
      </c>
      <c r="D218">
        <v>94.8</v>
      </c>
      <c r="H218">
        <v>84</v>
      </c>
      <c r="I218">
        <v>84.4</v>
      </c>
      <c r="N218">
        <v>19583</v>
      </c>
    </row>
    <row r="219" spans="1:14" x14ac:dyDescent="0.3">
      <c r="A219" t="s">
        <v>828</v>
      </c>
      <c r="B219" t="s">
        <v>159</v>
      </c>
      <c r="C219">
        <v>28</v>
      </c>
      <c r="D219">
        <v>94.8</v>
      </c>
      <c r="E219">
        <v>91.7</v>
      </c>
      <c r="G219">
        <v>93.1</v>
      </c>
      <c r="H219">
        <v>84.6</v>
      </c>
      <c r="I219">
        <v>84.5</v>
      </c>
      <c r="J219">
        <v>80.900000000000006</v>
      </c>
      <c r="N219">
        <v>15285</v>
      </c>
    </row>
    <row r="220" spans="1:14" x14ac:dyDescent="0.3">
      <c r="A220" t="s">
        <v>827</v>
      </c>
      <c r="B220" t="s">
        <v>143</v>
      </c>
      <c r="C220">
        <v>44</v>
      </c>
      <c r="D220">
        <v>94.8</v>
      </c>
      <c r="E220">
        <v>89.2</v>
      </c>
      <c r="G220">
        <v>93.2</v>
      </c>
      <c r="H220">
        <v>87.5</v>
      </c>
      <c r="J220">
        <v>79.8</v>
      </c>
      <c r="N220">
        <v>10197</v>
      </c>
    </row>
    <row r="221" spans="1:14" x14ac:dyDescent="0.3">
      <c r="A221" t="s">
        <v>68</v>
      </c>
      <c r="B221" t="s">
        <v>28</v>
      </c>
      <c r="C221">
        <v>223</v>
      </c>
      <c r="D221">
        <v>94.8</v>
      </c>
      <c r="G221">
        <v>93.4</v>
      </c>
      <c r="H221">
        <v>87.2</v>
      </c>
      <c r="I221">
        <v>87.7</v>
      </c>
      <c r="J221">
        <v>79.5</v>
      </c>
      <c r="N221">
        <v>8700</v>
      </c>
    </row>
    <row r="222" spans="1:14" x14ac:dyDescent="0.3">
      <c r="A222" t="s">
        <v>320</v>
      </c>
      <c r="B222" t="s">
        <v>26</v>
      </c>
      <c r="C222">
        <v>103</v>
      </c>
      <c r="D222">
        <v>94.8</v>
      </c>
      <c r="G222">
        <v>94.5</v>
      </c>
      <c r="H222">
        <v>84.9</v>
      </c>
      <c r="I222">
        <v>86.6</v>
      </c>
      <c r="J222">
        <v>79.599999999999994</v>
      </c>
      <c r="N222">
        <v>19312</v>
      </c>
    </row>
    <row r="223" spans="1:14" x14ac:dyDescent="0.3">
      <c r="A223" t="s">
        <v>78</v>
      </c>
      <c r="B223" t="s">
        <v>58</v>
      </c>
      <c r="C223">
        <v>80</v>
      </c>
      <c r="D223">
        <v>94.8</v>
      </c>
      <c r="G223">
        <v>94.3</v>
      </c>
      <c r="H223">
        <v>88.3</v>
      </c>
      <c r="I223">
        <v>88.3</v>
      </c>
      <c r="J223">
        <v>79.8</v>
      </c>
      <c r="K223">
        <v>69</v>
      </c>
      <c r="N223">
        <v>12447</v>
      </c>
    </row>
    <row r="224" spans="1:14" x14ac:dyDescent="0.3">
      <c r="A224" t="s">
        <v>826</v>
      </c>
      <c r="B224" t="s">
        <v>48</v>
      </c>
      <c r="C224">
        <v>14.1</v>
      </c>
      <c r="D224">
        <v>94.8</v>
      </c>
      <c r="G224">
        <v>93.8</v>
      </c>
      <c r="I224">
        <v>87.2</v>
      </c>
      <c r="N224">
        <v>14508</v>
      </c>
    </row>
    <row r="225" spans="1:14" x14ac:dyDescent="0.3">
      <c r="A225" t="s">
        <v>825</v>
      </c>
      <c r="B225" t="s">
        <v>102</v>
      </c>
      <c r="C225">
        <v>10.199999999999999</v>
      </c>
      <c r="D225">
        <v>94.8</v>
      </c>
      <c r="I225">
        <v>81.900000000000006</v>
      </c>
      <c r="N225">
        <v>18890</v>
      </c>
    </row>
    <row r="226" spans="1:14" x14ac:dyDescent="0.3">
      <c r="A226" t="s">
        <v>275</v>
      </c>
      <c r="B226" t="s">
        <v>43</v>
      </c>
      <c r="C226">
        <v>67.2</v>
      </c>
      <c r="D226">
        <v>94.7</v>
      </c>
      <c r="E226">
        <v>89.5</v>
      </c>
      <c r="G226">
        <v>94.5</v>
      </c>
      <c r="H226">
        <v>84.3</v>
      </c>
      <c r="I226">
        <v>79.7</v>
      </c>
      <c r="N226">
        <v>11528</v>
      </c>
    </row>
    <row r="227" spans="1:14" x14ac:dyDescent="0.3">
      <c r="A227" t="s">
        <v>824</v>
      </c>
      <c r="B227" t="s">
        <v>56</v>
      </c>
      <c r="C227">
        <v>8.1999999999999993</v>
      </c>
      <c r="D227">
        <v>94.7</v>
      </c>
      <c r="E227">
        <v>94.1</v>
      </c>
      <c r="H227">
        <v>86.3</v>
      </c>
      <c r="J227">
        <v>82.7</v>
      </c>
      <c r="N227">
        <v>12799</v>
      </c>
    </row>
    <row r="228" spans="1:14" x14ac:dyDescent="0.3">
      <c r="A228" t="s">
        <v>823</v>
      </c>
      <c r="B228" t="s">
        <v>77</v>
      </c>
      <c r="C228">
        <v>11</v>
      </c>
      <c r="D228">
        <v>94.7</v>
      </c>
      <c r="G228">
        <v>92.5</v>
      </c>
      <c r="H228">
        <v>88.4</v>
      </c>
      <c r="I228">
        <v>88.4</v>
      </c>
      <c r="N228">
        <v>3993</v>
      </c>
    </row>
    <row r="229" spans="1:14" x14ac:dyDescent="0.3">
      <c r="A229" t="s">
        <v>252</v>
      </c>
      <c r="B229" t="s">
        <v>48</v>
      </c>
      <c r="C229">
        <v>84.1</v>
      </c>
      <c r="D229">
        <v>94.7</v>
      </c>
      <c r="G229">
        <v>93.9</v>
      </c>
      <c r="H229">
        <v>84.7</v>
      </c>
      <c r="I229">
        <v>84.6</v>
      </c>
      <c r="J229">
        <v>76.8</v>
      </c>
      <c r="N229">
        <v>5257</v>
      </c>
    </row>
    <row r="230" spans="1:14" x14ac:dyDescent="0.3">
      <c r="A230" t="s">
        <v>822</v>
      </c>
      <c r="B230" t="s">
        <v>36</v>
      </c>
      <c r="C230">
        <v>39.200000000000003</v>
      </c>
      <c r="D230">
        <v>94.7</v>
      </c>
      <c r="E230">
        <v>90.4</v>
      </c>
      <c r="G230">
        <v>93.6</v>
      </c>
      <c r="H230">
        <v>87.8</v>
      </c>
      <c r="I230">
        <v>85.9</v>
      </c>
      <c r="N230">
        <v>16132</v>
      </c>
    </row>
    <row r="231" spans="1:14" x14ac:dyDescent="0.3">
      <c r="A231" t="s">
        <v>377</v>
      </c>
      <c r="B231" t="s">
        <v>127</v>
      </c>
      <c r="C231">
        <v>123.2</v>
      </c>
      <c r="D231">
        <v>94.7</v>
      </c>
      <c r="G231">
        <v>94.3</v>
      </c>
      <c r="H231">
        <v>87.8</v>
      </c>
      <c r="I231">
        <v>87.4</v>
      </c>
      <c r="J231">
        <v>82</v>
      </c>
      <c r="N231">
        <v>14527</v>
      </c>
    </row>
    <row r="232" spans="1:14" x14ac:dyDescent="0.3">
      <c r="A232" t="s">
        <v>395</v>
      </c>
      <c r="B232" t="s">
        <v>43</v>
      </c>
      <c r="C232">
        <v>58.2</v>
      </c>
      <c r="D232">
        <v>94.7</v>
      </c>
      <c r="E232">
        <v>91.2</v>
      </c>
      <c r="G232">
        <v>94.7</v>
      </c>
      <c r="H232">
        <v>86</v>
      </c>
      <c r="I232">
        <v>85.9</v>
      </c>
      <c r="J232">
        <v>82.3</v>
      </c>
      <c r="N232">
        <v>14825</v>
      </c>
    </row>
    <row r="233" spans="1:14" x14ac:dyDescent="0.3">
      <c r="A233" t="s">
        <v>94</v>
      </c>
      <c r="B233" t="s">
        <v>95</v>
      </c>
      <c r="C233">
        <v>67.2</v>
      </c>
      <c r="D233">
        <v>94.7</v>
      </c>
      <c r="F233">
        <v>87.2</v>
      </c>
      <c r="G233">
        <v>95.1</v>
      </c>
      <c r="N233">
        <v>11804</v>
      </c>
    </row>
    <row r="234" spans="1:14" x14ac:dyDescent="0.3">
      <c r="A234" t="s">
        <v>84</v>
      </c>
      <c r="B234" t="s">
        <v>43</v>
      </c>
      <c r="C234">
        <v>61</v>
      </c>
      <c r="D234">
        <v>94.7</v>
      </c>
      <c r="E234">
        <v>90.7</v>
      </c>
      <c r="N234">
        <v>6661</v>
      </c>
    </row>
    <row r="235" spans="1:14" x14ac:dyDescent="0.3">
      <c r="A235" t="s">
        <v>821</v>
      </c>
      <c r="B235" t="s">
        <v>62</v>
      </c>
      <c r="C235">
        <v>26.1</v>
      </c>
      <c r="D235">
        <v>94.7</v>
      </c>
      <c r="G235">
        <v>94.6</v>
      </c>
      <c r="H235">
        <v>89</v>
      </c>
      <c r="I235">
        <v>84.9</v>
      </c>
      <c r="N235">
        <v>16958</v>
      </c>
    </row>
    <row r="236" spans="1:14" x14ac:dyDescent="0.3">
      <c r="A236" t="s">
        <v>820</v>
      </c>
      <c r="B236" t="s">
        <v>36</v>
      </c>
      <c r="C236">
        <v>21.2</v>
      </c>
      <c r="D236">
        <v>94.7</v>
      </c>
      <c r="H236">
        <v>89.6</v>
      </c>
      <c r="J236">
        <v>78</v>
      </c>
      <c r="N236">
        <v>11861</v>
      </c>
    </row>
    <row r="237" spans="1:14" x14ac:dyDescent="0.3">
      <c r="A237" t="s">
        <v>819</v>
      </c>
      <c r="B237" t="s">
        <v>50</v>
      </c>
      <c r="C237">
        <v>40.200000000000003</v>
      </c>
      <c r="D237">
        <v>94.7</v>
      </c>
      <c r="E237">
        <v>89.8</v>
      </c>
      <c r="G237">
        <v>93.8</v>
      </c>
      <c r="H237">
        <v>89.1</v>
      </c>
      <c r="I237">
        <v>84.5</v>
      </c>
      <c r="N237">
        <v>13763</v>
      </c>
    </row>
    <row r="238" spans="1:14" x14ac:dyDescent="0.3">
      <c r="A238" t="s">
        <v>818</v>
      </c>
      <c r="B238" t="s">
        <v>56</v>
      </c>
      <c r="C238">
        <v>26</v>
      </c>
      <c r="D238">
        <v>94.7</v>
      </c>
      <c r="H238">
        <v>87</v>
      </c>
      <c r="I238">
        <v>84.3</v>
      </c>
      <c r="J238">
        <v>79.8</v>
      </c>
      <c r="N238">
        <v>11467</v>
      </c>
    </row>
    <row r="239" spans="1:14" x14ac:dyDescent="0.3">
      <c r="A239" t="s">
        <v>210</v>
      </c>
      <c r="B239" t="s">
        <v>40</v>
      </c>
      <c r="C239">
        <v>81</v>
      </c>
      <c r="D239">
        <v>94.7</v>
      </c>
      <c r="G239">
        <v>93.8</v>
      </c>
      <c r="H239">
        <v>87</v>
      </c>
      <c r="I239">
        <v>84.9</v>
      </c>
      <c r="J239">
        <v>81.3</v>
      </c>
      <c r="N239">
        <v>13345</v>
      </c>
    </row>
    <row r="240" spans="1:14" x14ac:dyDescent="0.3">
      <c r="A240" t="s">
        <v>178</v>
      </c>
      <c r="B240" t="s">
        <v>32</v>
      </c>
      <c r="C240">
        <v>133.1</v>
      </c>
      <c r="D240">
        <v>94.6</v>
      </c>
      <c r="F240">
        <v>85.9</v>
      </c>
      <c r="G240">
        <v>94.1</v>
      </c>
      <c r="I240">
        <v>87.9</v>
      </c>
      <c r="N240">
        <v>16401</v>
      </c>
    </row>
    <row r="241" spans="1:14" x14ac:dyDescent="0.3">
      <c r="A241" t="s">
        <v>817</v>
      </c>
      <c r="B241" t="s">
        <v>193</v>
      </c>
      <c r="C241">
        <v>1.1000000000000001</v>
      </c>
      <c r="D241">
        <v>94.6</v>
      </c>
      <c r="H241">
        <v>86.1</v>
      </c>
      <c r="J241">
        <v>83.8</v>
      </c>
      <c r="N241">
        <v>14867</v>
      </c>
    </row>
    <row r="242" spans="1:14" x14ac:dyDescent="0.3">
      <c r="A242" t="s">
        <v>816</v>
      </c>
      <c r="B242" t="s">
        <v>48</v>
      </c>
      <c r="C242">
        <v>47.2</v>
      </c>
      <c r="D242">
        <v>94.6</v>
      </c>
      <c r="G242">
        <v>93.7</v>
      </c>
      <c r="H242">
        <v>83.2</v>
      </c>
      <c r="I242">
        <v>86.5</v>
      </c>
      <c r="N242">
        <v>494</v>
      </c>
    </row>
    <row r="243" spans="1:14" x14ac:dyDescent="0.3">
      <c r="A243" t="s">
        <v>815</v>
      </c>
      <c r="B243" t="s">
        <v>53</v>
      </c>
      <c r="C243">
        <v>44.2</v>
      </c>
      <c r="D243">
        <v>94.6</v>
      </c>
      <c r="G243">
        <v>93.1</v>
      </c>
      <c r="H243">
        <v>86.1</v>
      </c>
      <c r="J243">
        <v>76.400000000000006</v>
      </c>
      <c r="N243">
        <v>19349</v>
      </c>
    </row>
    <row r="244" spans="1:14" x14ac:dyDescent="0.3">
      <c r="A244" t="s">
        <v>814</v>
      </c>
      <c r="B244" t="s">
        <v>62</v>
      </c>
      <c r="C244">
        <v>9.1</v>
      </c>
      <c r="D244">
        <v>94.6</v>
      </c>
      <c r="H244">
        <v>88.2</v>
      </c>
      <c r="J244">
        <v>82.3</v>
      </c>
      <c r="N244">
        <v>18792</v>
      </c>
    </row>
    <row r="245" spans="1:14" x14ac:dyDescent="0.3">
      <c r="A245" t="s">
        <v>81</v>
      </c>
      <c r="B245" t="s">
        <v>50</v>
      </c>
      <c r="C245">
        <v>196.1</v>
      </c>
      <c r="D245">
        <v>94.6</v>
      </c>
      <c r="G245">
        <v>92.4</v>
      </c>
      <c r="H245">
        <v>87.4</v>
      </c>
      <c r="I245">
        <v>85.1</v>
      </c>
      <c r="J245">
        <v>78.400000000000006</v>
      </c>
      <c r="N245">
        <v>17479</v>
      </c>
    </row>
    <row r="246" spans="1:14" x14ac:dyDescent="0.3">
      <c r="A246" t="s">
        <v>225</v>
      </c>
      <c r="B246" t="s">
        <v>127</v>
      </c>
      <c r="C246">
        <v>70.099999999999994</v>
      </c>
      <c r="D246">
        <v>94.6</v>
      </c>
      <c r="G246">
        <v>94.1</v>
      </c>
      <c r="H246">
        <v>90.8</v>
      </c>
      <c r="I246">
        <v>84.1</v>
      </c>
      <c r="J246">
        <v>77.7</v>
      </c>
      <c r="N246">
        <v>14993</v>
      </c>
    </row>
    <row r="247" spans="1:14" x14ac:dyDescent="0.3">
      <c r="A247" t="s">
        <v>813</v>
      </c>
      <c r="B247" t="s">
        <v>71</v>
      </c>
      <c r="C247">
        <v>30.1</v>
      </c>
      <c r="D247">
        <v>94.6</v>
      </c>
      <c r="G247">
        <v>92</v>
      </c>
      <c r="H247">
        <v>87.6</v>
      </c>
      <c r="I247">
        <v>86</v>
      </c>
      <c r="N247">
        <v>7432</v>
      </c>
    </row>
    <row r="248" spans="1:14" x14ac:dyDescent="0.3">
      <c r="A248" t="s">
        <v>812</v>
      </c>
      <c r="B248" t="s">
        <v>95</v>
      </c>
      <c r="C248">
        <v>19</v>
      </c>
      <c r="D248">
        <v>94.6</v>
      </c>
      <c r="H248">
        <v>92</v>
      </c>
      <c r="J248">
        <v>84.7</v>
      </c>
      <c r="N248">
        <v>19548</v>
      </c>
    </row>
    <row r="249" spans="1:14" x14ac:dyDescent="0.3">
      <c r="A249" t="s">
        <v>129</v>
      </c>
      <c r="B249" t="s">
        <v>43</v>
      </c>
      <c r="C249">
        <v>176.2</v>
      </c>
      <c r="D249">
        <v>94.5</v>
      </c>
      <c r="G249">
        <v>96.1</v>
      </c>
      <c r="H249">
        <v>81.900000000000006</v>
      </c>
      <c r="I249">
        <v>84.8</v>
      </c>
      <c r="J249">
        <v>80</v>
      </c>
      <c r="N249">
        <v>15474</v>
      </c>
    </row>
    <row r="250" spans="1:14" x14ac:dyDescent="0.3">
      <c r="A250" t="s">
        <v>811</v>
      </c>
      <c r="B250" t="s">
        <v>62</v>
      </c>
      <c r="C250">
        <v>49</v>
      </c>
      <c r="D250">
        <v>94.5</v>
      </c>
      <c r="H250">
        <v>87.5</v>
      </c>
      <c r="I250">
        <v>86.3</v>
      </c>
      <c r="N250">
        <v>14288</v>
      </c>
    </row>
    <row r="251" spans="1:14" x14ac:dyDescent="0.3">
      <c r="A251" t="s">
        <v>810</v>
      </c>
      <c r="B251" t="s">
        <v>127</v>
      </c>
      <c r="C251">
        <v>7.1</v>
      </c>
      <c r="D251">
        <v>94.5</v>
      </c>
      <c r="G251">
        <v>87.4</v>
      </c>
      <c r="H251">
        <v>85.6</v>
      </c>
      <c r="I251">
        <v>82.6</v>
      </c>
      <c r="N251">
        <v>17170</v>
      </c>
    </row>
    <row r="252" spans="1:14" x14ac:dyDescent="0.3">
      <c r="A252" t="s">
        <v>307</v>
      </c>
      <c r="B252" t="s">
        <v>95</v>
      </c>
      <c r="C252">
        <v>117.1</v>
      </c>
      <c r="D252">
        <v>94.5</v>
      </c>
      <c r="E252">
        <v>96.7</v>
      </c>
      <c r="G252">
        <v>92.8</v>
      </c>
      <c r="H252">
        <v>90.1</v>
      </c>
      <c r="I252">
        <v>86.7</v>
      </c>
      <c r="J252">
        <v>83.3</v>
      </c>
      <c r="N252">
        <v>11189</v>
      </c>
    </row>
    <row r="253" spans="1:14" x14ac:dyDescent="0.3">
      <c r="A253" t="s">
        <v>809</v>
      </c>
      <c r="B253" t="s">
        <v>89</v>
      </c>
      <c r="C253">
        <v>6.1</v>
      </c>
      <c r="D253">
        <v>94.5</v>
      </c>
      <c r="G253">
        <v>94.6</v>
      </c>
      <c r="H253">
        <v>91.2</v>
      </c>
      <c r="I253">
        <v>89.3</v>
      </c>
      <c r="N253">
        <v>15232</v>
      </c>
    </row>
    <row r="254" spans="1:14" x14ac:dyDescent="0.3">
      <c r="A254" t="s">
        <v>808</v>
      </c>
      <c r="B254" t="s">
        <v>58</v>
      </c>
      <c r="C254">
        <v>13.2</v>
      </c>
      <c r="D254">
        <v>94.5</v>
      </c>
      <c r="G254">
        <v>94.6</v>
      </c>
      <c r="H254">
        <v>83.8</v>
      </c>
      <c r="I254">
        <v>88.3</v>
      </c>
      <c r="J254">
        <v>78.2</v>
      </c>
      <c r="N254">
        <v>13896</v>
      </c>
    </row>
    <row r="255" spans="1:14" x14ac:dyDescent="0.3">
      <c r="A255" t="s">
        <v>169</v>
      </c>
      <c r="B255" t="s">
        <v>38</v>
      </c>
      <c r="C255">
        <v>78</v>
      </c>
      <c r="D255">
        <v>94.5</v>
      </c>
      <c r="E255">
        <v>92.1</v>
      </c>
      <c r="G255">
        <v>94.4</v>
      </c>
      <c r="I255">
        <v>85.9</v>
      </c>
      <c r="N255">
        <v>8004</v>
      </c>
    </row>
    <row r="256" spans="1:14" x14ac:dyDescent="0.3">
      <c r="A256" t="s">
        <v>807</v>
      </c>
      <c r="B256" t="s">
        <v>43</v>
      </c>
      <c r="C256">
        <v>10.1</v>
      </c>
      <c r="D256">
        <v>94.5</v>
      </c>
      <c r="G256">
        <v>95.6</v>
      </c>
      <c r="H256">
        <v>88.2</v>
      </c>
      <c r="I256">
        <v>87.7</v>
      </c>
      <c r="N256">
        <v>4696</v>
      </c>
    </row>
    <row r="257" spans="1:14" x14ac:dyDescent="0.3">
      <c r="A257" t="s">
        <v>806</v>
      </c>
      <c r="B257" t="s">
        <v>146</v>
      </c>
      <c r="C257">
        <v>28</v>
      </c>
      <c r="D257">
        <v>94.5</v>
      </c>
      <c r="G257">
        <v>94.9</v>
      </c>
      <c r="H257">
        <v>86</v>
      </c>
      <c r="I257">
        <v>85</v>
      </c>
      <c r="N257">
        <v>17734</v>
      </c>
    </row>
    <row r="258" spans="1:14" x14ac:dyDescent="0.3">
      <c r="A258" t="s">
        <v>45</v>
      </c>
      <c r="B258" t="s">
        <v>46</v>
      </c>
      <c r="C258">
        <v>56</v>
      </c>
      <c r="D258">
        <v>94.5</v>
      </c>
      <c r="G258">
        <v>92.2</v>
      </c>
      <c r="H258">
        <v>88.1</v>
      </c>
      <c r="I258">
        <v>85.8</v>
      </c>
      <c r="L258">
        <v>85.5</v>
      </c>
      <c r="N258">
        <v>13911</v>
      </c>
    </row>
    <row r="259" spans="1:14" x14ac:dyDescent="0.3">
      <c r="A259" t="s">
        <v>805</v>
      </c>
      <c r="B259" t="s">
        <v>26</v>
      </c>
      <c r="C259">
        <v>19.2</v>
      </c>
      <c r="D259">
        <v>94.5</v>
      </c>
      <c r="H259">
        <v>86.4</v>
      </c>
      <c r="I259">
        <v>83.4</v>
      </c>
      <c r="J259">
        <v>77.7</v>
      </c>
      <c r="K259">
        <v>72.400000000000006</v>
      </c>
      <c r="N259">
        <v>20041</v>
      </c>
    </row>
    <row r="260" spans="1:14" x14ac:dyDescent="0.3">
      <c r="A260" t="s">
        <v>315</v>
      </c>
      <c r="B260" t="s">
        <v>83</v>
      </c>
      <c r="C260">
        <v>117</v>
      </c>
      <c r="D260">
        <v>94.4</v>
      </c>
      <c r="E260">
        <v>86.3</v>
      </c>
      <c r="H260">
        <v>84.1</v>
      </c>
      <c r="I260">
        <v>86.6</v>
      </c>
      <c r="J260">
        <v>80.400000000000006</v>
      </c>
      <c r="L260">
        <v>95.1</v>
      </c>
      <c r="N260">
        <v>16981</v>
      </c>
    </row>
    <row r="261" spans="1:14" x14ac:dyDescent="0.3">
      <c r="A261" t="s">
        <v>317</v>
      </c>
      <c r="B261" t="s">
        <v>66</v>
      </c>
      <c r="C261">
        <v>165.1</v>
      </c>
      <c r="D261">
        <v>94.4</v>
      </c>
      <c r="E261">
        <v>88.8</v>
      </c>
      <c r="G261">
        <v>94.1</v>
      </c>
      <c r="H261">
        <v>85.6</v>
      </c>
      <c r="J261">
        <v>79.5</v>
      </c>
      <c r="N261">
        <v>6902</v>
      </c>
    </row>
    <row r="262" spans="1:14" x14ac:dyDescent="0.3">
      <c r="A262" t="s">
        <v>804</v>
      </c>
      <c r="B262" t="s">
        <v>36</v>
      </c>
      <c r="C262">
        <v>33.200000000000003</v>
      </c>
      <c r="D262">
        <v>94.4</v>
      </c>
      <c r="H262">
        <v>88.1</v>
      </c>
      <c r="I262">
        <v>84.7</v>
      </c>
      <c r="N262">
        <v>20632</v>
      </c>
    </row>
    <row r="263" spans="1:14" x14ac:dyDescent="0.3">
      <c r="A263" t="s">
        <v>342</v>
      </c>
      <c r="B263" t="s">
        <v>93</v>
      </c>
      <c r="C263">
        <v>64</v>
      </c>
      <c r="D263">
        <v>94.4</v>
      </c>
      <c r="G263">
        <v>94.2</v>
      </c>
      <c r="H263">
        <v>88.2</v>
      </c>
      <c r="I263">
        <v>88.2</v>
      </c>
      <c r="J263">
        <v>81.3</v>
      </c>
      <c r="N263">
        <v>12972</v>
      </c>
    </row>
    <row r="264" spans="1:14" x14ac:dyDescent="0.3">
      <c r="A264" t="s">
        <v>803</v>
      </c>
      <c r="B264" t="s">
        <v>193</v>
      </c>
      <c r="C264">
        <v>21</v>
      </c>
      <c r="D264">
        <v>94.4</v>
      </c>
      <c r="G264">
        <v>93.8</v>
      </c>
      <c r="H264">
        <v>88.3</v>
      </c>
      <c r="I264">
        <v>84.1</v>
      </c>
      <c r="N264">
        <v>19311</v>
      </c>
    </row>
    <row r="265" spans="1:14" x14ac:dyDescent="0.3">
      <c r="A265" t="s">
        <v>802</v>
      </c>
      <c r="B265" t="s">
        <v>53</v>
      </c>
      <c r="C265">
        <v>5</v>
      </c>
      <c r="D265">
        <v>94.4</v>
      </c>
      <c r="G265">
        <v>92.9</v>
      </c>
      <c r="H265">
        <v>84.3</v>
      </c>
      <c r="I265">
        <v>81</v>
      </c>
      <c r="N265">
        <v>17878</v>
      </c>
    </row>
    <row r="266" spans="1:14" x14ac:dyDescent="0.3">
      <c r="A266" t="s">
        <v>801</v>
      </c>
      <c r="B266" t="s">
        <v>53</v>
      </c>
      <c r="C266">
        <v>46.2</v>
      </c>
      <c r="D266">
        <v>94.4</v>
      </c>
      <c r="G266">
        <v>93.9</v>
      </c>
      <c r="H266">
        <v>87.4</v>
      </c>
      <c r="I266">
        <v>88.1</v>
      </c>
      <c r="J266">
        <v>76.400000000000006</v>
      </c>
      <c r="N266">
        <v>13394</v>
      </c>
    </row>
    <row r="267" spans="1:14" x14ac:dyDescent="0.3">
      <c r="A267" t="s">
        <v>800</v>
      </c>
      <c r="B267" t="s">
        <v>48</v>
      </c>
      <c r="C267">
        <v>10.1</v>
      </c>
      <c r="D267">
        <v>94.4</v>
      </c>
      <c r="G267">
        <v>93.2</v>
      </c>
      <c r="H267">
        <v>85.6</v>
      </c>
      <c r="I267">
        <v>87.3</v>
      </c>
      <c r="N267">
        <v>14338</v>
      </c>
    </row>
    <row r="268" spans="1:14" x14ac:dyDescent="0.3">
      <c r="A268" t="s">
        <v>303</v>
      </c>
      <c r="B268" t="s">
        <v>36</v>
      </c>
      <c r="C268">
        <v>60.2</v>
      </c>
      <c r="D268">
        <v>94.4</v>
      </c>
      <c r="H268">
        <v>86.1</v>
      </c>
      <c r="I268">
        <v>84.9</v>
      </c>
      <c r="J268">
        <v>77</v>
      </c>
      <c r="N268">
        <v>13133</v>
      </c>
    </row>
    <row r="269" spans="1:14" x14ac:dyDescent="0.3">
      <c r="A269" t="s">
        <v>799</v>
      </c>
      <c r="B269" t="s">
        <v>53</v>
      </c>
      <c r="C269">
        <v>17.100000000000001</v>
      </c>
      <c r="D269">
        <v>94.4</v>
      </c>
      <c r="G269">
        <v>93.2</v>
      </c>
      <c r="H269">
        <v>87.4</v>
      </c>
      <c r="I269">
        <v>84.5</v>
      </c>
      <c r="N269">
        <v>10591</v>
      </c>
    </row>
    <row r="270" spans="1:14" x14ac:dyDescent="0.3">
      <c r="A270" t="s">
        <v>798</v>
      </c>
      <c r="B270" t="s">
        <v>34</v>
      </c>
      <c r="C270">
        <v>9.1999999999999993</v>
      </c>
      <c r="D270">
        <v>94.4</v>
      </c>
      <c r="G270">
        <v>93.2</v>
      </c>
      <c r="H270">
        <v>87.2</v>
      </c>
      <c r="I270">
        <v>86.7</v>
      </c>
      <c r="N270">
        <v>3599</v>
      </c>
    </row>
    <row r="271" spans="1:14" x14ac:dyDescent="0.3">
      <c r="A271" t="s">
        <v>148</v>
      </c>
      <c r="B271" t="s">
        <v>53</v>
      </c>
      <c r="C271">
        <v>62.1</v>
      </c>
      <c r="D271">
        <v>94.4</v>
      </c>
      <c r="G271">
        <v>93.6</v>
      </c>
      <c r="H271">
        <v>87.5</v>
      </c>
      <c r="I271">
        <v>85</v>
      </c>
      <c r="J271">
        <v>83.1</v>
      </c>
      <c r="N271">
        <v>12095</v>
      </c>
    </row>
    <row r="272" spans="1:14" x14ac:dyDescent="0.3">
      <c r="A272" t="s">
        <v>313</v>
      </c>
      <c r="B272" t="s">
        <v>71</v>
      </c>
      <c r="C272">
        <v>52</v>
      </c>
      <c r="D272">
        <v>94.4</v>
      </c>
      <c r="F272">
        <v>90.6</v>
      </c>
      <c r="G272">
        <v>93.9</v>
      </c>
      <c r="J272">
        <v>81.3</v>
      </c>
      <c r="N272">
        <v>9490</v>
      </c>
    </row>
    <row r="273" spans="1:14" x14ac:dyDescent="0.3">
      <c r="A273" t="s">
        <v>189</v>
      </c>
      <c r="B273" t="s">
        <v>77</v>
      </c>
      <c r="C273">
        <v>178.2</v>
      </c>
      <c r="D273">
        <v>94.3</v>
      </c>
      <c r="E273">
        <v>91.3</v>
      </c>
      <c r="F273">
        <v>88.8</v>
      </c>
      <c r="G273">
        <v>94.4</v>
      </c>
      <c r="H273">
        <v>90.6</v>
      </c>
      <c r="I273">
        <v>85.1</v>
      </c>
      <c r="J273">
        <v>77.400000000000006</v>
      </c>
      <c r="K273">
        <v>68.7</v>
      </c>
      <c r="N273">
        <v>13074</v>
      </c>
    </row>
    <row r="274" spans="1:14" x14ac:dyDescent="0.3">
      <c r="A274" t="s">
        <v>259</v>
      </c>
      <c r="B274" t="s">
        <v>93</v>
      </c>
      <c r="C274">
        <v>71.099999999999994</v>
      </c>
      <c r="D274">
        <v>94.3</v>
      </c>
      <c r="E274">
        <v>93.1</v>
      </c>
      <c r="H274">
        <v>87.7</v>
      </c>
      <c r="I274">
        <v>93.4</v>
      </c>
      <c r="J274">
        <v>79.8</v>
      </c>
      <c r="N274">
        <v>15855</v>
      </c>
    </row>
    <row r="275" spans="1:14" x14ac:dyDescent="0.3">
      <c r="A275" t="s">
        <v>362</v>
      </c>
      <c r="B275" t="s">
        <v>28</v>
      </c>
      <c r="C275">
        <v>70.2</v>
      </c>
      <c r="D275">
        <v>94.3</v>
      </c>
      <c r="G275">
        <v>92.6</v>
      </c>
      <c r="H275">
        <v>88.4</v>
      </c>
      <c r="I275">
        <v>93.4</v>
      </c>
      <c r="J275">
        <v>79.5</v>
      </c>
      <c r="N275">
        <v>17295</v>
      </c>
    </row>
    <row r="276" spans="1:14" x14ac:dyDescent="0.3">
      <c r="A276" t="s">
        <v>106</v>
      </c>
      <c r="B276" t="s">
        <v>75</v>
      </c>
      <c r="C276">
        <v>68.099999999999994</v>
      </c>
      <c r="D276">
        <v>94.3</v>
      </c>
      <c r="G276">
        <v>93.9</v>
      </c>
      <c r="H276">
        <v>87.4</v>
      </c>
      <c r="I276">
        <v>81.3</v>
      </c>
      <c r="J276">
        <v>78.7</v>
      </c>
      <c r="N276">
        <v>16943</v>
      </c>
    </row>
    <row r="277" spans="1:14" x14ac:dyDescent="0.3">
      <c r="A277" t="s">
        <v>345</v>
      </c>
      <c r="B277" t="s">
        <v>30</v>
      </c>
      <c r="C277">
        <v>50</v>
      </c>
      <c r="D277">
        <v>94.3</v>
      </c>
      <c r="G277">
        <v>94.5</v>
      </c>
      <c r="H277">
        <v>87.7</v>
      </c>
      <c r="I277">
        <v>86.9</v>
      </c>
      <c r="J277">
        <v>81.8</v>
      </c>
      <c r="N277">
        <v>13649</v>
      </c>
    </row>
    <row r="278" spans="1:14" x14ac:dyDescent="0.3">
      <c r="A278" t="s">
        <v>117</v>
      </c>
      <c r="B278" t="s">
        <v>93</v>
      </c>
      <c r="C278">
        <v>209</v>
      </c>
      <c r="D278">
        <v>94.3</v>
      </c>
      <c r="G278">
        <v>94.1</v>
      </c>
      <c r="H278">
        <v>88.1</v>
      </c>
      <c r="I278">
        <v>88.4</v>
      </c>
      <c r="J278">
        <v>81.5</v>
      </c>
      <c r="N278">
        <v>10131</v>
      </c>
    </row>
    <row r="279" spans="1:14" x14ac:dyDescent="0.3">
      <c r="A279" t="s">
        <v>797</v>
      </c>
      <c r="B279" t="s">
        <v>77</v>
      </c>
      <c r="C279">
        <v>12.1</v>
      </c>
      <c r="D279">
        <v>94.3</v>
      </c>
      <c r="H279">
        <v>85.2</v>
      </c>
      <c r="J279">
        <v>79.599999999999994</v>
      </c>
      <c r="N279">
        <v>17859</v>
      </c>
    </row>
    <row r="280" spans="1:14" x14ac:dyDescent="0.3">
      <c r="A280" t="s">
        <v>322</v>
      </c>
      <c r="B280" t="s">
        <v>30</v>
      </c>
      <c r="C280">
        <v>119.2</v>
      </c>
      <c r="D280">
        <v>94.3</v>
      </c>
      <c r="G280">
        <v>94.1</v>
      </c>
      <c r="H280">
        <v>87.9</v>
      </c>
      <c r="I280">
        <v>88.8</v>
      </c>
      <c r="J280">
        <v>82.6</v>
      </c>
      <c r="N280">
        <v>6345</v>
      </c>
    </row>
    <row r="281" spans="1:14" x14ac:dyDescent="0.3">
      <c r="A281" t="s">
        <v>796</v>
      </c>
      <c r="B281" t="s">
        <v>46</v>
      </c>
      <c r="C281">
        <v>10.1</v>
      </c>
      <c r="D281">
        <v>94.3</v>
      </c>
      <c r="I281">
        <v>81.2</v>
      </c>
      <c r="N281">
        <v>13323</v>
      </c>
    </row>
    <row r="282" spans="1:14" x14ac:dyDescent="0.3">
      <c r="A282" t="s">
        <v>39</v>
      </c>
      <c r="B282" t="s">
        <v>40</v>
      </c>
      <c r="C282">
        <v>66.099999999999994</v>
      </c>
      <c r="D282">
        <v>94.3</v>
      </c>
      <c r="E282">
        <v>88.6</v>
      </c>
      <c r="G282">
        <v>94.2</v>
      </c>
      <c r="I282">
        <v>82</v>
      </c>
      <c r="N282">
        <v>1247</v>
      </c>
    </row>
    <row r="283" spans="1:14" x14ac:dyDescent="0.3">
      <c r="A283" t="s">
        <v>795</v>
      </c>
      <c r="B283" t="s">
        <v>62</v>
      </c>
      <c r="C283">
        <v>7.2</v>
      </c>
      <c r="D283">
        <v>94.3</v>
      </c>
      <c r="H283">
        <v>84.3</v>
      </c>
      <c r="I283">
        <v>82.8</v>
      </c>
      <c r="N283">
        <v>15264</v>
      </c>
    </row>
    <row r="284" spans="1:14" x14ac:dyDescent="0.3">
      <c r="A284" t="s">
        <v>794</v>
      </c>
      <c r="B284" t="s">
        <v>48</v>
      </c>
      <c r="C284">
        <v>34.200000000000003</v>
      </c>
      <c r="D284">
        <v>94.3</v>
      </c>
      <c r="G284">
        <v>93.5</v>
      </c>
      <c r="H284">
        <v>87.6</v>
      </c>
      <c r="I284">
        <v>86.3</v>
      </c>
      <c r="J284">
        <v>81.2</v>
      </c>
      <c r="N284">
        <v>14764</v>
      </c>
    </row>
    <row r="285" spans="1:14" x14ac:dyDescent="0.3">
      <c r="A285" t="s">
        <v>186</v>
      </c>
      <c r="B285" t="s">
        <v>48</v>
      </c>
      <c r="C285">
        <v>50</v>
      </c>
      <c r="D285">
        <v>94.3</v>
      </c>
      <c r="G285">
        <v>94.1</v>
      </c>
      <c r="H285">
        <v>86.9</v>
      </c>
      <c r="I285">
        <v>87.6</v>
      </c>
      <c r="J285">
        <v>77.8</v>
      </c>
      <c r="N285">
        <v>12673</v>
      </c>
    </row>
    <row r="286" spans="1:14" x14ac:dyDescent="0.3">
      <c r="A286" t="s">
        <v>291</v>
      </c>
      <c r="B286" t="s">
        <v>143</v>
      </c>
      <c r="C286">
        <v>62.1</v>
      </c>
      <c r="D286">
        <v>94.2</v>
      </c>
      <c r="G286">
        <v>93.8</v>
      </c>
      <c r="H286">
        <v>89.7</v>
      </c>
      <c r="I286">
        <v>85.3</v>
      </c>
      <c r="J286">
        <v>81.2</v>
      </c>
      <c r="N286">
        <v>17369</v>
      </c>
    </row>
    <row r="287" spans="1:14" x14ac:dyDescent="0.3">
      <c r="A287" t="s">
        <v>120</v>
      </c>
      <c r="B287" t="s">
        <v>26</v>
      </c>
      <c r="C287">
        <v>140.19999999999999</v>
      </c>
      <c r="D287">
        <v>94.2</v>
      </c>
      <c r="G287">
        <v>83.9</v>
      </c>
      <c r="H287">
        <v>84.8</v>
      </c>
      <c r="I287">
        <v>94.8</v>
      </c>
      <c r="J287">
        <v>76.400000000000006</v>
      </c>
      <c r="N287">
        <v>20099</v>
      </c>
    </row>
    <row r="288" spans="1:14" x14ac:dyDescent="0.3">
      <c r="A288" t="s">
        <v>172</v>
      </c>
      <c r="B288" t="s">
        <v>34</v>
      </c>
      <c r="C288">
        <v>144</v>
      </c>
      <c r="D288">
        <v>94.2</v>
      </c>
      <c r="E288">
        <v>88.6</v>
      </c>
      <c r="G288">
        <v>93.4</v>
      </c>
      <c r="H288">
        <v>85.3</v>
      </c>
      <c r="I288">
        <v>80.900000000000006</v>
      </c>
      <c r="J288">
        <v>70.599999999999994</v>
      </c>
      <c r="N288">
        <v>12304</v>
      </c>
    </row>
    <row r="289" spans="1:14" x14ac:dyDescent="0.3">
      <c r="A289" t="s">
        <v>341</v>
      </c>
      <c r="B289" t="s">
        <v>48</v>
      </c>
      <c r="C289">
        <v>54.1</v>
      </c>
      <c r="D289">
        <v>94.2</v>
      </c>
      <c r="E289">
        <v>90.7</v>
      </c>
      <c r="G289">
        <v>92.6</v>
      </c>
      <c r="H289">
        <v>86.7</v>
      </c>
      <c r="I289">
        <v>85.3</v>
      </c>
      <c r="N289">
        <v>6627</v>
      </c>
    </row>
    <row r="290" spans="1:14" x14ac:dyDescent="0.3">
      <c r="A290" t="s">
        <v>121</v>
      </c>
      <c r="B290" t="s">
        <v>50</v>
      </c>
      <c r="C290">
        <v>174.2</v>
      </c>
      <c r="D290">
        <v>94.2</v>
      </c>
      <c r="E290">
        <v>87.7</v>
      </c>
      <c r="G290">
        <v>93.8</v>
      </c>
      <c r="H290">
        <v>88.4</v>
      </c>
      <c r="I290">
        <v>82.3</v>
      </c>
      <c r="N290">
        <v>19206</v>
      </c>
    </row>
    <row r="291" spans="1:14" x14ac:dyDescent="0.3">
      <c r="A291" t="s">
        <v>793</v>
      </c>
      <c r="B291" t="s">
        <v>159</v>
      </c>
      <c r="C291">
        <v>6.2</v>
      </c>
      <c r="D291">
        <v>94.2</v>
      </c>
      <c r="H291">
        <v>86.6</v>
      </c>
      <c r="I291">
        <v>87.6</v>
      </c>
      <c r="N291">
        <v>19457</v>
      </c>
    </row>
    <row r="292" spans="1:14" x14ac:dyDescent="0.3">
      <c r="A292" t="s">
        <v>278</v>
      </c>
      <c r="B292" t="s">
        <v>48</v>
      </c>
      <c r="C292">
        <v>150</v>
      </c>
      <c r="D292">
        <v>94.2</v>
      </c>
      <c r="E292">
        <v>86.9</v>
      </c>
      <c r="G292">
        <v>92.4</v>
      </c>
      <c r="H292">
        <v>84.8</v>
      </c>
      <c r="I292">
        <v>85.9</v>
      </c>
      <c r="J292">
        <v>80.8</v>
      </c>
      <c r="N292">
        <v>8782</v>
      </c>
    </row>
    <row r="293" spans="1:14" x14ac:dyDescent="0.3">
      <c r="A293" t="s">
        <v>65</v>
      </c>
      <c r="B293" t="s">
        <v>66</v>
      </c>
      <c r="C293">
        <v>57.2</v>
      </c>
      <c r="D293">
        <v>94.2</v>
      </c>
      <c r="G293">
        <v>94.3</v>
      </c>
      <c r="H293">
        <v>86.5</v>
      </c>
      <c r="J293">
        <v>82.5</v>
      </c>
      <c r="N293">
        <v>13758</v>
      </c>
    </row>
    <row r="294" spans="1:14" x14ac:dyDescent="0.3">
      <c r="A294" t="s">
        <v>792</v>
      </c>
      <c r="B294" t="s">
        <v>48</v>
      </c>
      <c r="C294">
        <v>34.200000000000003</v>
      </c>
      <c r="D294">
        <v>94.2</v>
      </c>
      <c r="I294">
        <v>84.6</v>
      </c>
      <c r="J294">
        <v>75.3</v>
      </c>
      <c r="N294">
        <v>16390</v>
      </c>
    </row>
    <row r="295" spans="1:14" x14ac:dyDescent="0.3">
      <c r="A295" t="s">
        <v>791</v>
      </c>
      <c r="B295" t="s">
        <v>56</v>
      </c>
      <c r="C295">
        <v>46.2</v>
      </c>
      <c r="D295">
        <v>94.2</v>
      </c>
      <c r="G295">
        <v>93.6</v>
      </c>
      <c r="H295">
        <v>88.1</v>
      </c>
      <c r="J295">
        <v>81.3</v>
      </c>
      <c r="N295">
        <v>17018</v>
      </c>
    </row>
    <row r="296" spans="1:14" x14ac:dyDescent="0.3">
      <c r="A296" t="s">
        <v>214</v>
      </c>
      <c r="B296" t="s">
        <v>95</v>
      </c>
      <c r="C296">
        <v>163.1</v>
      </c>
      <c r="D296">
        <v>94.2</v>
      </c>
      <c r="E296">
        <v>90</v>
      </c>
      <c r="G296">
        <v>93.4</v>
      </c>
      <c r="H296">
        <v>87</v>
      </c>
      <c r="I296">
        <v>87.4</v>
      </c>
      <c r="J296">
        <v>78.2</v>
      </c>
      <c r="N296">
        <v>13774</v>
      </c>
    </row>
    <row r="297" spans="1:14" x14ac:dyDescent="0.3">
      <c r="A297" t="s">
        <v>790</v>
      </c>
      <c r="B297" t="s">
        <v>127</v>
      </c>
      <c r="C297">
        <v>31</v>
      </c>
      <c r="D297">
        <v>94.2</v>
      </c>
      <c r="G297">
        <v>91.9</v>
      </c>
      <c r="H297">
        <v>87.5</v>
      </c>
      <c r="I297">
        <v>83.9</v>
      </c>
      <c r="N297">
        <v>15136</v>
      </c>
    </row>
    <row r="298" spans="1:14" x14ac:dyDescent="0.3">
      <c r="A298" t="s">
        <v>789</v>
      </c>
      <c r="B298" t="s">
        <v>46</v>
      </c>
      <c r="C298">
        <v>36</v>
      </c>
      <c r="D298">
        <v>94.2</v>
      </c>
      <c r="G298">
        <v>93.7</v>
      </c>
      <c r="H298">
        <v>87.9</v>
      </c>
      <c r="I298">
        <v>87.5</v>
      </c>
      <c r="J298">
        <v>82.4</v>
      </c>
      <c r="N298">
        <v>16300</v>
      </c>
    </row>
    <row r="299" spans="1:14" x14ac:dyDescent="0.3">
      <c r="A299" t="s">
        <v>356</v>
      </c>
      <c r="B299" t="s">
        <v>48</v>
      </c>
      <c r="C299">
        <v>102.1</v>
      </c>
      <c r="D299">
        <v>94.2</v>
      </c>
      <c r="F299">
        <v>83.6</v>
      </c>
      <c r="G299">
        <v>91.4</v>
      </c>
      <c r="H299">
        <v>86.4</v>
      </c>
      <c r="I299">
        <v>82.4</v>
      </c>
      <c r="J299">
        <v>92.7</v>
      </c>
      <c r="N299">
        <v>14107</v>
      </c>
    </row>
    <row r="300" spans="1:14" x14ac:dyDescent="0.3">
      <c r="A300" t="s">
        <v>267</v>
      </c>
      <c r="B300" t="s">
        <v>62</v>
      </c>
      <c r="C300">
        <v>90.1</v>
      </c>
      <c r="D300">
        <v>94.1</v>
      </c>
      <c r="F300">
        <v>88.1</v>
      </c>
      <c r="H300">
        <v>89.3</v>
      </c>
      <c r="I300">
        <v>89.2</v>
      </c>
      <c r="J300">
        <v>82.2</v>
      </c>
      <c r="N300">
        <v>19867</v>
      </c>
    </row>
    <row r="301" spans="1:14" x14ac:dyDescent="0.3">
      <c r="A301" t="s">
        <v>327</v>
      </c>
      <c r="B301" t="s">
        <v>56</v>
      </c>
      <c r="C301">
        <v>80</v>
      </c>
      <c r="D301">
        <v>94.1</v>
      </c>
      <c r="G301">
        <v>93</v>
      </c>
      <c r="H301">
        <v>88.1</v>
      </c>
      <c r="I301">
        <v>85.1</v>
      </c>
      <c r="J301">
        <v>82.6</v>
      </c>
      <c r="N301">
        <v>6632</v>
      </c>
    </row>
    <row r="302" spans="1:14" x14ac:dyDescent="0.3">
      <c r="A302" t="s">
        <v>97</v>
      </c>
      <c r="B302" t="s">
        <v>98</v>
      </c>
      <c r="C302">
        <v>64.099999999999994</v>
      </c>
      <c r="D302">
        <v>94.1</v>
      </c>
      <c r="E302">
        <v>87.8</v>
      </c>
      <c r="H302">
        <v>84.8</v>
      </c>
      <c r="I302">
        <v>88.9</v>
      </c>
      <c r="J302">
        <v>81.599999999999994</v>
      </c>
      <c r="N302">
        <v>16918</v>
      </c>
    </row>
    <row r="303" spans="1:14" x14ac:dyDescent="0.3">
      <c r="A303" t="s">
        <v>788</v>
      </c>
      <c r="B303" t="s">
        <v>48</v>
      </c>
      <c r="C303">
        <v>17</v>
      </c>
      <c r="D303">
        <v>94.1</v>
      </c>
      <c r="H303">
        <v>90.3</v>
      </c>
      <c r="J303">
        <v>79.3</v>
      </c>
      <c r="N303">
        <v>13607</v>
      </c>
    </row>
    <row r="304" spans="1:14" x14ac:dyDescent="0.3">
      <c r="A304" t="s">
        <v>787</v>
      </c>
      <c r="B304" t="s">
        <v>38</v>
      </c>
      <c r="C304">
        <v>18.2</v>
      </c>
      <c r="D304">
        <v>94.1</v>
      </c>
      <c r="H304">
        <v>86.1</v>
      </c>
      <c r="I304">
        <v>85</v>
      </c>
      <c r="J304">
        <v>78.599999999999994</v>
      </c>
      <c r="N304">
        <v>10688</v>
      </c>
    </row>
    <row r="305" spans="1:14" x14ac:dyDescent="0.3">
      <c r="A305" t="s">
        <v>786</v>
      </c>
      <c r="B305" t="s">
        <v>127</v>
      </c>
      <c r="C305">
        <v>1</v>
      </c>
      <c r="D305">
        <v>94.1</v>
      </c>
      <c r="I305">
        <v>85.5</v>
      </c>
      <c r="J305">
        <v>80.5</v>
      </c>
      <c r="N305">
        <v>16125</v>
      </c>
    </row>
    <row r="306" spans="1:14" x14ac:dyDescent="0.3">
      <c r="A306" t="s">
        <v>785</v>
      </c>
      <c r="B306" t="s">
        <v>48</v>
      </c>
      <c r="C306">
        <v>28</v>
      </c>
      <c r="D306">
        <v>94.1</v>
      </c>
      <c r="G306">
        <v>92.3</v>
      </c>
      <c r="I306">
        <v>87.1</v>
      </c>
      <c r="J306">
        <v>77.400000000000006</v>
      </c>
      <c r="N306">
        <v>11437</v>
      </c>
    </row>
    <row r="307" spans="1:14" x14ac:dyDescent="0.3">
      <c r="A307" t="s">
        <v>784</v>
      </c>
      <c r="B307" t="s">
        <v>143</v>
      </c>
      <c r="C307">
        <v>16.2</v>
      </c>
      <c r="D307">
        <v>94.1</v>
      </c>
      <c r="E307">
        <v>94.1</v>
      </c>
      <c r="H307">
        <v>87.2</v>
      </c>
      <c r="I307">
        <v>86.3</v>
      </c>
      <c r="J307">
        <v>78.8</v>
      </c>
      <c r="N307">
        <v>17035</v>
      </c>
    </row>
    <row r="308" spans="1:14" x14ac:dyDescent="0.3">
      <c r="A308" t="s">
        <v>328</v>
      </c>
      <c r="B308" t="s">
        <v>71</v>
      </c>
      <c r="C308">
        <v>85</v>
      </c>
      <c r="D308">
        <v>94.1</v>
      </c>
      <c r="H308">
        <v>89.6</v>
      </c>
      <c r="I308">
        <v>93.4</v>
      </c>
      <c r="J308">
        <v>77.599999999999994</v>
      </c>
      <c r="N308">
        <v>18679</v>
      </c>
    </row>
    <row r="309" spans="1:14" x14ac:dyDescent="0.3">
      <c r="A309" t="s">
        <v>783</v>
      </c>
      <c r="B309" t="s">
        <v>66</v>
      </c>
      <c r="C309">
        <v>1.2</v>
      </c>
      <c r="D309">
        <v>94.1</v>
      </c>
      <c r="I309">
        <v>86</v>
      </c>
      <c r="N309">
        <v>19459</v>
      </c>
    </row>
    <row r="310" spans="1:14" x14ac:dyDescent="0.3">
      <c r="A310" t="s">
        <v>173</v>
      </c>
      <c r="B310" t="s">
        <v>56</v>
      </c>
      <c r="C310">
        <v>115.2</v>
      </c>
      <c r="D310">
        <v>94</v>
      </c>
      <c r="G310">
        <v>86.2</v>
      </c>
      <c r="H310">
        <v>86</v>
      </c>
      <c r="I310">
        <v>85</v>
      </c>
      <c r="J310">
        <v>79.5</v>
      </c>
      <c r="N310">
        <v>19979</v>
      </c>
    </row>
    <row r="311" spans="1:14" x14ac:dyDescent="0.3">
      <c r="A311" t="s">
        <v>782</v>
      </c>
      <c r="B311" t="s">
        <v>95</v>
      </c>
      <c r="C311">
        <v>47.1</v>
      </c>
      <c r="D311">
        <v>94</v>
      </c>
      <c r="G311">
        <v>92.6</v>
      </c>
      <c r="H311">
        <v>88.4</v>
      </c>
      <c r="I311">
        <v>86.9</v>
      </c>
      <c r="N311">
        <v>7731</v>
      </c>
    </row>
    <row r="312" spans="1:14" x14ac:dyDescent="0.3">
      <c r="A312" t="s">
        <v>365</v>
      </c>
      <c r="B312" t="s">
        <v>159</v>
      </c>
      <c r="C312">
        <v>58</v>
      </c>
      <c r="D312">
        <v>94</v>
      </c>
      <c r="G312">
        <v>93.2</v>
      </c>
      <c r="H312">
        <v>88.4</v>
      </c>
      <c r="I312">
        <v>84.9</v>
      </c>
      <c r="J312">
        <v>78.5</v>
      </c>
      <c r="N312">
        <v>13424</v>
      </c>
    </row>
    <row r="313" spans="1:14" x14ac:dyDescent="0.3">
      <c r="A313" t="s">
        <v>221</v>
      </c>
      <c r="B313" t="s">
        <v>127</v>
      </c>
      <c r="C313">
        <v>165.1</v>
      </c>
      <c r="D313">
        <v>94</v>
      </c>
      <c r="G313">
        <v>93.3</v>
      </c>
      <c r="H313">
        <v>88.9</v>
      </c>
      <c r="I313">
        <v>85.4</v>
      </c>
      <c r="N313">
        <v>15734</v>
      </c>
    </row>
    <row r="314" spans="1:14" x14ac:dyDescent="0.3">
      <c r="A314" t="s">
        <v>781</v>
      </c>
      <c r="B314" t="s">
        <v>143</v>
      </c>
      <c r="C314">
        <v>4.2</v>
      </c>
      <c r="D314">
        <v>94</v>
      </c>
      <c r="H314">
        <v>85.3</v>
      </c>
      <c r="I314">
        <v>86.9</v>
      </c>
      <c r="N314">
        <v>14391</v>
      </c>
    </row>
    <row r="315" spans="1:14" x14ac:dyDescent="0.3">
      <c r="A315" t="s">
        <v>780</v>
      </c>
      <c r="B315" t="s">
        <v>43</v>
      </c>
      <c r="C315">
        <v>27.1</v>
      </c>
      <c r="D315">
        <v>94</v>
      </c>
      <c r="E315">
        <v>88.3</v>
      </c>
      <c r="H315">
        <v>86.8</v>
      </c>
      <c r="J315">
        <v>83.2</v>
      </c>
      <c r="N315">
        <v>18311</v>
      </c>
    </row>
    <row r="316" spans="1:14" x14ac:dyDescent="0.3">
      <c r="A316" t="s">
        <v>779</v>
      </c>
      <c r="B316" t="s">
        <v>95</v>
      </c>
      <c r="C316">
        <v>39</v>
      </c>
      <c r="D316">
        <v>94</v>
      </c>
      <c r="G316">
        <v>94.5</v>
      </c>
      <c r="H316">
        <v>89</v>
      </c>
      <c r="I316">
        <v>87.2</v>
      </c>
      <c r="N316">
        <v>19276</v>
      </c>
    </row>
    <row r="317" spans="1:14" x14ac:dyDescent="0.3">
      <c r="A317" t="s">
        <v>778</v>
      </c>
      <c r="B317" t="s">
        <v>95</v>
      </c>
      <c r="C317">
        <v>20.2</v>
      </c>
      <c r="D317">
        <v>94</v>
      </c>
      <c r="H317">
        <v>85.1</v>
      </c>
      <c r="I317">
        <v>84</v>
      </c>
      <c r="J317">
        <v>81.8</v>
      </c>
      <c r="N317">
        <v>17117</v>
      </c>
    </row>
    <row r="318" spans="1:14" x14ac:dyDescent="0.3">
      <c r="A318" t="s">
        <v>777</v>
      </c>
      <c r="B318" t="s">
        <v>48</v>
      </c>
      <c r="C318">
        <v>26.1</v>
      </c>
      <c r="D318">
        <v>94</v>
      </c>
      <c r="I318">
        <v>92.6</v>
      </c>
      <c r="J318">
        <v>78.5</v>
      </c>
      <c r="N318">
        <v>19814</v>
      </c>
    </row>
    <row r="319" spans="1:14" x14ac:dyDescent="0.3">
      <c r="A319" t="s">
        <v>316</v>
      </c>
      <c r="B319" t="s">
        <v>102</v>
      </c>
      <c r="C319">
        <v>111.1</v>
      </c>
      <c r="D319">
        <v>94</v>
      </c>
      <c r="G319">
        <v>93.7</v>
      </c>
      <c r="H319">
        <v>86.2</v>
      </c>
      <c r="J319">
        <v>80.2</v>
      </c>
      <c r="N319">
        <v>17085</v>
      </c>
    </row>
    <row r="320" spans="1:14" x14ac:dyDescent="0.3">
      <c r="A320" t="s">
        <v>776</v>
      </c>
      <c r="B320" t="s">
        <v>98</v>
      </c>
      <c r="C320">
        <v>30.1</v>
      </c>
      <c r="D320">
        <v>94</v>
      </c>
      <c r="F320">
        <v>87.6</v>
      </c>
      <c r="G320">
        <v>93.2</v>
      </c>
      <c r="J320">
        <v>78.900000000000006</v>
      </c>
      <c r="N320">
        <v>16058</v>
      </c>
    </row>
    <row r="321" spans="1:14" x14ac:dyDescent="0.3">
      <c r="A321" t="s">
        <v>775</v>
      </c>
      <c r="B321" t="s">
        <v>66</v>
      </c>
      <c r="C321">
        <v>37</v>
      </c>
      <c r="D321">
        <v>94</v>
      </c>
      <c r="G321">
        <v>90.3</v>
      </c>
      <c r="H321">
        <v>85.2</v>
      </c>
      <c r="I321">
        <v>86.7</v>
      </c>
      <c r="J321">
        <v>75.599999999999994</v>
      </c>
      <c r="N321">
        <v>15823</v>
      </c>
    </row>
    <row r="322" spans="1:14" x14ac:dyDescent="0.3">
      <c r="A322" t="s">
        <v>774</v>
      </c>
      <c r="B322" t="s">
        <v>48</v>
      </c>
      <c r="C322">
        <v>32.200000000000003</v>
      </c>
      <c r="D322">
        <v>94</v>
      </c>
      <c r="I322">
        <v>88.7</v>
      </c>
      <c r="J322">
        <v>82.6</v>
      </c>
      <c r="N322">
        <v>12323</v>
      </c>
    </row>
    <row r="323" spans="1:14" x14ac:dyDescent="0.3">
      <c r="A323" t="s">
        <v>118</v>
      </c>
      <c r="B323" t="s">
        <v>48</v>
      </c>
      <c r="C323">
        <v>62.1</v>
      </c>
      <c r="D323">
        <v>94</v>
      </c>
      <c r="E323">
        <v>91</v>
      </c>
      <c r="G323">
        <v>94</v>
      </c>
      <c r="H323">
        <v>87.5</v>
      </c>
      <c r="I323">
        <v>83.3</v>
      </c>
      <c r="N323">
        <v>11710</v>
      </c>
    </row>
    <row r="324" spans="1:14" x14ac:dyDescent="0.3">
      <c r="A324" t="s">
        <v>773</v>
      </c>
      <c r="B324" t="s">
        <v>89</v>
      </c>
      <c r="C324">
        <v>42.2</v>
      </c>
      <c r="D324">
        <v>94</v>
      </c>
      <c r="E324">
        <v>86.1</v>
      </c>
      <c r="G324">
        <v>93.6</v>
      </c>
      <c r="H324">
        <v>89.2</v>
      </c>
      <c r="I324">
        <v>0</v>
      </c>
      <c r="J324">
        <v>82.4</v>
      </c>
      <c r="N324">
        <v>4259</v>
      </c>
    </row>
    <row r="325" spans="1:14" x14ac:dyDescent="0.3">
      <c r="A325" t="s">
        <v>772</v>
      </c>
      <c r="B325" t="s">
        <v>127</v>
      </c>
      <c r="C325">
        <v>20</v>
      </c>
      <c r="D325">
        <v>94</v>
      </c>
      <c r="G325">
        <v>94.5</v>
      </c>
      <c r="H325">
        <v>88.5</v>
      </c>
      <c r="I325">
        <v>87.7</v>
      </c>
      <c r="N325">
        <v>19337</v>
      </c>
    </row>
    <row r="326" spans="1:14" x14ac:dyDescent="0.3">
      <c r="A326" t="s">
        <v>771</v>
      </c>
      <c r="B326" t="s">
        <v>32</v>
      </c>
      <c r="C326">
        <v>49</v>
      </c>
      <c r="D326">
        <v>93.9</v>
      </c>
      <c r="E326">
        <v>89.3</v>
      </c>
      <c r="H326">
        <v>86.8</v>
      </c>
      <c r="J326">
        <v>81.900000000000006</v>
      </c>
      <c r="N326">
        <v>20186</v>
      </c>
    </row>
    <row r="327" spans="1:14" x14ac:dyDescent="0.3">
      <c r="A327" t="s">
        <v>270</v>
      </c>
      <c r="B327" t="s">
        <v>159</v>
      </c>
      <c r="C327">
        <v>148.1</v>
      </c>
      <c r="D327">
        <v>93.9</v>
      </c>
      <c r="G327">
        <v>94.5</v>
      </c>
      <c r="H327">
        <v>86.8</v>
      </c>
      <c r="I327">
        <v>86.7</v>
      </c>
      <c r="J327">
        <v>80.599999999999994</v>
      </c>
      <c r="N327">
        <v>16207</v>
      </c>
    </row>
    <row r="328" spans="1:14" x14ac:dyDescent="0.3">
      <c r="A328" t="s">
        <v>216</v>
      </c>
      <c r="B328" t="s">
        <v>50</v>
      </c>
      <c r="C328">
        <v>184</v>
      </c>
      <c r="D328">
        <v>93.9</v>
      </c>
      <c r="G328">
        <v>93.7</v>
      </c>
      <c r="H328">
        <v>88</v>
      </c>
      <c r="I328">
        <v>87.2</v>
      </c>
      <c r="J328">
        <v>78.5</v>
      </c>
      <c r="N328">
        <v>9803</v>
      </c>
    </row>
    <row r="329" spans="1:14" x14ac:dyDescent="0.3">
      <c r="A329" t="s">
        <v>770</v>
      </c>
      <c r="B329" t="s">
        <v>146</v>
      </c>
      <c r="C329">
        <v>41</v>
      </c>
      <c r="D329">
        <v>93.9</v>
      </c>
      <c r="G329">
        <v>94.8</v>
      </c>
      <c r="H329">
        <v>87.4</v>
      </c>
      <c r="I329">
        <v>83</v>
      </c>
      <c r="N329">
        <v>15157</v>
      </c>
    </row>
    <row r="330" spans="1:14" x14ac:dyDescent="0.3">
      <c r="A330" t="s">
        <v>769</v>
      </c>
      <c r="B330" t="s">
        <v>75</v>
      </c>
      <c r="C330">
        <v>41.2</v>
      </c>
      <c r="D330">
        <v>93.9</v>
      </c>
      <c r="F330">
        <v>86.6</v>
      </c>
      <c r="G330">
        <v>93.4</v>
      </c>
      <c r="J330">
        <v>77.599999999999994</v>
      </c>
      <c r="N330">
        <v>16929</v>
      </c>
    </row>
    <row r="331" spans="1:14" x14ac:dyDescent="0.3">
      <c r="A331" t="s">
        <v>768</v>
      </c>
      <c r="B331" t="s">
        <v>38</v>
      </c>
      <c r="C331">
        <v>39.200000000000003</v>
      </c>
      <c r="D331">
        <v>93.9</v>
      </c>
      <c r="G331">
        <v>83.9</v>
      </c>
      <c r="H331">
        <v>92.1</v>
      </c>
      <c r="I331">
        <v>87.8</v>
      </c>
      <c r="J331">
        <v>82</v>
      </c>
      <c r="N331">
        <v>11632</v>
      </c>
    </row>
    <row r="332" spans="1:14" x14ac:dyDescent="0.3">
      <c r="A332" t="s">
        <v>767</v>
      </c>
      <c r="B332" t="s">
        <v>62</v>
      </c>
      <c r="C332">
        <v>2</v>
      </c>
      <c r="D332">
        <v>93.9</v>
      </c>
      <c r="F332">
        <v>86.7</v>
      </c>
      <c r="G332">
        <v>93.2</v>
      </c>
      <c r="I332">
        <v>82</v>
      </c>
      <c r="N332">
        <v>6832</v>
      </c>
    </row>
    <row r="333" spans="1:14" x14ac:dyDescent="0.3">
      <c r="A333" t="s">
        <v>165</v>
      </c>
      <c r="B333" t="s">
        <v>98</v>
      </c>
      <c r="C333">
        <v>52.2</v>
      </c>
      <c r="D333">
        <v>93.9</v>
      </c>
      <c r="G333">
        <v>94</v>
      </c>
      <c r="I333">
        <v>84.6</v>
      </c>
      <c r="N333">
        <v>12988</v>
      </c>
    </row>
    <row r="334" spans="1:14" x14ac:dyDescent="0.3">
      <c r="A334" t="s">
        <v>329</v>
      </c>
      <c r="B334" t="s">
        <v>98</v>
      </c>
      <c r="C334">
        <v>84.2</v>
      </c>
      <c r="D334">
        <v>93.9</v>
      </c>
      <c r="G334">
        <v>93.3</v>
      </c>
      <c r="H334">
        <v>87</v>
      </c>
      <c r="I334">
        <v>85.4</v>
      </c>
      <c r="J334">
        <v>79.400000000000006</v>
      </c>
      <c r="L334">
        <v>93.7</v>
      </c>
      <c r="N334">
        <v>17611</v>
      </c>
    </row>
    <row r="335" spans="1:14" x14ac:dyDescent="0.3">
      <c r="A335" t="s">
        <v>47</v>
      </c>
      <c r="B335" t="s">
        <v>48</v>
      </c>
      <c r="C335">
        <v>62.2</v>
      </c>
      <c r="D335">
        <v>93.9</v>
      </c>
      <c r="E335">
        <v>87.8</v>
      </c>
      <c r="G335">
        <v>92.8</v>
      </c>
      <c r="H335">
        <v>85.9</v>
      </c>
      <c r="I335">
        <v>80.400000000000006</v>
      </c>
      <c r="N335">
        <v>10756</v>
      </c>
    </row>
    <row r="336" spans="1:14" x14ac:dyDescent="0.3">
      <c r="A336" t="s">
        <v>198</v>
      </c>
      <c r="B336" t="s">
        <v>75</v>
      </c>
      <c r="C336">
        <v>165.2</v>
      </c>
      <c r="D336">
        <v>93.9</v>
      </c>
      <c r="G336">
        <v>93.5</v>
      </c>
      <c r="H336">
        <v>85</v>
      </c>
      <c r="I336">
        <v>83.7</v>
      </c>
      <c r="J336">
        <v>74.599999999999994</v>
      </c>
      <c r="N336">
        <v>13743</v>
      </c>
    </row>
    <row r="337" spans="1:14" x14ac:dyDescent="0.3">
      <c r="A337" t="s">
        <v>766</v>
      </c>
      <c r="B337" t="s">
        <v>56</v>
      </c>
      <c r="C337">
        <v>8.1</v>
      </c>
      <c r="D337">
        <v>93.9</v>
      </c>
      <c r="G337">
        <v>93.9</v>
      </c>
      <c r="H337">
        <v>89.3</v>
      </c>
      <c r="I337">
        <v>84.2</v>
      </c>
      <c r="N337">
        <v>14605</v>
      </c>
    </row>
    <row r="338" spans="1:14" x14ac:dyDescent="0.3">
      <c r="A338" t="s">
        <v>309</v>
      </c>
      <c r="B338" t="s">
        <v>36</v>
      </c>
      <c r="C338">
        <v>51.1</v>
      </c>
      <c r="D338">
        <v>93.9</v>
      </c>
      <c r="G338">
        <v>94.8</v>
      </c>
      <c r="H338">
        <v>90.2</v>
      </c>
      <c r="I338">
        <v>88.1</v>
      </c>
      <c r="J338">
        <v>85.9</v>
      </c>
      <c r="N338">
        <v>15042</v>
      </c>
    </row>
    <row r="339" spans="1:14" x14ac:dyDescent="0.3">
      <c r="A339" t="s">
        <v>765</v>
      </c>
      <c r="B339" t="s">
        <v>56</v>
      </c>
      <c r="C339">
        <v>8</v>
      </c>
      <c r="D339">
        <v>93.9</v>
      </c>
      <c r="I339">
        <v>86.5</v>
      </c>
      <c r="J339">
        <v>80.3</v>
      </c>
      <c r="N339">
        <v>1483</v>
      </c>
    </row>
    <row r="340" spans="1:14" x14ac:dyDescent="0.3">
      <c r="A340" t="s">
        <v>764</v>
      </c>
      <c r="B340" t="s">
        <v>48</v>
      </c>
      <c r="C340">
        <v>15.2</v>
      </c>
      <c r="D340">
        <v>93.9</v>
      </c>
      <c r="H340">
        <v>86.8</v>
      </c>
      <c r="I340">
        <v>85.9</v>
      </c>
      <c r="N340">
        <v>10819</v>
      </c>
    </row>
    <row r="341" spans="1:14" x14ac:dyDescent="0.3">
      <c r="A341" t="s">
        <v>268</v>
      </c>
      <c r="B341" t="s">
        <v>48</v>
      </c>
      <c r="C341">
        <v>64.2</v>
      </c>
      <c r="D341">
        <v>93.9</v>
      </c>
      <c r="E341">
        <v>88</v>
      </c>
      <c r="G341">
        <v>94.4</v>
      </c>
      <c r="H341">
        <v>87.3</v>
      </c>
      <c r="J341">
        <v>77.2</v>
      </c>
      <c r="N341">
        <v>13194</v>
      </c>
    </row>
    <row r="342" spans="1:14" x14ac:dyDescent="0.3">
      <c r="A342" t="s">
        <v>763</v>
      </c>
      <c r="B342" t="s">
        <v>38</v>
      </c>
      <c r="C342">
        <v>23.1</v>
      </c>
      <c r="D342">
        <v>93.9</v>
      </c>
      <c r="E342">
        <v>89.8</v>
      </c>
      <c r="G342">
        <v>81.3</v>
      </c>
      <c r="H342">
        <v>87.3</v>
      </c>
      <c r="I342">
        <v>90.1</v>
      </c>
      <c r="J342">
        <v>81.599999999999994</v>
      </c>
      <c r="N342">
        <v>18600</v>
      </c>
    </row>
    <row r="343" spans="1:14" x14ac:dyDescent="0.3">
      <c r="A343" t="s">
        <v>762</v>
      </c>
      <c r="B343" t="s">
        <v>26</v>
      </c>
      <c r="C343">
        <v>5.0999999999999996</v>
      </c>
      <c r="D343">
        <v>93.9</v>
      </c>
      <c r="G343">
        <v>93.8</v>
      </c>
      <c r="H343">
        <v>82.9</v>
      </c>
      <c r="I343">
        <v>77.599999999999994</v>
      </c>
      <c r="J343">
        <v>73.7</v>
      </c>
      <c r="N343">
        <v>18864</v>
      </c>
    </row>
    <row r="344" spans="1:14" x14ac:dyDescent="0.3">
      <c r="A344" t="s">
        <v>64</v>
      </c>
      <c r="B344" t="s">
        <v>43</v>
      </c>
      <c r="C344">
        <v>50.2</v>
      </c>
      <c r="D344">
        <v>93.9</v>
      </c>
      <c r="G344">
        <v>93.6</v>
      </c>
      <c r="H344">
        <v>87.8</v>
      </c>
      <c r="I344">
        <v>83.3</v>
      </c>
      <c r="N344">
        <v>12297</v>
      </c>
    </row>
    <row r="345" spans="1:14" x14ac:dyDescent="0.3">
      <c r="A345" t="s">
        <v>761</v>
      </c>
      <c r="B345" t="s">
        <v>48</v>
      </c>
      <c r="C345">
        <v>33.200000000000003</v>
      </c>
      <c r="D345">
        <v>93.9</v>
      </c>
      <c r="E345">
        <v>91.9</v>
      </c>
      <c r="H345">
        <v>87.7</v>
      </c>
      <c r="I345">
        <v>82.1</v>
      </c>
      <c r="N345">
        <v>13713</v>
      </c>
    </row>
    <row r="346" spans="1:14" x14ac:dyDescent="0.3">
      <c r="A346" t="s">
        <v>760</v>
      </c>
      <c r="B346" t="s">
        <v>43</v>
      </c>
      <c r="C346">
        <v>27.2</v>
      </c>
      <c r="D346">
        <v>93.9</v>
      </c>
      <c r="H346">
        <v>88.5</v>
      </c>
      <c r="I346">
        <v>84.2</v>
      </c>
      <c r="N346">
        <v>10341</v>
      </c>
    </row>
    <row r="347" spans="1:14" x14ac:dyDescent="0.3">
      <c r="A347" t="s">
        <v>759</v>
      </c>
      <c r="B347" t="s">
        <v>146</v>
      </c>
      <c r="C347">
        <v>3.1</v>
      </c>
      <c r="D347">
        <v>93.9</v>
      </c>
      <c r="G347">
        <v>91.5</v>
      </c>
      <c r="H347">
        <v>87.8</v>
      </c>
      <c r="I347">
        <v>86.2</v>
      </c>
      <c r="J347">
        <v>80.5</v>
      </c>
      <c r="N347">
        <v>16942</v>
      </c>
    </row>
    <row r="348" spans="1:14" x14ac:dyDescent="0.3">
      <c r="A348" t="s">
        <v>144</v>
      </c>
      <c r="B348" t="s">
        <v>50</v>
      </c>
      <c r="C348">
        <v>72.2</v>
      </c>
      <c r="D348">
        <v>93.8</v>
      </c>
      <c r="H348">
        <v>87.8</v>
      </c>
      <c r="I348">
        <v>84</v>
      </c>
      <c r="N348">
        <v>12777</v>
      </c>
    </row>
    <row r="349" spans="1:14" x14ac:dyDescent="0.3">
      <c r="A349" t="s">
        <v>49</v>
      </c>
      <c r="B349" t="s">
        <v>50</v>
      </c>
      <c r="C349">
        <v>74</v>
      </c>
      <c r="D349">
        <v>93.8</v>
      </c>
      <c r="H349">
        <v>86.9</v>
      </c>
      <c r="I349">
        <v>85.4</v>
      </c>
      <c r="N349">
        <v>14986</v>
      </c>
    </row>
    <row r="350" spans="1:14" x14ac:dyDescent="0.3">
      <c r="A350" t="s">
        <v>758</v>
      </c>
      <c r="B350" t="s">
        <v>95</v>
      </c>
      <c r="C350">
        <v>4.2</v>
      </c>
      <c r="D350">
        <v>93.8</v>
      </c>
      <c r="G350">
        <v>93.3</v>
      </c>
      <c r="I350">
        <v>84.9</v>
      </c>
      <c r="N350">
        <v>15915</v>
      </c>
    </row>
    <row r="351" spans="1:14" x14ac:dyDescent="0.3">
      <c r="A351" t="s">
        <v>358</v>
      </c>
      <c r="B351" t="s">
        <v>48</v>
      </c>
      <c r="C351">
        <v>58</v>
      </c>
      <c r="D351">
        <v>93.8</v>
      </c>
      <c r="I351">
        <v>90.2</v>
      </c>
      <c r="J351">
        <v>83.2</v>
      </c>
      <c r="N351">
        <v>12857</v>
      </c>
    </row>
    <row r="352" spans="1:14" x14ac:dyDescent="0.3">
      <c r="A352" t="s">
        <v>381</v>
      </c>
      <c r="B352" t="s">
        <v>46</v>
      </c>
      <c r="C352">
        <v>70</v>
      </c>
      <c r="D352">
        <v>93.8</v>
      </c>
      <c r="H352">
        <v>84.3</v>
      </c>
      <c r="I352">
        <v>83.6</v>
      </c>
      <c r="J352">
        <v>77.2</v>
      </c>
      <c r="N352">
        <v>17432</v>
      </c>
    </row>
    <row r="353" spans="1:14" x14ac:dyDescent="0.3">
      <c r="A353" t="s">
        <v>757</v>
      </c>
      <c r="B353" t="s">
        <v>89</v>
      </c>
      <c r="C353">
        <v>32</v>
      </c>
      <c r="D353">
        <v>93.8</v>
      </c>
      <c r="E353">
        <v>89.5</v>
      </c>
      <c r="F353">
        <v>82</v>
      </c>
      <c r="G353">
        <v>92.6</v>
      </c>
      <c r="I353">
        <v>80.900000000000006</v>
      </c>
      <c r="J353">
        <v>80.2</v>
      </c>
      <c r="N353">
        <v>13528</v>
      </c>
    </row>
    <row r="354" spans="1:14" x14ac:dyDescent="0.3">
      <c r="A354" t="s">
        <v>107</v>
      </c>
      <c r="B354" t="s">
        <v>32</v>
      </c>
      <c r="C354">
        <v>56</v>
      </c>
      <c r="D354">
        <v>93.8</v>
      </c>
      <c r="F354">
        <v>84.2</v>
      </c>
      <c r="I354">
        <v>84.2</v>
      </c>
      <c r="J354">
        <v>83.7</v>
      </c>
      <c r="N354">
        <v>8823</v>
      </c>
    </row>
    <row r="355" spans="1:14" x14ac:dyDescent="0.3">
      <c r="A355" t="s">
        <v>756</v>
      </c>
      <c r="B355" t="s">
        <v>48</v>
      </c>
      <c r="C355">
        <v>45.1</v>
      </c>
      <c r="D355">
        <v>93.8</v>
      </c>
      <c r="E355">
        <v>86.7</v>
      </c>
      <c r="G355">
        <v>92.5</v>
      </c>
      <c r="H355">
        <v>86.4</v>
      </c>
      <c r="J355">
        <v>76.7</v>
      </c>
      <c r="N355">
        <v>15091</v>
      </c>
    </row>
    <row r="356" spans="1:14" x14ac:dyDescent="0.3">
      <c r="A356" t="s">
        <v>202</v>
      </c>
      <c r="B356" t="s">
        <v>93</v>
      </c>
      <c r="C356">
        <v>60</v>
      </c>
      <c r="D356">
        <v>93.8</v>
      </c>
      <c r="H356">
        <v>83.9</v>
      </c>
      <c r="I356">
        <v>81.099999999999994</v>
      </c>
      <c r="N356">
        <v>1581</v>
      </c>
    </row>
    <row r="357" spans="1:14" x14ac:dyDescent="0.3">
      <c r="A357" t="s">
        <v>755</v>
      </c>
      <c r="B357" t="s">
        <v>48</v>
      </c>
      <c r="C357">
        <v>29.1</v>
      </c>
      <c r="D357">
        <v>93.7</v>
      </c>
      <c r="G357">
        <v>92.8</v>
      </c>
      <c r="H357">
        <v>86.1</v>
      </c>
      <c r="I357">
        <v>89.1</v>
      </c>
      <c r="J357">
        <v>84.2</v>
      </c>
      <c r="N357">
        <v>12586</v>
      </c>
    </row>
    <row r="358" spans="1:14" x14ac:dyDescent="0.3">
      <c r="A358" t="s">
        <v>296</v>
      </c>
      <c r="B358" t="s">
        <v>66</v>
      </c>
      <c r="C358">
        <v>160</v>
      </c>
      <c r="D358">
        <v>93.7</v>
      </c>
      <c r="G358">
        <v>93.6</v>
      </c>
      <c r="H358">
        <v>85.6</v>
      </c>
      <c r="I358">
        <v>84.3</v>
      </c>
      <c r="J358">
        <v>80.5</v>
      </c>
      <c r="N358">
        <v>10123</v>
      </c>
    </row>
    <row r="359" spans="1:14" x14ac:dyDescent="0.3">
      <c r="A359" t="s">
        <v>348</v>
      </c>
      <c r="B359" t="s">
        <v>146</v>
      </c>
      <c r="C359">
        <v>110.2</v>
      </c>
      <c r="D359">
        <v>93.7</v>
      </c>
      <c r="G359">
        <v>93.8</v>
      </c>
      <c r="H359">
        <v>86.1</v>
      </c>
      <c r="I359">
        <v>84</v>
      </c>
      <c r="N359">
        <v>12938</v>
      </c>
    </row>
    <row r="360" spans="1:14" x14ac:dyDescent="0.3">
      <c r="A360" t="s">
        <v>754</v>
      </c>
      <c r="B360" t="s">
        <v>143</v>
      </c>
      <c r="C360">
        <v>16</v>
      </c>
      <c r="D360">
        <v>93.7</v>
      </c>
      <c r="G360">
        <v>93.7</v>
      </c>
      <c r="H360">
        <v>83.4</v>
      </c>
      <c r="J360">
        <v>81.099999999999994</v>
      </c>
      <c r="N360">
        <v>3990</v>
      </c>
    </row>
    <row r="361" spans="1:14" x14ac:dyDescent="0.3">
      <c r="A361" t="s">
        <v>371</v>
      </c>
      <c r="B361" t="s">
        <v>127</v>
      </c>
      <c r="C361">
        <v>136</v>
      </c>
      <c r="D361">
        <v>93.7</v>
      </c>
      <c r="G361">
        <v>94</v>
      </c>
      <c r="H361">
        <v>86</v>
      </c>
      <c r="I361">
        <v>83</v>
      </c>
      <c r="J361">
        <v>79.7</v>
      </c>
      <c r="N361">
        <v>15200</v>
      </c>
    </row>
    <row r="362" spans="1:14" x14ac:dyDescent="0.3">
      <c r="A362" t="s">
        <v>753</v>
      </c>
      <c r="B362" t="s">
        <v>77</v>
      </c>
      <c r="C362">
        <v>41.2</v>
      </c>
      <c r="D362">
        <v>93.7</v>
      </c>
      <c r="E362">
        <v>88.5</v>
      </c>
      <c r="F362">
        <v>88.9</v>
      </c>
      <c r="G362">
        <v>93.7</v>
      </c>
      <c r="I362">
        <v>83.3</v>
      </c>
      <c r="N362">
        <v>4070</v>
      </c>
    </row>
    <row r="363" spans="1:14" x14ac:dyDescent="0.3">
      <c r="A363" t="s">
        <v>752</v>
      </c>
      <c r="B363" t="s">
        <v>36</v>
      </c>
      <c r="C363">
        <v>14</v>
      </c>
      <c r="D363">
        <v>93.7</v>
      </c>
      <c r="G363">
        <v>95</v>
      </c>
      <c r="H363">
        <v>85.7</v>
      </c>
      <c r="J363">
        <v>78.400000000000006</v>
      </c>
      <c r="N363">
        <v>20387</v>
      </c>
    </row>
    <row r="364" spans="1:14" x14ac:dyDescent="0.3">
      <c r="A364" t="s">
        <v>751</v>
      </c>
      <c r="B364" t="s">
        <v>143</v>
      </c>
      <c r="C364">
        <v>22</v>
      </c>
      <c r="D364">
        <v>93.7</v>
      </c>
      <c r="G364">
        <v>93.7</v>
      </c>
      <c r="H364">
        <v>83.4</v>
      </c>
      <c r="I364">
        <v>84.3</v>
      </c>
      <c r="J364">
        <v>79.900000000000006</v>
      </c>
      <c r="N364">
        <v>18313</v>
      </c>
    </row>
    <row r="365" spans="1:14" x14ac:dyDescent="0.3">
      <c r="A365" t="s">
        <v>750</v>
      </c>
      <c r="B365" t="s">
        <v>48</v>
      </c>
      <c r="C365">
        <v>18.2</v>
      </c>
      <c r="D365">
        <v>93.7</v>
      </c>
      <c r="F365">
        <v>82.5</v>
      </c>
      <c r="I365">
        <v>84.9</v>
      </c>
      <c r="N365">
        <v>13699</v>
      </c>
    </row>
    <row r="366" spans="1:14" x14ac:dyDescent="0.3">
      <c r="A366" t="s">
        <v>749</v>
      </c>
      <c r="B366" t="s">
        <v>36</v>
      </c>
      <c r="C366">
        <v>21.2</v>
      </c>
      <c r="D366">
        <v>93.7</v>
      </c>
      <c r="E366">
        <v>88.5</v>
      </c>
      <c r="G366">
        <v>94.1</v>
      </c>
      <c r="H366">
        <v>85.7</v>
      </c>
      <c r="I366">
        <v>82.8</v>
      </c>
      <c r="N366">
        <v>10291</v>
      </c>
    </row>
    <row r="367" spans="1:14" x14ac:dyDescent="0.3">
      <c r="A367" t="s">
        <v>748</v>
      </c>
      <c r="B367" t="s">
        <v>159</v>
      </c>
      <c r="C367">
        <v>10.199999999999999</v>
      </c>
      <c r="D367">
        <v>93.7</v>
      </c>
      <c r="G367">
        <v>93.2</v>
      </c>
      <c r="H367">
        <v>86.6</v>
      </c>
      <c r="I367">
        <v>84.5</v>
      </c>
      <c r="N367">
        <v>19642</v>
      </c>
    </row>
    <row r="368" spans="1:14" x14ac:dyDescent="0.3">
      <c r="A368" t="s">
        <v>747</v>
      </c>
      <c r="B368" t="s">
        <v>193</v>
      </c>
      <c r="C368">
        <v>23</v>
      </c>
      <c r="D368">
        <v>93.7</v>
      </c>
      <c r="G368">
        <v>93.5</v>
      </c>
      <c r="I368">
        <v>87</v>
      </c>
      <c r="J368">
        <v>78.900000000000006</v>
      </c>
      <c r="N368">
        <v>13485</v>
      </c>
    </row>
    <row r="369" spans="1:14" x14ac:dyDescent="0.3">
      <c r="A369" t="s">
        <v>364</v>
      </c>
      <c r="B369" t="s">
        <v>48</v>
      </c>
      <c r="C369">
        <v>131.1</v>
      </c>
      <c r="D369">
        <v>93.7</v>
      </c>
      <c r="G369">
        <v>94.1</v>
      </c>
      <c r="H369">
        <v>88.4</v>
      </c>
      <c r="I369">
        <v>77.900000000000006</v>
      </c>
      <c r="J369">
        <v>78.7</v>
      </c>
      <c r="N369">
        <v>11490</v>
      </c>
    </row>
    <row r="370" spans="1:14" x14ac:dyDescent="0.3">
      <c r="A370" t="s">
        <v>385</v>
      </c>
      <c r="B370" t="s">
        <v>46</v>
      </c>
      <c r="C370">
        <v>124.2</v>
      </c>
      <c r="D370">
        <v>93.7</v>
      </c>
      <c r="H370">
        <v>86.8</v>
      </c>
      <c r="I370">
        <v>84.2</v>
      </c>
      <c r="J370">
        <v>79</v>
      </c>
      <c r="N370">
        <v>15488</v>
      </c>
    </row>
    <row r="371" spans="1:14" x14ac:dyDescent="0.3">
      <c r="A371" t="s">
        <v>25</v>
      </c>
      <c r="B371" t="s">
        <v>26</v>
      </c>
      <c r="C371">
        <v>60.2</v>
      </c>
      <c r="D371">
        <v>93.7</v>
      </c>
      <c r="F371">
        <v>86.6</v>
      </c>
      <c r="I371">
        <v>85.4</v>
      </c>
      <c r="N371">
        <v>9073</v>
      </c>
    </row>
    <row r="372" spans="1:14" x14ac:dyDescent="0.3">
      <c r="A372" t="s">
        <v>746</v>
      </c>
      <c r="B372" t="s">
        <v>40</v>
      </c>
      <c r="C372">
        <v>37.200000000000003</v>
      </c>
      <c r="D372">
        <v>93.7</v>
      </c>
      <c r="G372">
        <v>93.1</v>
      </c>
      <c r="H372">
        <v>82.2</v>
      </c>
      <c r="I372">
        <v>82.1</v>
      </c>
      <c r="N372">
        <v>9756</v>
      </c>
    </row>
    <row r="373" spans="1:14" x14ac:dyDescent="0.3">
      <c r="A373" t="s">
        <v>240</v>
      </c>
      <c r="B373" t="s">
        <v>38</v>
      </c>
      <c r="C373">
        <v>147.1</v>
      </c>
      <c r="D373">
        <v>93.7</v>
      </c>
      <c r="G373">
        <v>92.3</v>
      </c>
      <c r="H373">
        <v>85.5</v>
      </c>
      <c r="I373">
        <v>79.2</v>
      </c>
      <c r="N373">
        <v>10603</v>
      </c>
    </row>
    <row r="374" spans="1:14" x14ac:dyDescent="0.3">
      <c r="A374" t="s">
        <v>261</v>
      </c>
      <c r="B374" t="s">
        <v>48</v>
      </c>
      <c r="C374">
        <v>53.1</v>
      </c>
      <c r="D374">
        <v>93.7</v>
      </c>
      <c r="G374">
        <v>92.2</v>
      </c>
      <c r="I374">
        <v>86.3</v>
      </c>
      <c r="N374">
        <v>7466</v>
      </c>
    </row>
    <row r="375" spans="1:14" x14ac:dyDescent="0.3">
      <c r="A375" t="s">
        <v>745</v>
      </c>
      <c r="B375" t="s">
        <v>98</v>
      </c>
      <c r="C375">
        <v>24.1</v>
      </c>
      <c r="D375">
        <v>93.7</v>
      </c>
      <c r="H375">
        <v>83.8</v>
      </c>
      <c r="I375">
        <v>83.6</v>
      </c>
      <c r="N375">
        <v>19876</v>
      </c>
    </row>
    <row r="376" spans="1:14" x14ac:dyDescent="0.3">
      <c r="A376" t="s">
        <v>744</v>
      </c>
      <c r="B376" t="s">
        <v>53</v>
      </c>
      <c r="C376">
        <v>40</v>
      </c>
      <c r="D376">
        <v>93.6</v>
      </c>
      <c r="F376">
        <v>86.6</v>
      </c>
      <c r="I376">
        <v>88</v>
      </c>
      <c r="J376">
        <v>80.5</v>
      </c>
      <c r="N376">
        <v>19388</v>
      </c>
    </row>
    <row r="377" spans="1:14" x14ac:dyDescent="0.3">
      <c r="A377" t="s">
        <v>743</v>
      </c>
      <c r="B377" t="s">
        <v>102</v>
      </c>
      <c r="C377">
        <v>29.2</v>
      </c>
      <c r="D377">
        <v>93.6</v>
      </c>
      <c r="H377">
        <v>85.9</v>
      </c>
      <c r="J377">
        <v>80.400000000000006</v>
      </c>
      <c r="N377">
        <v>19200</v>
      </c>
    </row>
    <row r="378" spans="1:14" x14ac:dyDescent="0.3">
      <c r="A378" t="s">
        <v>88</v>
      </c>
      <c r="B378" t="s">
        <v>89</v>
      </c>
      <c r="C378">
        <v>175.1</v>
      </c>
      <c r="D378">
        <v>93.6</v>
      </c>
      <c r="E378">
        <v>91.6</v>
      </c>
      <c r="G378">
        <v>93.1</v>
      </c>
      <c r="H378">
        <v>89.8</v>
      </c>
      <c r="I378">
        <v>84.9</v>
      </c>
      <c r="J378">
        <v>82.1</v>
      </c>
      <c r="K378">
        <v>75.7</v>
      </c>
      <c r="N378">
        <v>12768</v>
      </c>
    </row>
    <row r="379" spans="1:14" x14ac:dyDescent="0.3">
      <c r="A379" t="s">
        <v>742</v>
      </c>
      <c r="B379" t="s">
        <v>143</v>
      </c>
      <c r="C379">
        <v>3.1</v>
      </c>
      <c r="D379">
        <v>93.6</v>
      </c>
      <c r="F379">
        <v>88.2</v>
      </c>
      <c r="I379">
        <v>84.5</v>
      </c>
      <c r="N379">
        <v>3959</v>
      </c>
    </row>
    <row r="380" spans="1:14" x14ac:dyDescent="0.3">
      <c r="A380" t="s">
        <v>391</v>
      </c>
      <c r="B380" t="s">
        <v>62</v>
      </c>
      <c r="C380">
        <v>59.2</v>
      </c>
      <c r="D380">
        <v>93.6</v>
      </c>
      <c r="G380">
        <v>94.5</v>
      </c>
      <c r="H380">
        <v>86.3</v>
      </c>
      <c r="I380">
        <v>87.8</v>
      </c>
      <c r="J380">
        <v>81.900000000000006</v>
      </c>
      <c r="N380">
        <v>11713</v>
      </c>
    </row>
    <row r="381" spans="1:14" x14ac:dyDescent="0.3">
      <c r="A381" t="s">
        <v>741</v>
      </c>
      <c r="B381" t="s">
        <v>46</v>
      </c>
      <c r="C381">
        <v>25</v>
      </c>
      <c r="D381">
        <v>93.6</v>
      </c>
      <c r="E381">
        <v>91.4</v>
      </c>
      <c r="H381">
        <v>84.1</v>
      </c>
      <c r="I381">
        <v>82.6</v>
      </c>
      <c r="N381">
        <v>12578</v>
      </c>
    </row>
    <row r="382" spans="1:14" x14ac:dyDescent="0.3">
      <c r="A382" t="s">
        <v>101</v>
      </c>
      <c r="B382" t="s">
        <v>102</v>
      </c>
      <c r="C382">
        <v>50.2</v>
      </c>
      <c r="D382">
        <v>93.6</v>
      </c>
      <c r="H382">
        <v>87.3</v>
      </c>
      <c r="I382">
        <v>84.6</v>
      </c>
      <c r="N382">
        <v>18282</v>
      </c>
    </row>
    <row r="383" spans="1:14" x14ac:dyDescent="0.3">
      <c r="A383" t="s">
        <v>319</v>
      </c>
      <c r="B383" t="s">
        <v>89</v>
      </c>
      <c r="C383">
        <v>129.19999999999999</v>
      </c>
      <c r="D383">
        <v>93.6</v>
      </c>
      <c r="E383">
        <v>90.2</v>
      </c>
      <c r="F383">
        <v>87.4</v>
      </c>
      <c r="G383">
        <v>78.8</v>
      </c>
      <c r="H383">
        <v>89</v>
      </c>
      <c r="I383">
        <v>93.2</v>
      </c>
      <c r="J383">
        <v>80.599999999999994</v>
      </c>
      <c r="N383">
        <v>16358</v>
      </c>
    </row>
    <row r="384" spans="1:14" x14ac:dyDescent="0.3">
      <c r="A384" t="s">
        <v>740</v>
      </c>
      <c r="B384" t="s">
        <v>32</v>
      </c>
      <c r="C384">
        <v>7.1</v>
      </c>
      <c r="D384">
        <v>93.6</v>
      </c>
      <c r="H384">
        <v>83.6</v>
      </c>
      <c r="I384">
        <v>86.9</v>
      </c>
      <c r="N384">
        <v>15256</v>
      </c>
    </row>
    <row r="385" spans="1:14" x14ac:dyDescent="0.3">
      <c r="A385" t="s">
        <v>223</v>
      </c>
      <c r="B385" t="s">
        <v>71</v>
      </c>
      <c r="C385">
        <v>139</v>
      </c>
      <c r="D385">
        <v>93.6</v>
      </c>
      <c r="E385">
        <v>90.8</v>
      </c>
      <c r="G385">
        <v>93.4</v>
      </c>
      <c r="H385">
        <v>82.8</v>
      </c>
      <c r="J385">
        <v>77.900000000000006</v>
      </c>
      <c r="N385">
        <v>6895</v>
      </c>
    </row>
    <row r="386" spans="1:14" x14ac:dyDescent="0.3">
      <c r="A386" t="s">
        <v>199</v>
      </c>
      <c r="B386" t="s">
        <v>40</v>
      </c>
      <c r="C386">
        <v>143</v>
      </c>
      <c r="D386">
        <v>93.6</v>
      </c>
      <c r="G386">
        <v>94.1</v>
      </c>
      <c r="H386">
        <v>87.2</v>
      </c>
      <c r="J386">
        <v>81.8</v>
      </c>
      <c r="N386">
        <v>17149</v>
      </c>
    </row>
    <row r="387" spans="1:14" x14ac:dyDescent="0.3">
      <c r="A387" t="s">
        <v>739</v>
      </c>
      <c r="B387" t="s">
        <v>89</v>
      </c>
      <c r="C387">
        <v>43</v>
      </c>
      <c r="D387">
        <v>93.6</v>
      </c>
      <c r="E387">
        <v>81.8</v>
      </c>
      <c r="H387">
        <v>86.6</v>
      </c>
      <c r="I387">
        <v>83.2</v>
      </c>
      <c r="J387">
        <v>81.5</v>
      </c>
      <c r="N387">
        <v>13470</v>
      </c>
    </row>
    <row r="388" spans="1:14" x14ac:dyDescent="0.3">
      <c r="A388" t="s">
        <v>738</v>
      </c>
      <c r="B388" t="s">
        <v>95</v>
      </c>
      <c r="C388">
        <v>11</v>
      </c>
      <c r="D388">
        <v>93.5</v>
      </c>
      <c r="H388">
        <v>86</v>
      </c>
      <c r="I388">
        <v>82</v>
      </c>
      <c r="N388">
        <v>18403</v>
      </c>
    </row>
    <row r="389" spans="1:14" x14ac:dyDescent="0.3">
      <c r="A389" t="s">
        <v>737</v>
      </c>
      <c r="B389" t="s">
        <v>50</v>
      </c>
      <c r="C389">
        <v>48.2</v>
      </c>
      <c r="D389">
        <v>93.5</v>
      </c>
      <c r="E389">
        <v>89.2</v>
      </c>
      <c r="H389">
        <v>83.4</v>
      </c>
      <c r="J389">
        <v>78.099999999999994</v>
      </c>
      <c r="N389">
        <v>16110</v>
      </c>
    </row>
    <row r="390" spans="1:14" x14ac:dyDescent="0.3">
      <c r="A390" t="s">
        <v>218</v>
      </c>
      <c r="B390" t="s">
        <v>83</v>
      </c>
      <c r="C390">
        <v>54</v>
      </c>
      <c r="D390">
        <v>93.5</v>
      </c>
      <c r="G390">
        <v>93.1</v>
      </c>
      <c r="H390">
        <v>86.4</v>
      </c>
      <c r="I390">
        <v>85.9</v>
      </c>
      <c r="N390">
        <v>3132</v>
      </c>
    </row>
    <row r="391" spans="1:14" x14ac:dyDescent="0.3">
      <c r="A391" t="s">
        <v>153</v>
      </c>
      <c r="B391" t="s">
        <v>66</v>
      </c>
      <c r="C391">
        <v>200.1</v>
      </c>
      <c r="D391">
        <v>93.5</v>
      </c>
      <c r="G391">
        <v>92.5</v>
      </c>
      <c r="H391">
        <v>82.8</v>
      </c>
      <c r="I391">
        <v>87</v>
      </c>
      <c r="J391">
        <v>81.5</v>
      </c>
      <c r="N391">
        <v>14168</v>
      </c>
    </row>
    <row r="392" spans="1:14" x14ac:dyDescent="0.3">
      <c r="A392" t="s">
        <v>157</v>
      </c>
      <c r="B392" t="s">
        <v>30</v>
      </c>
      <c r="C392">
        <v>65.099999999999994</v>
      </c>
      <c r="D392">
        <v>93.5</v>
      </c>
      <c r="G392">
        <v>92.2</v>
      </c>
      <c r="H392">
        <v>87.5</v>
      </c>
      <c r="J392">
        <v>81.900000000000006</v>
      </c>
      <c r="N392">
        <v>13549</v>
      </c>
    </row>
    <row r="393" spans="1:14" x14ac:dyDescent="0.3">
      <c r="A393" t="s">
        <v>736</v>
      </c>
      <c r="B393" t="s">
        <v>159</v>
      </c>
      <c r="C393">
        <v>10</v>
      </c>
      <c r="D393">
        <v>93.5</v>
      </c>
      <c r="E393">
        <v>89</v>
      </c>
      <c r="H393">
        <v>84</v>
      </c>
      <c r="J393">
        <v>82.1</v>
      </c>
      <c r="N393">
        <v>1890</v>
      </c>
    </row>
    <row r="394" spans="1:14" x14ac:dyDescent="0.3">
      <c r="A394" t="s">
        <v>735</v>
      </c>
      <c r="B394" t="s">
        <v>98</v>
      </c>
      <c r="C394">
        <v>4</v>
      </c>
      <c r="D394">
        <v>93.5</v>
      </c>
      <c r="G394">
        <v>92.6</v>
      </c>
      <c r="H394">
        <v>82.9</v>
      </c>
      <c r="I394">
        <v>80.400000000000006</v>
      </c>
      <c r="N394">
        <v>14332</v>
      </c>
    </row>
    <row r="395" spans="1:14" x14ac:dyDescent="0.3">
      <c r="A395" t="s">
        <v>734</v>
      </c>
      <c r="B395" t="s">
        <v>143</v>
      </c>
      <c r="C395">
        <v>26.1</v>
      </c>
      <c r="D395">
        <v>93.4</v>
      </c>
      <c r="G395">
        <v>93.9</v>
      </c>
      <c r="H395">
        <v>87</v>
      </c>
      <c r="J395">
        <v>80.5</v>
      </c>
      <c r="N395">
        <v>13616</v>
      </c>
    </row>
    <row r="396" spans="1:14" x14ac:dyDescent="0.3">
      <c r="A396" t="s">
        <v>180</v>
      </c>
      <c r="B396" t="s">
        <v>95</v>
      </c>
      <c r="C396">
        <v>202.1</v>
      </c>
      <c r="D396">
        <v>93.4</v>
      </c>
      <c r="F396">
        <v>79.900000000000006</v>
      </c>
      <c r="G396">
        <v>92.5</v>
      </c>
      <c r="H396">
        <v>86.1</v>
      </c>
      <c r="J396">
        <v>79.400000000000006</v>
      </c>
      <c r="N396">
        <v>16149</v>
      </c>
    </row>
    <row r="397" spans="1:14" x14ac:dyDescent="0.3">
      <c r="A397" t="s">
        <v>733</v>
      </c>
      <c r="B397" t="s">
        <v>46</v>
      </c>
      <c r="C397">
        <v>41.1</v>
      </c>
      <c r="D397">
        <v>93.4</v>
      </c>
      <c r="I397">
        <v>80.5</v>
      </c>
      <c r="J397">
        <v>80.599999999999994</v>
      </c>
      <c r="N397">
        <v>7550</v>
      </c>
    </row>
    <row r="398" spans="1:14" x14ac:dyDescent="0.3">
      <c r="A398" t="s">
        <v>366</v>
      </c>
      <c r="B398" t="s">
        <v>62</v>
      </c>
      <c r="C398">
        <v>51.2</v>
      </c>
      <c r="D398">
        <v>93.4</v>
      </c>
      <c r="H398">
        <v>87.1</v>
      </c>
      <c r="I398">
        <v>87.2</v>
      </c>
      <c r="J398">
        <v>81.2</v>
      </c>
      <c r="N398">
        <v>11964</v>
      </c>
    </row>
    <row r="399" spans="1:14" x14ac:dyDescent="0.3">
      <c r="A399" t="s">
        <v>732</v>
      </c>
      <c r="B399" t="s">
        <v>62</v>
      </c>
      <c r="C399">
        <v>19.2</v>
      </c>
      <c r="D399">
        <v>93.4</v>
      </c>
      <c r="H399">
        <v>85.2</v>
      </c>
      <c r="I399">
        <v>80</v>
      </c>
      <c r="N399">
        <v>17860</v>
      </c>
    </row>
    <row r="400" spans="1:14" x14ac:dyDescent="0.3">
      <c r="A400" t="s">
        <v>396</v>
      </c>
      <c r="B400" t="s">
        <v>48</v>
      </c>
      <c r="C400">
        <v>67.2</v>
      </c>
      <c r="D400">
        <v>93.4</v>
      </c>
      <c r="E400">
        <v>91.8</v>
      </c>
      <c r="G400">
        <v>93.5</v>
      </c>
      <c r="H400">
        <v>86.9</v>
      </c>
      <c r="I400">
        <v>85.9</v>
      </c>
      <c r="J400">
        <v>78.400000000000006</v>
      </c>
      <c r="N400">
        <v>1841</v>
      </c>
    </row>
    <row r="401" spans="1:14" x14ac:dyDescent="0.3">
      <c r="A401" t="s">
        <v>731</v>
      </c>
      <c r="B401" t="s">
        <v>48</v>
      </c>
      <c r="C401">
        <v>24.1</v>
      </c>
      <c r="D401">
        <v>93.4</v>
      </c>
      <c r="G401">
        <v>92.4</v>
      </c>
      <c r="H401">
        <v>87.2</v>
      </c>
      <c r="I401">
        <v>88.5</v>
      </c>
      <c r="J401">
        <v>80.400000000000006</v>
      </c>
      <c r="N401">
        <v>15655</v>
      </c>
    </row>
    <row r="402" spans="1:14" x14ac:dyDescent="0.3">
      <c r="A402" t="s">
        <v>730</v>
      </c>
      <c r="B402" t="s">
        <v>83</v>
      </c>
      <c r="C402">
        <v>39.200000000000003</v>
      </c>
      <c r="D402">
        <v>93.4</v>
      </c>
      <c r="G402">
        <v>92</v>
      </c>
      <c r="H402">
        <v>85.1</v>
      </c>
      <c r="J402">
        <v>82</v>
      </c>
      <c r="N402">
        <v>17995</v>
      </c>
    </row>
    <row r="403" spans="1:14" x14ac:dyDescent="0.3">
      <c r="A403" t="s">
        <v>390</v>
      </c>
      <c r="B403" t="s">
        <v>146</v>
      </c>
      <c r="C403">
        <v>80</v>
      </c>
      <c r="D403">
        <v>93.4</v>
      </c>
      <c r="G403">
        <v>92.9</v>
      </c>
      <c r="H403">
        <v>85.9</v>
      </c>
      <c r="I403">
        <v>83.7</v>
      </c>
      <c r="J403">
        <v>77.5</v>
      </c>
      <c r="N403">
        <v>16130</v>
      </c>
    </row>
    <row r="404" spans="1:14" x14ac:dyDescent="0.3">
      <c r="A404" t="s">
        <v>729</v>
      </c>
      <c r="B404" t="s">
        <v>48</v>
      </c>
      <c r="C404">
        <v>8</v>
      </c>
      <c r="D404">
        <v>93.4</v>
      </c>
      <c r="G404">
        <v>93.2</v>
      </c>
      <c r="H404">
        <v>86.8</v>
      </c>
      <c r="J404">
        <v>85.4</v>
      </c>
      <c r="N404">
        <v>7175</v>
      </c>
    </row>
    <row r="405" spans="1:14" x14ac:dyDescent="0.3">
      <c r="A405" t="s">
        <v>290</v>
      </c>
      <c r="B405" t="s">
        <v>50</v>
      </c>
      <c r="C405">
        <v>126.2</v>
      </c>
      <c r="D405">
        <v>93.4</v>
      </c>
      <c r="E405">
        <v>89.7</v>
      </c>
      <c r="G405">
        <v>93.2</v>
      </c>
      <c r="H405">
        <v>85.9</v>
      </c>
      <c r="I405">
        <v>91.8</v>
      </c>
      <c r="J405">
        <v>75.599999999999994</v>
      </c>
      <c r="N405">
        <v>14078</v>
      </c>
    </row>
    <row r="406" spans="1:14" x14ac:dyDescent="0.3">
      <c r="A406" t="s">
        <v>265</v>
      </c>
      <c r="B406" t="s">
        <v>48</v>
      </c>
      <c r="C406">
        <v>163.1</v>
      </c>
      <c r="D406">
        <v>93.4</v>
      </c>
      <c r="F406">
        <v>84.5</v>
      </c>
      <c r="G406">
        <v>93.4</v>
      </c>
      <c r="I406">
        <v>87.4</v>
      </c>
      <c r="J406">
        <v>78.7</v>
      </c>
      <c r="N406">
        <v>8362</v>
      </c>
    </row>
    <row r="407" spans="1:14" x14ac:dyDescent="0.3">
      <c r="A407" t="s">
        <v>114</v>
      </c>
      <c r="B407" t="s">
        <v>56</v>
      </c>
      <c r="C407">
        <v>214.1</v>
      </c>
      <c r="D407">
        <v>93.4</v>
      </c>
      <c r="G407">
        <v>93.8</v>
      </c>
      <c r="H407">
        <v>87.9</v>
      </c>
      <c r="I407">
        <v>85.2</v>
      </c>
      <c r="J407">
        <v>82.9</v>
      </c>
      <c r="N407">
        <v>19427</v>
      </c>
    </row>
    <row r="408" spans="1:14" x14ac:dyDescent="0.3">
      <c r="A408" t="s">
        <v>728</v>
      </c>
      <c r="B408" t="s">
        <v>98</v>
      </c>
      <c r="C408">
        <v>1</v>
      </c>
      <c r="D408">
        <v>93.3</v>
      </c>
      <c r="F408">
        <v>88.3</v>
      </c>
      <c r="I408">
        <v>88.6</v>
      </c>
      <c r="N408">
        <v>11836</v>
      </c>
    </row>
    <row r="409" spans="1:14" x14ac:dyDescent="0.3">
      <c r="A409" t="s">
        <v>727</v>
      </c>
      <c r="B409" t="s">
        <v>43</v>
      </c>
      <c r="C409">
        <v>13.1</v>
      </c>
      <c r="D409">
        <v>93.3</v>
      </c>
      <c r="E409">
        <v>87.3</v>
      </c>
      <c r="G409">
        <v>92.8</v>
      </c>
      <c r="H409">
        <v>78.900000000000006</v>
      </c>
      <c r="I409">
        <v>81.5</v>
      </c>
      <c r="J409">
        <v>73.2</v>
      </c>
      <c r="N409">
        <v>16017</v>
      </c>
    </row>
    <row r="410" spans="1:14" x14ac:dyDescent="0.3">
      <c r="A410" t="s">
        <v>726</v>
      </c>
      <c r="B410" t="s">
        <v>66</v>
      </c>
      <c r="C410">
        <v>28.1</v>
      </c>
      <c r="D410">
        <v>93.3</v>
      </c>
      <c r="G410">
        <v>92.1</v>
      </c>
      <c r="H410">
        <v>85.7</v>
      </c>
      <c r="I410">
        <v>84.1</v>
      </c>
      <c r="N410">
        <v>23798</v>
      </c>
    </row>
    <row r="411" spans="1:14" x14ac:dyDescent="0.3">
      <c r="A411" t="s">
        <v>725</v>
      </c>
      <c r="B411" t="s">
        <v>102</v>
      </c>
      <c r="C411">
        <v>44.2</v>
      </c>
      <c r="D411">
        <v>93.3</v>
      </c>
      <c r="G411">
        <v>93.5</v>
      </c>
      <c r="H411">
        <v>87.3</v>
      </c>
      <c r="J411">
        <v>81.900000000000006</v>
      </c>
      <c r="N411">
        <v>17237</v>
      </c>
    </row>
    <row r="412" spans="1:14" x14ac:dyDescent="0.3">
      <c r="A412" t="s">
        <v>724</v>
      </c>
      <c r="B412" t="s">
        <v>83</v>
      </c>
      <c r="C412">
        <v>13</v>
      </c>
      <c r="D412">
        <v>93.3</v>
      </c>
      <c r="H412">
        <v>76</v>
      </c>
      <c r="J412">
        <v>78.7</v>
      </c>
      <c r="N412">
        <v>4994</v>
      </c>
    </row>
    <row r="413" spans="1:14" x14ac:dyDescent="0.3">
      <c r="A413" t="s">
        <v>723</v>
      </c>
      <c r="B413" t="s">
        <v>40</v>
      </c>
      <c r="C413">
        <v>3.2</v>
      </c>
      <c r="D413">
        <v>93.3</v>
      </c>
      <c r="F413">
        <v>84.5</v>
      </c>
      <c r="I413">
        <v>86.6</v>
      </c>
      <c r="N413">
        <v>13322</v>
      </c>
    </row>
    <row r="414" spans="1:14" x14ac:dyDescent="0.3">
      <c r="A414" t="s">
        <v>110</v>
      </c>
      <c r="B414" t="s">
        <v>62</v>
      </c>
      <c r="C414">
        <v>61.1</v>
      </c>
      <c r="D414">
        <v>93.3</v>
      </c>
      <c r="H414">
        <v>86.4</v>
      </c>
      <c r="I414">
        <v>83.6</v>
      </c>
      <c r="N414">
        <v>13360</v>
      </c>
    </row>
    <row r="415" spans="1:14" x14ac:dyDescent="0.3">
      <c r="A415" t="s">
        <v>722</v>
      </c>
      <c r="B415" t="s">
        <v>46</v>
      </c>
      <c r="C415">
        <v>42.2</v>
      </c>
      <c r="D415">
        <v>93.3</v>
      </c>
      <c r="E415">
        <v>89</v>
      </c>
      <c r="G415">
        <v>91.4</v>
      </c>
      <c r="J415">
        <v>82.8</v>
      </c>
      <c r="N415">
        <v>7441</v>
      </c>
    </row>
    <row r="416" spans="1:14" x14ac:dyDescent="0.3">
      <c r="A416" t="s">
        <v>109</v>
      </c>
      <c r="B416" t="s">
        <v>48</v>
      </c>
      <c r="C416">
        <v>184.1</v>
      </c>
      <c r="D416">
        <v>93.3</v>
      </c>
      <c r="E416">
        <v>91.1</v>
      </c>
      <c r="G416">
        <v>92.7</v>
      </c>
      <c r="H416">
        <v>86.9</v>
      </c>
      <c r="I416">
        <v>85.9</v>
      </c>
      <c r="J416">
        <v>75.3</v>
      </c>
      <c r="N416">
        <v>13431</v>
      </c>
    </row>
    <row r="417" spans="1:14" x14ac:dyDescent="0.3">
      <c r="A417" t="s">
        <v>721</v>
      </c>
      <c r="B417" t="s">
        <v>143</v>
      </c>
      <c r="C417">
        <v>5.2</v>
      </c>
      <c r="D417">
        <v>93.3</v>
      </c>
      <c r="H417">
        <v>83.2</v>
      </c>
      <c r="I417">
        <v>84.4</v>
      </c>
      <c r="J417">
        <v>75.900000000000006</v>
      </c>
      <c r="N417">
        <v>17508</v>
      </c>
    </row>
    <row r="418" spans="1:14" x14ac:dyDescent="0.3">
      <c r="A418" t="s">
        <v>361</v>
      </c>
      <c r="B418" t="s">
        <v>143</v>
      </c>
      <c r="C418">
        <v>122.1</v>
      </c>
      <c r="D418">
        <v>93.3</v>
      </c>
      <c r="G418">
        <v>92.2</v>
      </c>
      <c r="H418">
        <v>85.4</v>
      </c>
      <c r="I418">
        <v>85.4</v>
      </c>
      <c r="J418">
        <v>80.599999999999994</v>
      </c>
      <c r="N418">
        <v>17030</v>
      </c>
    </row>
    <row r="419" spans="1:14" x14ac:dyDescent="0.3">
      <c r="A419" t="s">
        <v>720</v>
      </c>
      <c r="B419" t="s">
        <v>40</v>
      </c>
      <c r="C419">
        <v>7.1</v>
      </c>
      <c r="D419">
        <v>93.2</v>
      </c>
      <c r="H419">
        <v>85.3</v>
      </c>
      <c r="I419">
        <v>83.1</v>
      </c>
      <c r="N419">
        <v>15100</v>
      </c>
    </row>
    <row r="420" spans="1:14" x14ac:dyDescent="0.3">
      <c r="A420" t="s">
        <v>37</v>
      </c>
      <c r="B420" t="s">
        <v>38</v>
      </c>
      <c r="C420">
        <v>71.2</v>
      </c>
      <c r="D420">
        <v>93.2</v>
      </c>
      <c r="E420">
        <v>87.3</v>
      </c>
      <c r="I420">
        <v>88.1</v>
      </c>
      <c r="J420">
        <v>80.900000000000006</v>
      </c>
      <c r="N420">
        <v>11428</v>
      </c>
    </row>
    <row r="421" spans="1:14" x14ac:dyDescent="0.3">
      <c r="A421" t="s">
        <v>719</v>
      </c>
      <c r="B421" t="s">
        <v>48</v>
      </c>
      <c r="C421">
        <v>31.1</v>
      </c>
      <c r="D421">
        <v>93.2</v>
      </c>
      <c r="G421">
        <v>92.2</v>
      </c>
      <c r="H421">
        <v>81.8</v>
      </c>
      <c r="I421">
        <v>84.8</v>
      </c>
      <c r="J421">
        <v>81</v>
      </c>
      <c r="N421">
        <v>13188</v>
      </c>
    </row>
    <row r="422" spans="1:14" x14ac:dyDescent="0.3">
      <c r="A422" t="s">
        <v>282</v>
      </c>
      <c r="B422" t="s">
        <v>32</v>
      </c>
      <c r="C422">
        <v>51.2</v>
      </c>
      <c r="D422">
        <v>93.2</v>
      </c>
      <c r="F422">
        <v>83.4</v>
      </c>
      <c r="I422">
        <v>84.2</v>
      </c>
      <c r="J422">
        <v>91.1</v>
      </c>
      <c r="N422">
        <v>19403</v>
      </c>
    </row>
    <row r="423" spans="1:14" x14ac:dyDescent="0.3">
      <c r="A423" t="s">
        <v>168</v>
      </c>
      <c r="B423" t="s">
        <v>38</v>
      </c>
      <c r="C423">
        <v>203.1</v>
      </c>
      <c r="D423">
        <v>93.2</v>
      </c>
      <c r="E423">
        <v>88.7</v>
      </c>
      <c r="G423">
        <v>93</v>
      </c>
      <c r="H423">
        <v>87.8</v>
      </c>
      <c r="I423">
        <v>82.7</v>
      </c>
      <c r="N423">
        <v>13164</v>
      </c>
    </row>
    <row r="424" spans="1:14" x14ac:dyDescent="0.3">
      <c r="A424" t="s">
        <v>297</v>
      </c>
      <c r="B424" t="s">
        <v>36</v>
      </c>
      <c r="C424">
        <v>154.1</v>
      </c>
      <c r="D424">
        <v>93.2</v>
      </c>
      <c r="E424">
        <v>88.3</v>
      </c>
      <c r="F424">
        <v>83.5</v>
      </c>
      <c r="G424">
        <v>92.1</v>
      </c>
      <c r="I424">
        <v>80.900000000000006</v>
      </c>
      <c r="J424">
        <v>79.8</v>
      </c>
      <c r="N424">
        <v>17948</v>
      </c>
    </row>
    <row r="425" spans="1:14" x14ac:dyDescent="0.3">
      <c r="A425" t="s">
        <v>718</v>
      </c>
      <c r="B425" t="s">
        <v>77</v>
      </c>
      <c r="C425">
        <v>3.1</v>
      </c>
      <c r="D425">
        <v>93.2</v>
      </c>
      <c r="G425">
        <v>93.5</v>
      </c>
      <c r="H425">
        <v>82.7</v>
      </c>
      <c r="I425">
        <v>80.2</v>
      </c>
      <c r="N425">
        <v>12874</v>
      </c>
    </row>
    <row r="426" spans="1:14" x14ac:dyDescent="0.3">
      <c r="A426" t="s">
        <v>717</v>
      </c>
      <c r="B426" t="s">
        <v>28</v>
      </c>
      <c r="C426">
        <v>41</v>
      </c>
      <c r="D426">
        <v>93.2</v>
      </c>
      <c r="H426">
        <v>84.3</v>
      </c>
      <c r="I426">
        <v>82.4</v>
      </c>
      <c r="J426">
        <v>80.7</v>
      </c>
      <c r="N426">
        <v>18413</v>
      </c>
    </row>
    <row r="427" spans="1:14" x14ac:dyDescent="0.3">
      <c r="A427" t="s">
        <v>716</v>
      </c>
      <c r="B427" t="s">
        <v>146</v>
      </c>
      <c r="C427">
        <v>21</v>
      </c>
      <c r="D427">
        <v>93.2</v>
      </c>
      <c r="G427">
        <v>94</v>
      </c>
      <c r="H427">
        <v>85.1</v>
      </c>
      <c r="I427">
        <v>84.9</v>
      </c>
      <c r="N427">
        <v>17796</v>
      </c>
    </row>
    <row r="428" spans="1:14" x14ac:dyDescent="0.3">
      <c r="A428" t="s">
        <v>715</v>
      </c>
      <c r="B428" t="s">
        <v>102</v>
      </c>
      <c r="C428">
        <v>27.2</v>
      </c>
      <c r="D428">
        <v>93.2</v>
      </c>
      <c r="E428">
        <v>88.4</v>
      </c>
      <c r="H428">
        <v>86.2</v>
      </c>
      <c r="J428">
        <v>80.2</v>
      </c>
      <c r="N428">
        <v>3292</v>
      </c>
    </row>
    <row r="429" spans="1:14" x14ac:dyDescent="0.3">
      <c r="A429" t="s">
        <v>76</v>
      </c>
      <c r="B429" t="s">
        <v>77</v>
      </c>
      <c r="C429">
        <v>57</v>
      </c>
      <c r="D429">
        <v>93.2</v>
      </c>
      <c r="G429">
        <v>92.8</v>
      </c>
      <c r="H429">
        <v>87.6</v>
      </c>
      <c r="I429">
        <v>86.9</v>
      </c>
      <c r="N429">
        <v>9939</v>
      </c>
    </row>
    <row r="430" spans="1:14" x14ac:dyDescent="0.3">
      <c r="A430" t="s">
        <v>714</v>
      </c>
      <c r="B430" t="s">
        <v>159</v>
      </c>
      <c r="C430">
        <v>3.2</v>
      </c>
      <c r="D430">
        <v>93.1</v>
      </c>
      <c r="E430">
        <v>88.4</v>
      </c>
      <c r="I430">
        <v>82.8</v>
      </c>
      <c r="N430">
        <v>14733</v>
      </c>
    </row>
    <row r="431" spans="1:14" x14ac:dyDescent="0.3">
      <c r="A431" t="s">
        <v>132</v>
      </c>
      <c r="B431" t="s">
        <v>30</v>
      </c>
      <c r="C431">
        <v>70</v>
      </c>
      <c r="D431">
        <v>93.1</v>
      </c>
      <c r="G431">
        <v>93.2</v>
      </c>
      <c r="H431">
        <v>87.2</v>
      </c>
      <c r="I431">
        <v>87.3</v>
      </c>
      <c r="J431">
        <v>81.8</v>
      </c>
      <c r="N431">
        <v>3201</v>
      </c>
    </row>
    <row r="432" spans="1:14" x14ac:dyDescent="0.3">
      <c r="A432" t="s">
        <v>372</v>
      </c>
      <c r="B432" t="s">
        <v>46</v>
      </c>
      <c r="C432">
        <v>63.2</v>
      </c>
      <c r="D432">
        <v>93.1</v>
      </c>
      <c r="G432">
        <v>91.5</v>
      </c>
      <c r="H432">
        <v>87.2</v>
      </c>
      <c r="I432">
        <v>88.9</v>
      </c>
      <c r="J432">
        <v>77.400000000000006</v>
      </c>
      <c r="N432">
        <v>10587</v>
      </c>
    </row>
    <row r="433" spans="1:14" x14ac:dyDescent="0.3">
      <c r="A433" t="s">
        <v>713</v>
      </c>
      <c r="B433" t="s">
        <v>89</v>
      </c>
      <c r="C433">
        <v>6.1</v>
      </c>
      <c r="D433">
        <v>93.1</v>
      </c>
      <c r="G433">
        <v>93.1</v>
      </c>
      <c r="H433">
        <v>87.2</v>
      </c>
      <c r="I433">
        <v>84.1</v>
      </c>
      <c r="N433">
        <v>17556</v>
      </c>
    </row>
    <row r="434" spans="1:14" x14ac:dyDescent="0.3">
      <c r="A434" t="s">
        <v>712</v>
      </c>
      <c r="B434" t="s">
        <v>43</v>
      </c>
      <c r="C434">
        <v>2.2000000000000002</v>
      </c>
      <c r="D434">
        <v>93.1</v>
      </c>
      <c r="I434">
        <v>85.9</v>
      </c>
      <c r="N434">
        <v>14353</v>
      </c>
    </row>
    <row r="435" spans="1:14" x14ac:dyDescent="0.3">
      <c r="A435" t="s">
        <v>347</v>
      </c>
      <c r="B435" t="s">
        <v>48</v>
      </c>
      <c r="C435">
        <v>51.1</v>
      </c>
      <c r="D435">
        <v>93.1</v>
      </c>
      <c r="G435">
        <v>92.4</v>
      </c>
      <c r="I435">
        <v>83.7</v>
      </c>
      <c r="J435">
        <v>77.7</v>
      </c>
      <c r="N435">
        <v>12804</v>
      </c>
    </row>
    <row r="436" spans="1:14" x14ac:dyDescent="0.3">
      <c r="A436" t="s">
        <v>357</v>
      </c>
      <c r="B436" t="s">
        <v>193</v>
      </c>
      <c r="C436">
        <v>58</v>
      </c>
      <c r="D436">
        <v>93.1</v>
      </c>
      <c r="H436">
        <v>86.2</v>
      </c>
      <c r="I436">
        <v>85.7</v>
      </c>
      <c r="N436">
        <v>16587</v>
      </c>
    </row>
    <row r="437" spans="1:14" x14ac:dyDescent="0.3">
      <c r="A437" t="s">
        <v>86</v>
      </c>
      <c r="B437" t="s">
        <v>48</v>
      </c>
      <c r="C437">
        <v>80</v>
      </c>
      <c r="D437">
        <v>93.1</v>
      </c>
      <c r="G437">
        <v>92.9</v>
      </c>
      <c r="H437">
        <v>85.2</v>
      </c>
      <c r="I437">
        <v>87.2</v>
      </c>
      <c r="J437">
        <v>79.400000000000006</v>
      </c>
      <c r="N437">
        <v>19291</v>
      </c>
    </row>
    <row r="438" spans="1:14" x14ac:dyDescent="0.3">
      <c r="A438" t="s">
        <v>135</v>
      </c>
      <c r="B438" t="s">
        <v>66</v>
      </c>
      <c r="C438">
        <v>159</v>
      </c>
      <c r="D438">
        <v>93</v>
      </c>
      <c r="E438">
        <v>86.8</v>
      </c>
      <c r="F438">
        <v>85.3</v>
      </c>
      <c r="G438">
        <v>93.2</v>
      </c>
      <c r="I438">
        <v>84.8</v>
      </c>
      <c r="J438">
        <v>75.599999999999994</v>
      </c>
      <c r="N438">
        <v>6397</v>
      </c>
    </row>
    <row r="439" spans="1:14" x14ac:dyDescent="0.3">
      <c r="A439" t="s">
        <v>231</v>
      </c>
      <c r="B439" t="s">
        <v>34</v>
      </c>
      <c r="C439">
        <v>69</v>
      </c>
      <c r="D439">
        <v>93</v>
      </c>
      <c r="G439">
        <v>92.9</v>
      </c>
      <c r="H439">
        <v>87.9</v>
      </c>
      <c r="I439">
        <v>81.7</v>
      </c>
      <c r="J439">
        <v>73.5</v>
      </c>
      <c r="N439">
        <v>6941</v>
      </c>
    </row>
    <row r="440" spans="1:14" x14ac:dyDescent="0.3">
      <c r="A440" t="s">
        <v>711</v>
      </c>
      <c r="B440" t="s">
        <v>95</v>
      </c>
      <c r="C440">
        <v>48.2</v>
      </c>
      <c r="D440">
        <v>93</v>
      </c>
      <c r="G440">
        <v>92.1</v>
      </c>
      <c r="H440">
        <v>85.1</v>
      </c>
      <c r="I440">
        <v>85</v>
      </c>
      <c r="N440">
        <v>17277</v>
      </c>
    </row>
    <row r="441" spans="1:14" x14ac:dyDescent="0.3">
      <c r="A441" t="s">
        <v>710</v>
      </c>
      <c r="B441" t="s">
        <v>193</v>
      </c>
      <c r="C441">
        <v>36</v>
      </c>
      <c r="D441">
        <v>93</v>
      </c>
      <c r="H441">
        <v>87.9</v>
      </c>
      <c r="I441">
        <v>84.4</v>
      </c>
      <c r="N441">
        <v>17285</v>
      </c>
    </row>
    <row r="442" spans="1:14" x14ac:dyDescent="0.3">
      <c r="A442" t="s">
        <v>709</v>
      </c>
      <c r="B442" t="s">
        <v>146</v>
      </c>
      <c r="C442">
        <v>12.1</v>
      </c>
      <c r="D442">
        <v>93</v>
      </c>
      <c r="F442">
        <v>87.1</v>
      </c>
      <c r="G442">
        <v>92.9</v>
      </c>
      <c r="J442">
        <v>83.2</v>
      </c>
      <c r="N442">
        <v>6562</v>
      </c>
    </row>
    <row r="443" spans="1:14" x14ac:dyDescent="0.3">
      <c r="A443" t="s">
        <v>215</v>
      </c>
      <c r="B443" t="s">
        <v>48</v>
      </c>
      <c r="C443">
        <v>141</v>
      </c>
      <c r="D443">
        <v>93</v>
      </c>
      <c r="G443">
        <v>92.2</v>
      </c>
      <c r="H443">
        <v>86</v>
      </c>
      <c r="I443">
        <v>87.8</v>
      </c>
      <c r="J443">
        <v>80.900000000000006</v>
      </c>
      <c r="N443">
        <v>7593</v>
      </c>
    </row>
    <row r="444" spans="1:14" x14ac:dyDescent="0.3">
      <c r="A444" t="s">
        <v>708</v>
      </c>
      <c r="B444" t="s">
        <v>62</v>
      </c>
      <c r="C444">
        <v>39.1</v>
      </c>
      <c r="D444">
        <v>93</v>
      </c>
      <c r="H444">
        <v>83.6</v>
      </c>
      <c r="I444">
        <v>86.5</v>
      </c>
      <c r="J444">
        <v>78</v>
      </c>
      <c r="N444">
        <v>19447</v>
      </c>
    </row>
    <row r="445" spans="1:14" x14ac:dyDescent="0.3">
      <c r="A445" t="s">
        <v>707</v>
      </c>
      <c r="B445" t="s">
        <v>193</v>
      </c>
      <c r="C445">
        <v>22.1</v>
      </c>
      <c r="D445">
        <v>93</v>
      </c>
      <c r="G445">
        <v>92.4</v>
      </c>
      <c r="H445">
        <v>90</v>
      </c>
      <c r="I445">
        <v>86.5</v>
      </c>
      <c r="J445">
        <v>82</v>
      </c>
      <c r="N445">
        <v>19330</v>
      </c>
    </row>
    <row r="446" spans="1:14" x14ac:dyDescent="0.3">
      <c r="A446" t="s">
        <v>706</v>
      </c>
      <c r="B446" t="s">
        <v>83</v>
      </c>
      <c r="C446">
        <v>32.200000000000003</v>
      </c>
      <c r="D446">
        <v>93</v>
      </c>
      <c r="G446">
        <v>92.5</v>
      </c>
      <c r="H446">
        <v>87.2</v>
      </c>
      <c r="I446">
        <v>84.9</v>
      </c>
      <c r="J446">
        <v>80</v>
      </c>
      <c r="N446">
        <v>18300</v>
      </c>
    </row>
    <row r="447" spans="1:14" x14ac:dyDescent="0.3">
      <c r="A447" t="s">
        <v>286</v>
      </c>
      <c r="B447" t="s">
        <v>43</v>
      </c>
      <c r="C447">
        <v>55</v>
      </c>
      <c r="D447">
        <v>93</v>
      </c>
      <c r="G447">
        <v>92.5</v>
      </c>
      <c r="H447">
        <v>86.2</v>
      </c>
      <c r="I447">
        <v>88.4</v>
      </c>
      <c r="J447">
        <v>78.599999999999994</v>
      </c>
      <c r="N447">
        <v>16159</v>
      </c>
    </row>
    <row r="448" spans="1:14" x14ac:dyDescent="0.3">
      <c r="A448" t="s">
        <v>705</v>
      </c>
      <c r="B448" t="s">
        <v>36</v>
      </c>
      <c r="C448">
        <v>31.2</v>
      </c>
      <c r="D448">
        <v>93</v>
      </c>
      <c r="G448">
        <v>93.2</v>
      </c>
      <c r="H448">
        <v>86.2</v>
      </c>
      <c r="I448">
        <v>84.1</v>
      </c>
      <c r="J448">
        <v>81.2</v>
      </c>
      <c r="N448">
        <v>17034</v>
      </c>
    </row>
    <row r="449" spans="1:14" x14ac:dyDescent="0.3">
      <c r="A449" t="s">
        <v>200</v>
      </c>
      <c r="B449" t="s">
        <v>48</v>
      </c>
      <c r="C449">
        <v>71.099999999999994</v>
      </c>
      <c r="D449">
        <v>93</v>
      </c>
      <c r="G449">
        <v>91.4</v>
      </c>
      <c r="H449">
        <v>84.7</v>
      </c>
      <c r="I449">
        <v>82.4</v>
      </c>
      <c r="N449">
        <v>9325</v>
      </c>
    </row>
    <row r="450" spans="1:14" x14ac:dyDescent="0.3">
      <c r="A450" t="s">
        <v>299</v>
      </c>
      <c r="B450" t="s">
        <v>48</v>
      </c>
      <c r="C450">
        <v>104</v>
      </c>
      <c r="D450">
        <v>92.9</v>
      </c>
      <c r="E450">
        <v>88.2</v>
      </c>
      <c r="G450">
        <v>91.2</v>
      </c>
      <c r="H450">
        <v>86</v>
      </c>
      <c r="J450">
        <v>81.400000000000006</v>
      </c>
      <c r="N450">
        <v>11426</v>
      </c>
    </row>
    <row r="451" spans="1:14" x14ac:dyDescent="0.3">
      <c r="A451" t="s">
        <v>82</v>
      </c>
      <c r="B451" t="s">
        <v>83</v>
      </c>
      <c r="C451">
        <v>65.099999999999994</v>
      </c>
      <c r="D451">
        <v>92.9</v>
      </c>
      <c r="H451">
        <v>87.4</v>
      </c>
      <c r="I451">
        <v>81.8</v>
      </c>
      <c r="J451">
        <v>77.400000000000006</v>
      </c>
      <c r="N451">
        <v>8048</v>
      </c>
    </row>
    <row r="452" spans="1:14" x14ac:dyDescent="0.3">
      <c r="A452" t="s">
        <v>274</v>
      </c>
      <c r="B452" t="s">
        <v>48</v>
      </c>
      <c r="C452">
        <v>67.2</v>
      </c>
      <c r="D452">
        <v>92.9</v>
      </c>
      <c r="E452">
        <v>88</v>
      </c>
      <c r="G452">
        <v>93.3</v>
      </c>
      <c r="H452">
        <v>83.6</v>
      </c>
      <c r="I452">
        <v>85.5</v>
      </c>
      <c r="J452">
        <v>79.599999999999994</v>
      </c>
      <c r="N452">
        <v>7407</v>
      </c>
    </row>
    <row r="453" spans="1:14" x14ac:dyDescent="0.3">
      <c r="A453" t="s">
        <v>704</v>
      </c>
      <c r="B453" t="s">
        <v>48</v>
      </c>
      <c r="C453">
        <v>27.2</v>
      </c>
      <c r="D453">
        <v>92.9</v>
      </c>
      <c r="G453">
        <v>95.1</v>
      </c>
      <c r="H453">
        <v>82.6</v>
      </c>
      <c r="I453">
        <v>83.6</v>
      </c>
      <c r="J453">
        <v>76.599999999999994</v>
      </c>
      <c r="N453">
        <v>18555</v>
      </c>
    </row>
    <row r="454" spans="1:14" x14ac:dyDescent="0.3">
      <c r="A454" t="s">
        <v>74</v>
      </c>
      <c r="B454" t="s">
        <v>75</v>
      </c>
      <c r="C454">
        <v>174.2</v>
      </c>
      <c r="D454">
        <v>92.9</v>
      </c>
      <c r="G454">
        <v>92.2</v>
      </c>
      <c r="H454">
        <v>81.2</v>
      </c>
      <c r="I454">
        <v>83.1</v>
      </c>
      <c r="N454">
        <v>18383</v>
      </c>
    </row>
    <row r="455" spans="1:14" x14ac:dyDescent="0.3">
      <c r="A455" t="s">
        <v>116</v>
      </c>
      <c r="B455" t="s">
        <v>56</v>
      </c>
      <c r="C455">
        <v>57.1</v>
      </c>
      <c r="D455">
        <v>92.9</v>
      </c>
      <c r="G455">
        <v>91.5</v>
      </c>
      <c r="I455">
        <v>81.2</v>
      </c>
      <c r="N455">
        <v>9111</v>
      </c>
    </row>
    <row r="456" spans="1:14" x14ac:dyDescent="0.3">
      <c r="A456" t="s">
        <v>703</v>
      </c>
      <c r="B456" t="s">
        <v>34</v>
      </c>
      <c r="C456">
        <v>45.1</v>
      </c>
      <c r="D456">
        <v>92.9</v>
      </c>
      <c r="E456">
        <v>89.8</v>
      </c>
      <c r="G456">
        <v>92.6</v>
      </c>
      <c r="J456">
        <v>77.900000000000006</v>
      </c>
      <c r="N456">
        <v>9456</v>
      </c>
    </row>
    <row r="457" spans="1:14" x14ac:dyDescent="0.3">
      <c r="A457" t="s">
        <v>242</v>
      </c>
      <c r="B457" t="s">
        <v>30</v>
      </c>
      <c r="C457">
        <v>170.1</v>
      </c>
      <c r="D457">
        <v>92.9</v>
      </c>
      <c r="E457">
        <v>88.9</v>
      </c>
      <c r="G457">
        <v>91.7</v>
      </c>
      <c r="H457">
        <v>85.5</v>
      </c>
      <c r="I457">
        <v>83.4</v>
      </c>
      <c r="J457">
        <v>82.1</v>
      </c>
      <c r="N457">
        <v>12970</v>
      </c>
    </row>
    <row r="458" spans="1:14" x14ac:dyDescent="0.3">
      <c r="A458" t="s">
        <v>340</v>
      </c>
      <c r="B458" t="s">
        <v>193</v>
      </c>
      <c r="C458">
        <v>161.19999999999999</v>
      </c>
      <c r="D458">
        <v>92.9</v>
      </c>
      <c r="H458">
        <v>84.8</v>
      </c>
      <c r="I458">
        <v>86.3</v>
      </c>
      <c r="J458">
        <v>75.400000000000006</v>
      </c>
      <c r="N458">
        <v>20633</v>
      </c>
    </row>
    <row r="459" spans="1:14" x14ac:dyDescent="0.3">
      <c r="A459" t="s">
        <v>702</v>
      </c>
      <c r="B459" t="s">
        <v>48</v>
      </c>
      <c r="C459">
        <v>18</v>
      </c>
      <c r="D459">
        <v>92.9</v>
      </c>
      <c r="I459">
        <v>86.6</v>
      </c>
      <c r="N459">
        <v>9419</v>
      </c>
    </row>
    <row r="460" spans="1:14" x14ac:dyDescent="0.3">
      <c r="A460" t="s">
        <v>212</v>
      </c>
      <c r="B460" t="s">
        <v>28</v>
      </c>
      <c r="C460">
        <v>91.2</v>
      </c>
      <c r="D460">
        <v>92.9</v>
      </c>
      <c r="G460">
        <v>92</v>
      </c>
      <c r="H460">
        <v>83.6</v>
      </c>
      <c r="I460">
        <v>81.5</v>
      </c>
      <c r="J460">
        <v>78.8</v>
      </c>
      <c r="N460">
        <v>5401</v>
      </c>
    </row>
    <row r="461" spans="1:14" x14ac:dyDescent="0.3">
      <c r="A461" t="s">
        <v>701</v>
      </c>
      <c r="B461" t="s">
        <v>93</v>
      </c>
      <c r="C461">
        <v>43.2</v>
      </c>
      <c r="D461">
        <v>92.8</v>
      </c>
      <c r="E461">
        <v>86.6</v>
      </c>
      <c r="H461">
        <v>86.1</v>
      </c>
      <c r="J461">
        <v>79.5</v>
      </c>
      <c r="N461">
        <v>15047</v>
      </c>
    </row>
    <row r="462" spans="1:14" x14ac:dyDescent="0.3">
      <c r="A462" t="s">
        <v>197</v>
      </c>
      <c r="B462" t="s">
        <v>66</v>
      </c>
      <c r="C462">
        <v>146</v>
      </c>
      <c r="D462">
        <v>92.8</v>
      </c>
      <c r="H462">
        <v>87.4</v>
      </c>
      <c r="I462">
        <v>84.2</v>
      </c>
      <c r="N462">
        <v>5372</v>
      </c>
    </row>
    <row r="463" spans="1:14" x14ac:dyDescent="0.3">
      <c r="A463" t="s">
        <v>700</v>
      </c>
      <c r="B463" t="s">
        <v>48</v>
      </c>
      <c r="C463">
        <v>21.1</v>
      </c>
      <c r="D463">
        <v>92.8</v>
      </c>
      <c r="E463">
        <v>86</v>
      </c>
      <c r="H463">
        <v>82.4</v>
      </c>
      <c r="J463">
        <v>78.400000000000006</v>
      </c>
      <c r="N463">
        <v>12784</v>
      </c>
    </row>
    <row r="464" spans="1:14" x14ac:dyDescent="0.3">
      <c r="A464" t="s">
        <v>699</v>
      </c>
      <c r="B464" t="s">
        <v>32</v>
      </c>
      <c r="C464">
        <v>4</v>
      </c>
      <c r="D464">
        <v>92.8</v>
      </c>
      <c r="H464">
        <v>85.3</v>
      </c>
      <c r="I464">
        <v>85.7</v>
      </c>
      <c r="J464">
        <v>80.7</v>
      </c>
      <c r="N464">
        <v>14706</v>
      </c>
    </row>
    <row r="465" spans="1:14" x14ac:dyDescent="0.3">
      <c r="A465" t="s">
        <v>339</v>
      </c>
      <c r="B465" t="s">
        <v>83</v>
      </c>
      <c r="C465">
        <v>96</v>
      </c>
      <c r="D465">
        <v>92.8</v>
      </c>
      <c r="G465">
        <v>92.8</v>
      </c>
      <c r="H465">
        <v>86.2</v>
      </c>
      <c r="I465">
        <v>86.6</v>
      </c>
      <c r="J465">
        <v>78.400000000000006</v>
      </c>
      <c r="N465">
        <v>19453</v>
      </c>
    </row>
    <row r="466" spans="1:14" x14ac:dyDescent="0.3">
      <c r="A466" t="s">
        <v>698</v>
      </c>
      <c r="B466" t="s">
        <v>127</v>
      </c>
      <c r="C466">
        <v>1</v>
      </c>
      <c r="D466">
        <v>92.8</v>
      </c>
      <c r="G466">
        <v>94.7</v>
      </c>
      <c r="J466">
        <v>75.099999999999994</v>
      </c>
      <c r="N466">
        <v>14932</v>
      </c>
    </row>
    <row r="467" spans="1:14" x14ac:dyDescent="0.3">
      <c r="A467" t="s">
        <v>697</v>
      </c>
      <c r="B467" t="s">
        <v>62</v>
      </c>
      <c r="C467">
        <v>23</v>
      </c>
      <c r="D467">
        <v>92.8</v>
      </c>
      <c r="J467">
        <v>83.2</v>
      </c>
      <c r="N467">
        <v>12183</v>
      </c>
    </row>
    <row r="468" spans="1:14" x14ac:dyDescent="0.3">
      <c r="A468" t="s">
        <v>696</v>
      </c>
      <c r="B468" t="s">
        <v>36</v>
      </c>
      <c r="C468">
        <v>20</v>
      </c>
      <c r="D468">
        <v>92.8</v>
      </c>
      <c r="H468">
        <v>84.6</v>
      </c>
      <c r="I468">
        <v>80.5</v>
      </c>
      <c r="N468">
        <v>8490</v>
      </c>
    </row>
    <row r="469" spans="1:14" x14ac:dyDescent="0.3">
      <c r="A469" t="s">
        <v>695</v>
      </c>
      <c r="B469" t="s">
        <v>48</v>
      </c>
      <c r="C469">
        <v>34.1</v>
      </c>
      <c r="D469">
        <v>92.8</v>
      </c>
      <c r="E469">
        <v>89.6</v>
      </c>
      <c r="G469">
        <v>92.6</v>
      </c>
      <c r="H469">
        <v>86.5</v>
      </c>
      <c r="J469">
        <v>80.2</v>
      </c>
      <c r="N469">
        <v>6316</v>
      </c>
    </row>
    <row r="470" spans="1:14" x14ac:dyDescent="0.3">
      <c r="A470" t="s">
        <v>272</v>
      </c>
      <c r="B470" t="s">
        <v>95</v>
      </c>
      <c r="C470">
        <v>135.19999999999999</v>
      </c>
      <c r="D470">
        <v>92.8</v>
      </c>
      <c r="G470">
        <v>92.8</v>
      </c>
      <c r="H470">
        <v>87.9</v>
      </c>
      <c r="I470">
        <v>90.1</v>
      </c>
      <c r="J470">
        <v>80.900000000000006</v>
      </c>
      <c r="N470">
        <v>4153</v>
      </c>
    </row>
    <row r="471" spans="1:14" x14ac:dyDescent="0.3">
      <c r="A471" t="s">
        <v>694</v>
      </c>
      <c r="B471" t="s">
        <v>95</v>
      </c>
      <c r="C471">
        <v>29.2</v>
      </c>
      <c r="D471">
        <v>92.8</v>
      </c>
      <c r="G471">
        <v>92.8</v>
      </c>
      <c r="H471">
        <v>83.8</v>
      </c>
      <c r="I471">
        <v>81.599999999999994</v>
      </c>
      <c r="J471">
        <v>77.599999999999994</v>
      </c>
      <c r="N471">
        <v>12580</v>
      </c>
    </row>
    <row r="472" spans="1:14" x14ac:dyDescent="0.3">
      <c r="A472" t="s">
        <v>285</v>
      </c>
      <c r="B472" t="s">
        <v>43</v>
      </c>
      <c r="C472">
        <v>187</v>
      </c>
      <c r="D472">
        <v>92.8</v>
      </c>
      <c r="G472">
        <v>92.5</v>
      </c>
      <c r="H472">
        <v>86.4</v>
      </c>
      <c r="I472">
        <v>87</v>
      </c>
      <c r="J472">
        <v>80.099999999999994</v>
      </c>
      <c r="N472">
        <v>1994</v>
      </c>
    </row>
    <row r="473" spans="1:14" x14ac:dyDescent="0.3">
      <c r="A473" t="s">
        <v>693</v>
      </c>
      <c r="B473" t="s">
        <v>56</v>
      </c>
      <c r="C473">
        <v>40.200000000000003</v>
      </c>
      <c r="D473">
        <v>92.8</v>
      </c>
      <c r="I473">
        <v>82.4</v>
      </c>
      <c r="N473">
        <v>13685</v>
      </c>
    </row>
    <row r="474" spans="1:14" x14ac:dyDescent="0.3">
      <c r="A474" t="s">
        <v>692</v>
      </c>
      <c r="B474" t="s">
        <v>71</v>
      </c>
      <c r="C474">
        <v>22</v>
      </c>
      <c r="D474">
        <v>92.8</v>
      </c>
      <c r="G474">
        <v>93.3</v>
      </c>
      <c r="H474">
        <v>87.5</v>
      </c>
      <c r="I474">
        <v>85.8</v>
      </c>
      <c r="J474">
        <v>83.1</v>
      </c>
      <c r="N474">
        <v>10547</v>
      </c>
    </row>
    <row r="475" spans="1:14" x14ac:dyDescent="0.3">
      <c r="A475" t="s">
        <v>244</v>
      </c>
      <c r="B475" t="s">
        <v>50</v>
      </c>
      <c r="C475">
        <v>54.2</v>
      </c>
      <c r="D475">
        <v>92.8</v>
      </c>
      <c r="G475">
        <v>94.4</v>
      </c>
      <c r="I475">
        <v>82.7</v>
      </c>
      <c r="N475">
        <v>6785</v>
      </c>
    </row>
    <row r="476" spans="1:14" x14ac:dyDescent="0.3">
      <c r="A476" t="s">
        <v>691</v>
      </c>
      <c r="B476" t="s">
        <v>93</v>
      </c>
      <c r="C476">
        <v>15.2</v>
      </c>
      <c r="D476">
        <v>92.7</v>
      </c>
      <c r="G476">
        <v>92.7</v>
      </c>
      <c r="H476">
        <v>88.1</v>
      </c>
      <c r="I476">
        <v>86.3</v>
      </c>
      <c r="N476">
        <v>8580</v>
      </c>
    </row>
    <row r="477" spans="1:14" x14ac:dyDescent="0.3">
      <c r="A477" t="s">
        <v>690</v>
      </c>
      <c r="B477" t="s">
        <v>58</v>
      </c>
      <c r="C477">
        <v>22.2</v>
      </c>
      <c r="D477">
        <v>92.7</v>
      </c>
      <c r="E477">
        <v>92.7</v>
      </c>
      <c r="H477">
        <v>86.5</v>
      </c>
      <c r="I477">
        <v>91</v>
      </c>
      <c r="J477">
        <v>80</v>
      </c>
      <c r="N477">
        <v>13804</v>
      </c>
    </row>
    <row r="478" spans="1:14" x14ac:dyDescent="0.3">
      <c r="A478" t="s">
        <v>235</v>
      </c>
      <c r="B478" t="s">
        <v>127</v>
      </c>
      <c r="C478">
        <v>130.19999999999999</v>
      </c>
      <c r="D478">
        <v>92.7</v>
      </c>
      <c r="G478">
        <v>92.4</v>
      </c>
      <c r="H478">
        <v>84.1</v>
      </c>
      <c r="I478">
        <v>84.3</v>
      </c>
      <c r="J478">
        <v>76.5</v>
      </c>
      <c r="N478">
        <v>3542</v>
      </c>
    </row>
    <row r="479" spans="1:14" x14ac:dyDescent="0.3">
      <c r="A479" t="s">
        <v>689</v>
      </c>
      <c r="B479" t="s">
        <v>98</v>
      </c>
      <c r="C479">
        <v>20.2</v>
      </c>
      <c r="D479">
        <v>92.7</v>
      </c>
      <c r="E479">
        <v>89.4</v>
      </c>
      <c r="H479">
        <v>86</v>
      </c>
      <c r="I479">
        <v>80.2</v>
      </c>
      <c r="N479">
        <v>13420</v>
      </c>
    </row>
    <row r="480" spans="1:14" x14ac:dyDescent="0.3">
      <c r="A480" t="s">
        <v>363</v>
      </c>
      <c r="B480" t="s">
        <v>143</v>
      </c>
      <c r="C480">
        <v>125.1</v>
      </c>
      <c r="D480">
        <v>92.7</v>
      </c>
      <c r="G480">
        <v>92.8</v>
      </c>
      <c r="H480">
        <v>87.7</v>
      </c>
      <c r="I480">
        <v>84.1</v>
      </c>
      <c r="N480">
        <v>13339</v>
      </c>
    </row>
    <row r="481" spans="1:14" x14ac:dyDescent="0.3">
      <c r="A481" t="s">
        <v>142</v>
      </c>
      <c r="B481" t="s">
        <v>143</v>
      </c>
      <c r="C481">
        <v>208.1</v>
      </c>
      <c r="D481">
        <v>92.7</v>
      </c>
      <c r="G481">
        <v>88.1</v>
      </c>
      <c r="H481">
        <v>86.3</v>
      </c>
      <c r="I481">
        <v>86.5</v>
      </c>
      <c r="J481">
        <v>80.8</v>
      </c>
      <c r="N481">
        <v>10021</v>
      </c>
    </row>
    <row r="482" spans="1:14" x14ac:dyDescent="0.3">
      <c r="A482" t="s">
        <v>318</v>
      </c>
      <c r="B482" t="s">
        <v>71</v>
      </c>
      <c r="C482">
        <v>59.2</v>
      </c>
      <c r="D482">
        <v>92.7</v>
      </c>
      <c r="G482">
        <v>93</v>
      </c>
      <c r="H482">
        <v>84</v>
      </c>
      <c r="I482">
        <v>83.7</v>
      </c>
      <c r="J482">
        <v>82.3</v>
      </c>
      <c r="N482">
        <v>4300</v>
      </c>
    </row>
    <row r="483" spans="1:14" x14ac:dyDescent="0.3">
      <c r="A483" t="s">
        <v>234</v>
      </c>
      <c r="B483" t="s">
        <v>98</v>
      </c>
      <c r="C483">
        <v>174.1</v>
      </c>
      <c r="D483">
        <v>92.7</v>
      </c>
      <c r="F483">
        <v>91.3</v>
      </c>
      <c r="G483">
        <v>92.3</v>
      </c>
      <c r="I483">
        <v>84.4</v>
      </c>
      <c r="J483">
        <v>81.8</v>
      </c>
      <c r="N483">
        <v>11486</v>
      </c>
    </row>
    <row r="484" spans="1:14" x14ac:dyDescent="0.3">
      <c r="A484" t="s">
        <v>688</v>
      </c>
      <c r="B484" t="s">
        <v>193</v>
      </c>
      <c r="C484">
        <v>6.2</v>
      </c>
      <c r="D484">
        <v>92.6</v>
      </c>
      <c r="H484">
        <v>87.7</v>
      </c>
      <c r="I484">
        <v>82</v>
      </c>
      <c r="N484">
        <v>19268</v>
      </c>
    </row>
    <row r="485" spans="1:14" x14ac:dyDescent="0.3">
      <c r="A485" t="s">
        <v>284</v>
      </c>
      <c r="B485" t="s">
        <v>98</v>
      </c>
      <c r="C485">
        <v>70.2</v>
      </c>
      <c r="D485">
        <v>92.6</v>
      </c>
      <c r="G485">
        <v>91.6</v>
      </c>
      <c r="H485">
        <v>86.1</v>
      </c>
      <c r="I485">
        <v>85.1</v>
      </c>
      <c r="J485">
        <v>81</v>
      </c>
      <c r="N485">
        <v>12022</v>
      </c>
    </row>
    <row r="486" spans="1:14" x14ac:dyDescent="0.3">
      <c r="A486" t="s">
        <v>687</v>
      </c>
      <c r="B486" t="s">
        <v>127</v>
      </c>
      <c r="C486">
        <v>22.1</v>
      </c>
      <c r="D486">
        <v>92.6</v>
      </c>
      <c r="G486">
        <v>91.7</v>
      </c>
      <c r="H486">
        <v>86.8</v>
      </c>
      <c r="I486">
        <v>83.8</v>
      </c>
      <c r="J486">
        <v>79.2</v>
      </c>
      <c r="N486">
        <v>17466</v>
      </c>
    </row>
    <row r="487" spans="1:14" x14ac:dyDescent="0.3">
      <c r="A487" t="s">
        <v>85</v>
      </c>
      <c r="B487" t="s">
        <v>56</v>
      </c>
      <c r="C487">
        <v>57.2</v>
      </c>
      <c r="D487">
        <v>92.6</v>
      </c>
      <c r="H487">
        <v>85.9</v>
      </c>
      <c r="J487">
        <v>83.8</v>
      </c>
      <c r="N487">
        <v>15594</v>
      </c>
    </row>
    <row r="488" spans="1:14" x14ac:dyDescent="0.3">
      <c r="A488" t="s">
        <v>686</v>
      </c>
      <c r="B488" t="s">
        <v>93</v>
      </c>
      <c r="C488">
        <v>46.2</v>
      </c>
      <c r="D488">
        <v>92.6</v>
      </c>
      <c r="E488">
        <v>89.3</v>
      </c>
      <c r="G488">
        <v>91.5</v>
      </c>
      <c r="H488">
        <v>86</v>
      </c>
      <c r="I488">
        <v>83.7</v>
      </c>
      <c r="N488">
        <v>11449</v>
      </c>
    </row>
    <row r="489" spans="1:14" x14ac:dyDescent="0.3">
      <c r="A489" t="s">
        <v>685</v>
      </c>
      <c r="B489" t="s">
        <v>93</v>
      </c>
      <c r="C489">
        <v>0.1</v>
      </c>
      <c r="D489">
        <v>92.6</v>
      </c>
      <c r="H489">
        <v>87.7</v>
      </c>
      <c r="J489">
        <v>80.8</v>
      </c>
      <c r="N489">
        <v>16309</v>
      </c>
    </row>
    <row r="490" spans="1:14" x14ac:dyDescent="0.3">
      <c r="A490" t="s">
        <v>204</v>
      </c>
      <c r="B490" t="s">
        <v>32</v>
      </c>
      <c r="C490">
        <v>51</v>
      </c>
      <c r="D490">
        <v>92.6</v>
      </c>
      <c r="E490">
        <v>87.1</v>
      </c>
      <c r="G490">
        <v>92.4</v>
      </c>
      <c r="I490">
        <v>81.2</v>
      </c>
      <c r="N490">
        <v>9866</v>
      </c>
    </row>
    <row r="491" spans="1:14" x14ac:dyDescent="0.3">
      <c r="A491" t="s">
        <v>684</v>
      </c>
      <c r="B491" t="s">
        <v>62</v>
      </c>
      <c r="C491">
        <v>2.1</v>
      </c>
      <c r="D491">
        <v>92.6</v>
      </c>
      <c r="I491">
        <v>84.7</v>
      </c>
      <c r="N491">
        <v>16128</v>
      </c>
    </row>
    <row r="492" spans="1:14" x14ac:dyDescent="0.3">
      <c r="A492" t="s">
        <v>683</v>
      </c>
      <c r="B492" t="s">
        <v>143</v>
      </c>
      <c r="C492">
        <v>32.1</v>
      </c>
      <c r="D492">
        <v>92.6</v>
      </c>
      <c r="G492">
        <v>91.4</v>
      </c>
      <c r="H492">
        <v>80.7</v>
      </c>
      <c r="I492">
        <v>84</v>
      </c>
      <c r="N492">
        <v>17677</v>
      </c>
    </row>
    <row r="493" spans="1:14" x14ac:dyDescent="0.3">
      <c r="A493" t="s">
        <v>682</v>
      </c>
      <c r="B493" t="s">
        <v>98</v>
      </c>
      <c r="C493">
        <v>36.200000000000003</v>
      </c>
      <c r="D493">
        <v>92.6</v>
      </c>
      <c r="G493">
        <v>92.4</v>
      </c>
      <c r="H493">
        <v>84.4</v>
      </c>
      <c r="I493">
        <v>83.7</v>
      </c>
      <c r="J493">
        <v>78.7</v>
      </c>
      <c r="N493">
        <v>19546</v>
      </c>
    </row>
    <row r="494" spans="1:14" x14ac:dyDescent="0.3">
      <c r="A494" t="s">
        <v>681</v>
      </c>
      <c r="B494" t="s">
        <v>159</v>
      </c>
      <c r="C494">
        <v>29</v>
      </c>
      <c r="D494">
        <v>92.6</v>
      </c>
      <c r="H494">
        <v>86.3</v>
      </c>
      <c r="I494">
        <v>81.7</v>
      </c>
      <c r="N494">
        <v>13780</v>
      </c>
    </row>
    <row r="495" spans="1:14" x14ac:dyDescent="0.3">
      <c r="A495" t="s">
        <v>680</v>
      </c>
      <c r="B495" t="s">
        <v>46</v>
      </c>
      <c r="C495">
        <v>19</v>
      </c>
      <c r="D495">
        <v>92.6</v>
      </c>
      <c r="I495">
        <v>85</v>
      </c>
      <c r="N495">
        <v>16265</v>
      </c>
    </row>
    <row r="496" spans="1:14" x14ac:dyDescent="0.3">
      <c r="A496" t="s">
        <v>115</v>
      </c>
      <c r="B496" t="s">
        <v>26</v>
      </c>
      <c r="C496">
        <v>82</v>
      </c>
      <c r="D496">
        <v>92.6</v>
      </c>
      <c r="G496">
        <v>93.1</v>
      </c>
      <c r="H496">
        <v>87.7</v>
      </c>
      <c r="I496">
        <v>87.8</v>
      </c>
      <c r="J496">
        <v>81.599999999999994</v>
      </c>
      <c r="N496">
        <v>7274</v>
      </c>
    </row>
    <row r="497" spans="1:14" x14ac:dyDescent="0.3">
      <c r="A497" t="s">
        <v>338</v>
      </c>
      <c r="B497" t="s">
        <v>38</v>
      </c>
      <c r="C497">
        <v>56.1</v>
      </c>
      <c r="D497">
        <v>92.6</v>
      </c>
      <c r="F497">
        <v>86.2</v>
      </c>
      <c r="G497">
        <v>91.5</v>
      </c>
      <c r="I497">
        <v>83.3</v>
      </c>
      <c r="J497">
        <v>76.5</v>
      </c>
      <c r="L497">
        <v>70.900000000000006</v>
      </c>
      <c r="N497">
        <v>19341</v>
      </c>
    </row>
    <row r="498" spans="1:14" x14ac:dyDescent="0.3">
      <c r="A498" t="s">
        <v>393</v>
      </c>
      <c r="B498" t="s">
        <v>46</v>
      </c>
      <c r="C498">
        <v>89.1</v>
      </c>
      <c r="D498">
        <v>92.6</v>
      </c>
      <c r="H498">
        <v>85.1</v>
      </c>
      <c r="I498">
        <v>87.5</v>
      </c>
      <c r="J498">
        <v>77.8</v>
      </c>
      <c r="N498">
        <v>17969</v>
      </c>
    </row>
    <row r="499" spans="1:14" x14ac:dyDescent="0.3">
      <c r="A499" t="s">
        <v>679</v>
      </c>
      <c r="B499" t="s">
        <v>34</v>
      </c>
      <c r="C499">
        <v>22.1</v>
      </c>
      <c r="D499">
        <v>92.6</v>
      </c>
      <c r="E499">
        <v>90.6</v>
      </c>
      <c r="G499">
        <v>92.8</v>
      </c>
      <c r="H499">
        <v>87.6</v>
      </c>
      <c r="I499">
        <v>85.4</v>
      </c>
      <c r="N499">
        <v>18029</v>
      </c>
    </row>
    <row r="500" spans="1:14" x14ac:dyDescent="0.3">
      <c r="A500" t="s">
        <v>239</v>
      </c>
      <c r="B500" t="s">
        <v>36</v>
      </c>
      <c r="C500">
        <v>78</v>
      </c>
      <c r="D500">
        <v>92.6</v>
      </c>
      <c r="E500">
        <v>89.3</v>
      </c>
      <c r="G500">
        <v>90.4</v>
      </c>
      <c r="H500">
        <v>83.2</v>
      </c>
      <c r="I500">
        <v>85.8</v>
      </c>
      <c r="J500">
        <v>78.8</v>
      </c>
      <c r="N500">
        <v>18318</v>
      </c>
    </row>
    <row r="501" spans="1:14" x14ac:dyDescent="0.3">
      <c r="A501" t="s">
        <v>678</v>
      </c>
      <c r="B501" t="s">
        <v>40</v>
      </c>
      <c r="C501">
        <v>24.2</v>
      </c>
      <c r="D501">
        <v>92.5</v>
      </c>
      <c r="G501">
        <v>92.6</v>
      </c>
      <c r="I501">
        <v>81.400000000000006</v>
      </c>
      <c r="J501">
        <v>77.5</v>
      </c>
      <c r="N501">
        <v>15859</v>
      </c>
    </row>
    <row r="502" spans="1:14" x14ac:dyDescent="0.3">
      <c r="A502" t="s">
        <v>677</v>
      </c>
      <c r="B502" t="s">
        <v>143</v>
      </c>
      <c r="C502">
        <v>45.1</v>
      </c>
      <c r="D502">
        <v>92.5</v>
      </c>
      <c r="E502">
        <v>87.8</v>
      </c>
      <c r="H502">
        <v>81.7</v>
      </c>
      <c r="J502">
        <v>77.599999999999994</v>
      </c>
      <c r="N502">
        <v>18694</v>
      </c>
    </row>
    <row r="503" spans="1:14" x14ac:dyDescent="0.3">
      <c r="A503" t="s">
        <v>344</v>
      </c>
      <c r="B503" t="s">
        <v>48</v>
      </c>
      <c r="C503">
        <v>76</v>
      </c>
      <c r="D503">
        <v>92.5</v>
      </c>
      <c r="G503">
        <v>92.8</v>
      </c>
      <c r="H503">
        <v>85.2</v>
      </c>
      <c r="I503">
        <v>84.8</v>
      </c>
      <c r="J503">
        <v>77.5</v>
      </c>
      <c r="N503">
        <v>13761</v>
      </c>
    </row>
    <row r="504" spans="1:14" x14ac:dyDescent="0.3">
      <c r="A504" t="s">
        <v>676</v>
      </c>
      <c r="B504" t="s">
        <v>40</v>
      </c>
      <c r="C504">
        <v>41.1</v>
      </c>
      <c r="D504">
        <v>92.5</v>
      </c>
      <c r="E504">
        <v>84.9</v>
      </c>
      <c r="H504">
        <v>86.4</v>
      </c>
      <c r="I504">
        <v>81</v>
      </c>
      <c r="K504">
        <v>93</v>
      </c>
      <c r="N504">
        <v>16588</v>
      </c>
    </row>
    <row r="505" spans="1:14" x14ac:dyDescent="0.3">
      <c r="A505" t="s">
        <v>675</v>
      </c>
      <c r="B505" t="s">
        <v>159</v>
      </c>
      <c r="C505">
        <v>42.2</v>
      </c>
      <c r="D505">
        <v>92.5</v>
      </c>
      <c r="G505">
        <v>93.8</v>
      </c>
      <c r="H505">
        <v>88.7</v>
      </c>
      <c r="I505">
        <v>89.4</v>
      </c>
      <c r="N505">
        <v>15028</v>
      </c>
    </row>
    <row r="506" spans="1:14" x14ac:dyDescent="0.3">
      <c r="A506" t="s">
        <v>389</v>
      </c>
      <c r="B506" t="s">
        <v>43</v>
      </c>
      <c r="C506">
        <v>50.2</v>
      </c>
      <c r="D506">
        <v>92.5</v>
      </c>
      <c r="G506">
        <v>92</v>
      </c>
      <c r="H506">
        <v>83.3</v>
      </c>
      <c r="I506">
        <v>85.8</v>
      </c>
      <c r="J506">
        <v>79.3</v>
      </c>
      <c r="N506">
        <v>5365</v>
      </c>
    </row>
    <row r="507" spans="1:14" x14ac:dyDescent="0.3">
      <c r="A507" t="s">
        <v>674</v>
      </c>
      <c r="B507" t="s">
        <v>62</v>
      </c>
      <c r="C507">
        <v>1</v>
      </c>
      <c r="D507">
        <v>92.5</v>
      </c>
      <c r="H507">
        <v>82.8</v>
      </c>
      <c r="J507">
        <v>75</v>
      </c>
      <c r="N507">
        <v>14460</v>
      </c>
    </row>
    <row r="508" spans="1:14" x14ac:dyDescent="0.3">
      <c r="A508" t="s">
        <v>147</v>
      </c>
      <c r="B508" t="s">
        <v>48</v>
      </c>
      <c r="C508">
        <v>67.099999999999994</v>
      </c>
      <c r="D508">
        <v>92.5</v>
      </c>
      <c r="E508">
        <v>92.1</v>
      </c>
      <c r="F508">
        <v>83.7</v>
      </c>
      <c r="G508">
        <v>93</v>
      </c>
      <c r="J508">
        <v>82.3</v>
      </c>
      <c r="N508">
        <v>4264</v>
      </c>
    </row>
    <row r="509" spans="1:14" x14ac:dyDescent="0.3">
      <c r="A509" t="s">
        <v>673</v>
      </c>
      <c r="B509" t="s">
        <v>75</v>
      </c>
      <c r="C509">
        <v>9.1</v>
      </c>
      <c r="D509">
        <v>92.5</v>
      </c>
      <c r="G509">
        <v>92.3</v>
      </c>
      <c r="H509">
        <v>85.5</v>
      </c>
      <c r="J509">
        <v>81.5</v>
      </c>
      <c r="N509">
        <v>19981</v>
      </c>
    </row>
    <row r="510" spans="1:14" x14ac:dyDescent="0.3">
      <c r="A510" t="s">
        <v>232</v>
      </c>
      <c r="B510" t="s">
        <v>32</v>
      </c>
      <c r="C510">
        <v>104.1</v>
      </c>
      <c r="D510">
        <v>92.5</v>
      </c>
      <c r="E510">
        <v>86.4</v>
      </c>
      <c r="G510">
        <v>94</v>
      </c>
      <c r="H510">
        <v>87.6</v>
      </c>
      <c r="J510">
        <v>75.400000000000006</v>
      </c>
      <c r="N510">
        <v>17192</v>
      </c>
    </row>
    <row r="511" spans="1:14" x14ac:dyDescent="0.3">
      <c r="A511" t="s">
        <v>672</v>
      </c>
      <c r="B511" t="s">
        <v>30</v>
      </c>
      <c r="C511">
        <v>26.2</v>
      </c>
      <c r="D511">
        <v>92.5</v>
      </c>
      <c r="G511">
        <v>92.7</v>
      </c>
      <c r="H511">
        <v>86.4</v>
      </c>
      <c r="I511">
        <v>87.3</v>
      </c>
      <c r="J511">
        <v>80.099999999999994</v>
      </c>
      <c r="N511">
        <v>16317</v>
      </c>
    </row>
    <row r="512" spans="1:14" x14ac:dyDescent="0.3">
      <c r="A512" t="s">
        <v>671</v>
      </c>
      <c r="B512" t="s">
        <v>193</v>
      </c>
      <c r="C512">
        <v>17.100000000000001</v>
      </c>
      <c r="D512">
        <v>92.5</v>
      </c>
      <c r="E512">
        <v>88</v>
      </c>
      <c r="G512">
        <v>91.1</v>
      </c>
      <c r="H512">
        <v>82.5</v>
      </c>
      <c r="I512">
        <v>81.599999999999994</v>
      </c>
      <c r="N512">
        <v>18256</v>
      </c>
    </row>
    <row r="513" spans="1:14" x14ac:dyDescent="0.3">
      <c r="A513" t="s">
        <v>670</v>
      </c>
      <c r="B513" t="s">
        <v>75</v>
      </c>
      <c r="C513">
        <v>21.2</v>
      </c>
      <c r="D513">
        <v>92.5</v>
      </c>
      <c r="E513">
        <v>90.4</v>
      </c>
      <c r="G513">
        <v>90.1</v>
      </c>
      <c r="H513">
        <v>90</v>
      </c>
      <c r="I513">
        <v>83.5</v>
      </c>
      <c r="N513">
        <v>12237</v>
      </c>
    </row>
    <row r="514" spans="1:14" x14ac:dyDescent="0.3">
      <c r="A514" t="s">
        <v>669</v>
      </c>
      <c r="B514" t="s">
        <v>98</v>
      </c>
      <c r="C514">
        <v>18.100000000000001</v>
      </c>
      <c r="D514">
        <v>92.5</v>
      </c>
      <c r="H514">
        <v>85.9</v>
      </c>
      <c r="I514">
        <v>78.7</v>
      </c>
      <c r="J514">
        <v>75.599999999999994</v>
      </c>
      <c r="N514">
        <v>15118</v>
      </c>
    </row>
    <row r="515" spans="1:14" x14ac:dyDescent="0.3">
      <c r="A515" t="s">
        <v>668</v>
      </c>
      <c r="B515" t="s">
        <v>28</v>
      </c>
      <c r="C515">
        <v>21.1</v>
      </c>
      <c r="D515">
        <v>92.5</v>
      </c>
      <c r="E515">
        <v>90.3</v>
      </c>
      <c r="F515">
        <v>79.599999999999994</v>
      </c>
      <c r="I515">
        <v>81.7</v>
      </c>
      <c r="J515">
        <v>79.2</v>
      </c>
      <c r="N515">
        <v>16106</v>
      </c>
    </row>
    <row r="516" spans="1:14" x14ac:dyDescent="0.3">
      <c r="A516" t="s">
        <v>263</v>
      </c>
      <c r="B516" t="s">
        <v>159</v>
      </c>
      <c r="C516">
        <v>185.1</v>
      </c>
      <c r="D516">
        <v>92.4</v>
      </c>
      <c r="G516">
        <v>90</v>
      </c>
      <c r="H516">
        <v>79.5</v>
      </c>
      <c r="I516">
        <v>80</v>
      </c>
      <c r="J516">
        <v>74.2</v>
      </c>
      <c r="N516">
        <v>15440</v>
      </c>
    </row>
    <row r="517" spans="1:14" x14ac:dyDescent="0.3">
      <c r="A517" t="s">
        <v>321</v>
      </c>
      <c r="B517" t="s">
        <v>30</v>
      </c>
      <c r="C517">
        <v>113.1</v>
      </c>
      <c r="D517">
        <v>92.4</v>
      </c>
      <c r="G517">
        <v>91.6</v>
      </c>
      <c r="H517">
        <v>84.6</v>
      </c>
      <c r="I517">
        <v>83.1</v>
      </c>
      <c r="J517">
        <v>71.599999999999994</v>
      </c>
      <c r="N517">
        <v>15291</v>
      </c>
    </row>
    <row r="518" spans="1:14" x14ac:dyDescent="0.3">
      <c r="A518" t="s">
        <v>667</v>
      </c>
      <c r="B518" t="s">
        <v>58</v>
      </c>
      <c r="C518">
        <v>23.2</v>
      </c>
      <c r="D518">
        <v>92.4</v>
      </c>
      <c r="H518">
        <v>82.4</v>
      </c>
      <c r="I518">
        <v>84.9</v>
      </c>
      <c r="J518">
        <v>79.7</v>
      </c>
      <c r="N518">
        <v>12545</v>
      </c>
    </row>
    <row r="519" spans="1:14" x14ac:dyDescent="0.3">
      <c r="A519" t="s">
        <v>666</v>
      </c>
      <c r="B519" t="s">
        <v>32</v>
      </c>
      <c r="C519">
        <v>4</v>
      </c>
      <c r="D519">
        <v>92.4</v>
      </c>
      <c r="H519">
        <v>81.8</v>
      </c>
      <c r="I519">
        <v>81.2</v>
      </c>
      <c r="N519">
        <v>15463</v>
      </c>
    </row>
    <row r="520" spans="1:14" x14ac:dyDescent="0.3">
      <c r="A520" t="s">
        <v>368</v>
      </c>
      <c r="B520" t="s">
        <v>62</v>
      </c>
      <c r="C520">
        <v>102.1</v>
      </c>
      <c r="D520">
        <v>92.4</v>
      </c>
      <c r="E520">
        <v>89.5</v>
      </c>
      <c r="G520">
        <v>92</v>
      </c>
      <c r="H520">
        <v>83.8</v>
      </c>
      <c r="I520">
        <v>86.1</v>
      </c>
      <c r="J520">
        <v>79.8</v>
      </c>
      <c r="N520">
        <v>6249</v>
      </c>
    </row>
    <row r="521" spans="1:14" x14ac:dyDescent="0.3">
      <c r="A521" t="s">
        <v>665</v>
      </c>
      <c r="B521" t="s">
        <v>159</v>
      </c>
      <c r="C521">
        <v>1</v>
      </c>
      <c r="D521">
        <v>92.4</v>
      </c>
      <c r="F521">
        <v>84.3</v>
      </c>
      <c r="I521">
        <v>84.7</v>
      </c>
      <c r="N521">
        <v>17754</v>
      </c>
    </row>
    <row r="522" spans="1:14" x14ac:dyDescent="0.3">
      <c r="A522" t="s">
        <v>350</v>
      </c>
      <c r="B522" t="s">
        <v>48</v>
      </c>
      <c r="C522">
        <v>110</v>
      </c>
      <c r="D522">
        <v>92.4</v>
      </c>
      <c r="G522">
        <v>92.1</v>
      </c>
      <c r="H522">
        <v>85</v>
      </c>
      <c r="I522">
        <v>85.9</v>
      </c>
      <c r="J522">
        <v>79.099999999999994</v>
      </c>
      <c r="N522">
        <v>12272</v>
      </c>
    </row>
    <row r="523" spans="1:14" x14ac:dyDescent="0.3">
      <c r="A523" t="s">
        <v>226</v>
      </c>
      <c r="B523" t="s">
        <v>38</v>
      </c>
      <c r="C523">
        <v>107.1</v>
      </c>
      <c r="D523">
        <v>92.4</v>
      </c>
      <c r="E523">
        <v>88.8</v>
      </c>
      <c r="G523">
        <v>92.1</v>
      </c>
      <c r="H523">
        <v>84.4</v>
      </c>
      <c r="J523">
        <v>80.7</v>
      </c>
      <c r="N523">
        <v>3184</v>
      </c>
    </row>
    <row r="524" spans="1:14" x14ac:dyDescent="0.3">
      <c r="A524" t="s">
        <v>664</v>
      </c>
      <c r="B524" t="s">
        <v>36</v>
      </c>
      <c r="C524">
        <v>6.2</v>
      </c>
      <c r="D524">
        <v>92.4</v>
      </c>
      <c r="H524">
        <v>83.1</v>
      </c>
      <c r="I524">
        <v>84.2</v>
      </c>
      <c r="N524">
        <v>16350</v>
      </c>
    </row>
    <row r="525" spans="1:14" x14ac:dyDescent="0.3">
      <c r="A525" t="s">
        <v>663</v>
      </c>
      <c r="B525" t="s">
        <v>56</v>
      </c>
      <c r="C525">
        <v>35.200000000000003</v>
      </c>
      <c r="D525">
        <v>92.3</v>
      </c>
      <c r="E525">
        <v>88.5</v>
      </c>
      <c r="G525">
        <v>91.9</v>
      </c>
      <c r="H525">
        <v>85.3</v>
      </c>
      <c r="I525">
        <v>83.3</v>
      </c>
      <c r="N525">
        <v>2429</v>
      </c>
    </row>
    <row r="526" spans="1:14" x14ac:dyDescent="0.3">
      <c r="A526" t="s">
        <v>662</v>
      </c>
      <c r="B526" t="s">
        <v>95</v>
      </c>
      <c r="C526">
        <v>6</v>
      </c>
      <c r="D526">
        <v>92.3</v>
      </c>
      <c r="E526">
        <v>88.5</v>
      </c>
      <c r="G526">
        <v>91.3</v>
      </c>
      <c r="H526">
        <v>85.4</v>
      </c>
      <c r="J526">
        <v>75.7</v>
      </c>
      <c r="N526">
        <v>15130</v>
      </c>
    </row>
    <row r="527" spans="1:14" x14ac:dyDescent="0.3">
      <c r="A527" t="s">
        <v>661</v>
      </c>
      <c r="B527" t="s">
        <v>77</v>
      </c>
      <c r="C527">
        <v>8.1999999999999993</v>
      </c>
      <c r="D527">
        <v>92.3</v>
      </c>
      <c r="E527">
        <v>88.9</v>
      </c>
      <c r="J527">
        <v>75.2</v>
      </c>
      <c r="N527">
        <v>3164</v>
      </c>
    </row>
    <row r="528" spans="1:14" x14ac:dyDescent="0.3">
      <c r="A528" t="s">
        <v>660</v>
      </c>
      <c r="B528" t="s">
        <v>146</v>
      </c>
      <c r="C528">
        <v>19</v>
      </c>
      <c r="D528">
        <v>92.3</v>
      </c>
      <c r="H528">
        <v>86.1</v>
      </c>
      <c r="I528">
        <v>86.2</v>
      </c>
      <c r="J528">
        <v>81.8</v>
      </c>
      <c r="N528">
        <v>16166</v>
      </c>
    </row>
    <row r="529" spans="1:14" x14ac:dyDescent="0.3">
      <c r="A529" t="s">
        <v>326</v>
      </c>
      <c r="B529" t="s">
        <v>46</v>
      </c>
      <c r="C529">
        <v>63</v>
      </c>
      <c r="D529">
        <v>92.3</v>
      </c>
      <c r="G529">
        <v>91.4</v>
      </c>
      <c r="H529">
        <v>86.4</v>
      </c>
      <c r="I529">
        <v>87</v>
      </c>
      <c r="J529">
        <v>82.5</v>
      </c>
      <c r="N529">
        <v>14663</v>
      </c>
    </row>
    <row r="530" spans="1:14" x14ac:dyDescent="0.3">
      <c r="A530" t="s">
        <v>236</v>
      </c>
      <c r="B530" t="s">
        <v>48</v>
      </c>
      <c r="C530">
        <v>165.1</v>
      </c>
      <c r="D530">
        <v>92.3</v>
      </c>
      <c r="E530">
        <v>88.1</v>
      </c>
      <c r="G530">
        <v>92.1</v>
      </c>
      <c r="H530">
        <v>84.3</v>
      </c>
      <c r="I530">
        <v>86.1</v>
      </c>
      <c r="J530">
        <v>75.900000000000006</v>
      </c>
      <c r="N530">
        <v>8753</v>
      </c>
    </row>
    <row r="531" spans="1:14" x14ac:dyDescent="0.3">
      <c r="A531" t="s">
        <v>373</v>
      </c>
      <c r="B531" t="s">
        <v>48</v>
      </c>
      <c r="C531">
        <v>84.1</v>
      </c>
      <c r="D531">
        <v>92.3</v>
      </c>
      <c r="G531">
        <v>93.1</v>
      </c>
      <c r="H531">
        <v>84.3</v>
      </c>
      <c r="I531">
        <v>81</v>
      </c>
      <c r="J531">
        <v>78.099999999999994</v>
      </c>
      <c r="N531">
        <v>4141</v>
      </c>
    </row>
    <row r="532" spans="1:14" x14ac:dyDescent="0.3">
      <c r="A532" t="s">
        <v>241</v>
      </c>
      <c r="B532" t="s">
        <v>98</v>
      </c>
      <c r="C532">
        <v>183.1</v>
      </c>
      <c r="D532">
        <v>92.3</v>
      </c>
      <c r="E532">
        <v>90.2</v>
      </c>
      <c r="G532">
        <v>91.7</v>
      </c>
      <c r="H532">
        <v>86.2</v>
      </c>
      <c r="I532">
        <v>90.3</v>
      </c>
      <c r="J532">
        <v>80.8</v>
      </c>
      <c r="N532">
        <v>11156</v>
      </c>
    </row>
    <row r="533" spans="1:14" x14ac:dyDescent="0.3">
      <c r="A533" t="s">
        <v>659</v>
      </c>
      <c r="B533" t="s">
        <v>143</v>
      </c>
      <c r="C533">
        <v>26.2</v>
      </c>
      <c r="D533">
        <v>92.3</v>
      </c>
      <c r="G533">
        <v>91.1</v>
      </c>
      <c r="H533">
        <v>85.6</v>
      </c>
      <c r="I533">
        <v>80.599999999999994</v>
      </c>
      <c r="N533">
        <v>17968</v>
      </c>
    </row>
    <row r="534" spans="1:14" x14ac:dyDescent="0.3">
      <c r="A534" t="s">
        <v>658</v>
      </c>
      <c r="B534" t="s">
        <v>30</v>
      </c>
      <c r="C534">
        <v>17.100000000000001</v>
      </c>
      <c r="D534">
        <v>92.2</v>
      </c>
      <c r="H534">
        <v>85.4</v>
      </c>
      <c r="I534">
        <v>86.4</v>
      </c>
      <c r="J534">
        <v>81.2</v>
      </c>
      <c r="N534">
        <v>16768</v>
      </c>
    </row>
    <row r="535" spans="1:14" x14ac:dyDescent="0.3">
      <c r="A535" t="s">
        <v>657</v>
      </c>
      <c r="B535" t="s">
        <v>143</v>
      </c>
      <c r="C535">
        <v>0.1</v>
      </c>
      <c r="D535">
        <v>92.2</v>
      </c>
      <c r="H535">
        <v>82.5</v>
      </c>
      <c r="I535">
        <v>80.5</v>
      </c>
      <c r="N535">
        <v>18325</v>
      </c>
    </row>
    <row r="536" spans="1:14" x14ac:dyDescent="0.3">
      <c r="A536" t="s">
        <v>201</v>
      </c>
      <c r="B536" t="s">
        <v>53</v>
      </c>
      <c r="C536">
        <v>153.19999999999999</v>
      </c>
      <c r="D536">
        <v>92.2</v>
      </c>
      <c r="G536">
        <v>91.8</v>
      </c>
      <c r="H536">
        <v>85</v>
      </c>
      <c r="I536">
        <v>83.6</v>
      </c>
      <c r="J536">
        <v>77.3</v>
      </c>
      <c r="N536">
        <v>18498</v>
      </c>
    </row>
    <row r="537" spans="1:14" x14ac:dyDescent="0.3">
      <c r="A537" t="s">
        <v>111</v>
      </c>
      <c r="B537" t="s">
        <v>93</v>
      </c>
      <c r="C537">
        <v>202</v>
      </c>
      <c r="D537">
        <v>92.2</v>
      </c>
      <c r="G537">
        <v>92.1</v>
      </c>
      <c r="H537">
        <v>82.1</v>
      </c>
      <c r="I537">
        <v>82</v>
      </c>
      <c r="J537">
        <v>68.2</v>
      </c>
      <c r="N537">
        <v>9323</v>
      </c>
    </row>
    <row r="538" spans="1:14" x14ac:dyDescent="0.3">
      <c r="A538" t="s">
        <v>656</v>
      </c>
      <c r="B538" t="s">
        <v>71</v>
      </c>
      <c r="C538">
        <v>11.1</v>
      </c>
      <c r="D538">
        <v>92.2</v>
      </c>
      <c r="E538">
        <v>86.1</v>
      </c>
      <c r="G538">
        <v>92</v>
      </c>
      <c r="H538">
        <v>89.1</v>
      </c>
      <c r="I538">
        <v>86.4</v>
      </c>
      <c r="N538">
        <v>9239</v>
      </c>
    </row>
    <row r="539" spans="1:14" x14ac:dyDescent="0.3">
      <c r="A539" t="s">
        <v>394</v>
      </c>
      <c r="B539" t="s">
        <v>48</v>
      </c>
      <c r="C539">
        <v>55.2</v>
      </c>
      <c r="D539">
        <v>92.2</v>
      </c>
      <c r="E539">
        <v>90.7</v>
      </c>
      <c r="G539">
        <v>90.5</v>
      </c>
      <c r="H539">
        <v>85.6</v>
      </c>
      <c r="I539">
        <v>81.900000000000006</v>
      </c>
      <c r="J539">
        <v>80.400000000000006</v>
      </c>
      <c r="N539">
        <v>11694</v>
      </c>
    </row>
    <row r="540" spans="1:14" x14ac:dyDescent="0.3">
      <c r="A540" t="s">
        <v>55</v>
      </c>
      <c r="B540" t="s">
        <v>56</v>
      </c>
      <c r="C540">
        <v>57.2</v>
      </c>
      <c r="D540">
        <v>92.2</v>
      </c>
      <c r="E540">
        <v>87.9</v>
      </c>
      <c r="G540">
        <v>92.6</v>
      </c>
      <c r="H540">
        <v>84.2</v>
      </c>
      <c r="I540">
        <v>83.6</v>
      </c>
      <c r="J540">
        <v>75.400000000000006</v>
      </c>
      <c r="N540">
        <v>19479</v>
      </c>
    </row>
    <row r="541" spans="1:14" x14ac:dyDescent="0.3">
      <c r="A541" t="s">
        <v>655</v>
      </c>
      <c r="B541" t="s">
        <v>143</v>
      </c>
      <c r="C541">
        <v>47.1</v>
      </c>
      <c r="D541">
        <v>92.2</v>
      </c>
      <c r="I541">
        <v>82.6</v>
      </c>
      <c r="N541">
        <v>7773</v>
      </c>
    </row>
    <row r="542" spans="1:14" x14ac:dyDescent="0.3">
      <c r="A542" t="s">
        <v>386</v>
      </c>
      <c r="B542" t="s">
        <v>46</v>
      </c>
      <c r="C542">
        <v>104.1</v>
      </c>
      <c r="D542">
        <v>92.2</v>
      </c>
      <c r="E542">
        <v>86.9</v>
      </c>
      <c r="G542">
        <v>91.4</v>
      </c>
      <c r="H542">
        <v>86.7</v>
      </c>
      <c r="I542">
        <v>81.2</v>
      </c>
      <c r="J542">
        <v>91.5</v>
      </c>
      <c r="N542">
        <v>16256</v>
      </c>
    </row>
    <row r="543" spans="1:14" x14ac:dyDescent="0.3">
      <c r="A543" t="s">
        <v>654</v>
      </c>
      <c r="B543" t="s">
        <v>71</v>
      </c>
      <c r="C543">
        <v>0.2</v>
      </c>
      <c r="D543">
        <v>92.2</v>
      </c>
      <c r="H543">
        <v>84.1</v>
      </c>
      <c r="I543">
        <v>87</v>
      </c>
      <c r="N543">
        <v>8410</v>
      </c>
    </row>
    <row r="544" spans="1:14" x14ac:dyDescent="0.3">
      <c r="A544" t="s">
        <v>653</v>
      </c>
      <c r="B544" t="s">
        <v>93</v>
      </c>
      <c r="C544">
        <v>4.2</v>
      </c>
      <c r="D544">
        <v>92.1</v>
      </c>
      <c r="G544">
        <v>91.7</v>
      </c>
      <c r="I544">
        <v>83.2</v>
      </c>
      <c r="N544">
        <v>8073</v>
      </c>
    </row>
    <row r="545" spans="1:14" x14ac:dyDescent="0.3">
      <c r="A545" t="s">
        <v>652</v>
      </c>
      <c r="B545" t="s">
        <v>32</v>
      </c>
      <c r="C545">
        <v>47</v>
      </c>
      <c r="D545">
        <v>92.1</v>
      </c>
      <c r="G545">
        <v>91.3</v>
      </c>
      <c r="H545">
        <v>86.4</v>
      </c>
      <c r="I545">
        <v>87.5</v>
      </c>
      <c r="J545">
        <v>81.7</v>
      </c>
      <c r="N545">
        <v>15290</v>
      </c>
    </row>
    <row r="546" spans="1:14" x14ac:dyDescent="0.3">
      <c r="A546" t="s">
        <v>651</v>
      </c>
      <c r="B546" t="s">
        <v>48</v>
      </c>
      <c r="C546">
        <v>11.1</v>
      </c>
      <c r="D546">
        <v>92.1</v>
      </c>
      <c r="H546">
        <v>83.1</v>
      </c>
      <c r="I546">
        <v>83.9</v>
      </c>
      <c r="J546">
        <v>75.8</v>
      </c>
      <c r="N546">
        <v>14808</v>
      </c>
    </row>
    <row r="547" spans="1:14" x14ac:dyDescent="0.3">
      <c r="A547" t="s">
        <v>304</v>
      </c>
      <c r="B547" t="s">
        <v>40</v>
      </c>
      <c r="C547">
        <v>161.1</v>
      </c>
      <c r="D547">
        <v>92.1</v>
      </c>
      <c r="G547">
        <v>89.5</v>
      </c>
      <c r="H547">
        <v>85.9</v>
      </c>
      <c r="I547">
        <v>84.8</v>
      </c>
      <c r="J547">
        <v>81.2</v>
      </c>
      <c r="N547">
        <v>7410</v>
      </c>
    </row>
    <row r="548" spans="1:14" x14ac:dyDescent="0.3">
      <c r="A548" t="s">
        <v>145</v>
      </c>
      <c r="B548" t="s">
        <v>146</v>
      </c>
      <c r="C548">
        <v>155</v>
      </c>
      <c r="D548">
        <v>92.1</v>
      </c>
      <c r="G548">
        <v>91.8</v>
      </c>
      <c r="H548">
        <v>81.2</v>
      </c>
      <c r="I548">
        <v>83.9</v>
      </c>
      <c r="J548">
        <v>77</v>
      </c>
      <c r="L548">
        <v>84.6</v>
      </c>
      <c r="N548">
        <v>16269</v>
      </c>
    </row>
    <row r="549" spans="1:14" x14ac:dyDescent="0.3">
      <c r="A549" t="s">
        <v>246</v>
      </c>
      <c r="B549" t="s">
        <v>26</v>
      </c>
      <c r="C549">
        <v>149.19999999999999</v>
      </c>
      <c r="D549">
        <v>92.1</v>
      </c>
      <c r="E549">
        <v>88.2</v>
      </c>
      <c r="H549">
        <v>86.2</v>
      </c>
      <c r="I549">
        <v>82.8</v>
      </c>
      <c r="J549">
        <v>77.900000000000006</v>
      </c>
      <c r="N549">
        <v>19316</v>
      </c>
    </row>
    <row r="550" spans="1:14" x14ac:dyDescent="0.3">
      <c r="A550" t="s">
        <v>335</v>
      </c>
      <c r="B550" t="s">
        <v>30</v>
      </c>
      <c r="C550">
        <v>145.19999999999999</v>
      </c>
      <c r="D550">
        <v>92.1</v>
      </c>
      <c r="G550">
        <v>90</v>
      </c>
      <c r="H550">
        <v>84</v>
      </c>
      <c r="I550">
        <v>83.2</v>
      </c>
      <c r="J550">
        <v>77.2</v>
      </c>
      <c r="N550">
        <v>16977</v>
      </c>
    </row>
    <row r="551" spans="1:14" x14ac:dyDescent="0.3">
      <c r="A551" t="s">
        <v>650</v>
      </c>
      <c r="B551" t="s">
        <v>43</v>
      </c>
      <c r="C551">
        <v>34.200000000000003</v>
      </c>
      <c r="D551">
        <v>92.1</v>
      </c>
      <c r="G551">
        <v>91.5</v>
      </c>
      <c r="H551">
        <v>84.8</v>
      </c>
      <c r="I551">
        <v>84.4</v>
      </c>
      <c r="N551">
        <v>16137</v>
      </c>
    </row>
    <row r="552" spans="1:14" x14ac:dyDescent="0.3">
      <c r="A552" t="s">
        <v>649</v>
      </c>
      <c r="B552" t="s">
        <v>38</v>
      </c>
      <c r="C552">
        <v>3</v>
      </c>
      <c r="D552">
        <v>92</v>
      </c>
      <c r="E552">
        <v>86.7</v>
      </c>
      <c r="G552">
        <v>90.8</v>
      </c>
      <c r="H552">
        <v>83.5</v>
      </c>
      <c r="J552">
        <v>78.5</v>
      </c>
      <c r="N552">
        <v>10314</v>
      </c>
    </row>
    <row r="553" spans="1:14" x14ac:dyDescent="0.3">
      <c r="A553" t="s">
        <v>648</v>
      </c>
      <c r="B553" t="s">
        <v>40</v>
      </c>
      <c r="C553">
        <v>4</v>
      </c>
      <c r="D553">
        <v>92</v>
      </c>
      <c r="G553">
        <v>91.8</v>
      </c>
      <c r="H553">
        <v>82.7</v>
      </c>
      <c r="J553">
        <v>81.7</v>
      </c>
      <c r="N553">
        <v>16511</v>
      </c>
    </row>
    <row r="554" spans="1:14" x14ac:dyDescent="0.3">
      <c r="A554" t="s">
        <v>324</v>
      </c>
      <c r="B554" t="s">
        <v>127</v>
      </c>
      <c r="C554">
        <v>175.1</v>
      </c>
      <c r="D554">
        <v>92</v>
      </c>
      <c r="G554">
        <v>91.4</v>
      </c>
      <c r="H554">
        <v>85</v>
      </c>
      <c r="I554">
        <v>81.7</v>
      </c>
      <c r="N554">
        <v>13619</v>
      </c>
    </row>
    <row r="555" spans="1:14" x14ac:dyDescent="0.3">
      <c r="A555" t="s">
        <v>647</v>
      </c>
      <c r="B555" t="s">
        <v>38</v>
      </c>
      <c r="C555">
        <v>20.100000000000001</v>
      </c>
      <c r="D555">
        <v>92</v>
      </c>
      <c r="H555">
        <v>85.1</v>
      </c>
      <c r="I555">
        <v>85</v>
      </c>
      <c r="J555">
        <v>81.3</v>
      </c>
      <c r="N555">
        <v>19495</v>
      </c>
    </row>
    <row r="556" spans="1:14" x14ac:dyDescent="0.3">
      <c r="A556" t="s">
        <v>646</v>
      </c>
      <c r="B556" t="s">
        <v>95</v>
      </c>
      <c r="C556">
        <v>15</v>
      </c>
      <c r="D556">
        <v>92</v>
      </c>
      <c r="G556">
        <v>90</v>
      </c>
      <c r="H556">
        <v>88</v>
      </c>
      <c r="I556">
        <v>81.2</v>
      </c>
      <c r="N556">
        <v>16086</v>
      </c>
    </row>
    <row r="557" spans="1:14" x14ac:dyDescent="0.3">
      <c r="A557" t="s">
        <v>250</v>
      </c>
      <c r="B557" t="s">
        <v>127</v>
      </c>
      <c r="C557">
        <v>60.1</v>
      </c>
      <c r="D557">
        <v>91.9</v>
      </c>
      <c r="G557">
        <v>91.5</v>
      </c>
      <c r="H557">
        <v>84.3</v>
      </c>
      <c r="I557">
        <v>86.7</v>
      </c>
      <c r="J557">
        <v>83.2</v>
      </c>
      <c r="N557">
        <v>15240</v>
      </c>
    </row>
    <row r="558" spans="1:14" x14ac:dyDescent="0.3">
      <c r="A558" t="s">
        <v>645</v>
      </c>
      <c r="B558" t="s">
        <v>56</v>
      </c>
      <c r="C558">
        <v>40.200000000000003</v>
      </c>
      <c r="D558">
        <v>91.9</v>
      </c>
      <c r="G558">
        <v>91.5</v>
      </c>
      <c r="I558">
        <v>78.400000000000006</v>
      </c>
      <c r="J558">
        <v>77.400000000000006</v>
      </c>
      <c r="N558">
        <v>1514</v>
      </c>
    </row>
    <row r="559" spans="1:14" x14ac:dyDescent="0.3">
      <c r="A559" t="s">
        <v>644</v>
      </c>
      <c r="B559" t="s">
        <v>58</v>
      </c>
      <c r="C559">
        <v>6.2</v>
      </c>
      <c r="D559">
        <v>91.9</v>
      </c>
      <c r="E559">
        <v>87.5</v>
      </c>
      <c r="G559">
        <v>91.8</v>
      </c>
      <c r="H559">
        <v>85.3</v>
      </c>
      <c r="I559">
        <v>85.4</v>
      </c>
      <c r="J559">
        <v>80.3</v>
      </c>
      <c r="N559">
        <v>13677</v>
      </c>
    </row>
    <row r="560" spans="1:14" x14ac:dyDescent="0.3">
      <c r="A560" t="s">
        <v>113</v>
      </c>
      <c r="B560" t="s">
        <v>48</v>
      </c>
      <c r="C560">
        <v>55</v>
      </c>
      <c r="D560">
        <v>91.9</v>
      </c>
      <c r="G560">
        <v>89.2</v>
      </c>
      <c r="H560">
        <v>82.2</v>
      </c>
      <c r="I560">
        <v>76.7</v>
      </c>
      <c r="N560">
        <v>10843</v>
      </c>
    </row>
    <row r="561" spans="1:14" x14ac:dyDescent="0.3">
      <c r="A561" t="s">
        <v>271</v>
      </c>
      <c r="B561" t="s">
        <v>48</v>
      </c>
      <c r="C561">
        <v>50.2</v>
      </c>
      <c r="D561">
        <v>91.9</v>
      </c>
      <c r="E561">
        <v>85</v>
      </c>
      <c r="G561">
        <v>91.4</v>
      </c>
      <c r="H561">
        <v>72.900000000000006</v>
      </c>
      <c r="I561">
        <v>81.3</v>
      </c>
      <c r="N561">
        <v>13442</v>
      </c>
    </row>
    <row r="562" spans="1:14" x14ac:dyDescent="0.3">
      <c r="A562" t="s">
        <v>137</v>
      </c>
      <c r="B562" t="s">
        <v>83</v>
      </c>
      <c r="C562">
        <v>181.1</v>
      </c>
      <c r="D562">
        <v>91.9</v>
      </c>
      <c r="E562">
        <v>89.3</v>
      </c>
      <c r="F562">
        <v>82.6</v>
      </c>
      <c r="G562">
        <v>92.4</v>
      </c>
      <c r="I562">
        <v>85.4</v>
      </c>
      <c r="J562">
        <v>76.7</v>
      </c>
      <c r="N562">
        <v>3254</v>
      </c>
    </row>
    <row r="563" spans="1:14" x14ac:dyDescent="0.3">
      <c r="A563" t="s">
        <v>643</v>
      </c>
      <c r="B563" t="s">
        <v>193</v>
      </c>
      <c r="C563">
        <v>3</v>
      </c>
      <c r="D563">
        <v>91.9</v>
      </c>
      <c r="E563">
        <v>86.6</v>
      </c>
      <c r="J563">
        <v>79.900000000000006</v>
      </c>
      <c r="N563">
        <v>14016</v>
      </c>
    </row>
    <row r="564" spans="1:14" x14ac:dyDescent="0.3">
      <c r="A564" t="s">
        <v>122</v>
      </c>
      <c r="B564" t="s">
        <v>95</v>
      </c>
      <c r="C564">
        <v>59</v>
      </c>
      <c r="D564">
        <v>91.9</v>
      </c>
      <c r="E564">
        <v>86.3</v>
      </c>
      <c r="G564">
        <v>91.6</v>
      </c>
      <c r="H564">
        <v>82.3</v>
      </c>
      <c r="I564">
        <v>83.5</v>
      </c>
      <c r="J564">
        <v>82.8</v>
      </c>
      <c r="N564">
        <v>5358</v>
      </c>
    </row>
    <row r="565" spans="1:14" x14ac:dyDescent="0.3">
      <c r="A565" t="s">
        <v>642</v>
      </c>
      <c r="B565" t="s">
        <v>66</v>
      </c>
      <c r="C565">
        <v>25.1</v>
      </c>
      <c r="D565">
        <v>91.9</v>
      </c>
      <c r="G565">
        <v>91.9</v>
      </c>
      <c r="H565">
        <v>85.6</v>
      </c>
      <c r="I565">
        <v>85.7</v>
      </c>
      <c r="J565">
        <v>79.599999999999994</v>
      </c>
      <c r="N565">
        <v>15502</v>
      </c>
    </row>
    <row r="566" spans="1:14" x14ac:dyDescent="0.3">
      <c r="A566" t="s">
        <v>641</v>
      </c>
      <c r="B566" t="s">
        <v>58</v>
      </c>
      <c r="C566">
        <v>7.1</v>
      </c>
      <c r="D566">
        <v>91.9</v>
      </c>
      <c r="H566">
        <v>84.8</v>
      </c>
      <c r="I566">
        <v>86.3</v>
      </c>
      <c r="N566">
        <v>10387</v>
      </c>
    </row>
    <row r="567" spans="1:14" x14ac:dyDescent="0.3">
      <c r="A567" t="s">
        <v>640</v>
      </c>
      <c r="B567" t="s">
        <v>93</v>
      </c>
      <c r="C567">
        <v>16</v>
      </c>
      <c r="D567">
        <v>91.9</v>
      </c>
      <c r="E567">
        <v>86.1</v>
      </c>
      <c r="G567">
        <v>91.1</v>
      </c>
      <c r="H567">
        <v>84.2</v>
      </c>
      <c r="I567">
        <v>83.5</v>
      </c>
      <c r="N567">
        <v>15071</v>
      </c>
    </row>
    <row r="568" spans="1:14" x14ac:dyDescent="0.3">
      <c r="A568" t="s">
        <v>639</v>
      </c>
      <c r="B568" t="s">
        <v>159</v>
      </c>
      <c r="C568">
        <v>6</v>
      </c>
      <c r="D568">
        <v>91.9</v>
      </c>
      <c r="E568">
        <v>90.7</v>
      </c>
      <c r="G568">
        <v>90.9</v>
      </c>
      <c r="J568">
        <v>80</v>
      </c>
      <c r="N568">
        <v>7624</v>
      </c>
    </row>
    <row r="569" spans="1:14" x14ac:dyDescent="0.3">
      <c r="A569" t="s">
        <v>638</v>
      </c>
      <c r="B569" t="s">
        <v>159</v>
      </c>
      <c r="C569">
        <v>13</v>
      </c>
      <c r="D569">
        <v>91.9</v>
      </c>
      <c r="G569">
        <v>91.2</v>
      </c>
      <c r="H569">
        <v>86.4</v>
      </c>
      <c r="I569">
        <v>78.900000000000006</v>
      </c>
      <c r="N569">
        <v>20020</v>
      </c>
    </row>
    <row r="570" spans="1:14" x14ac:dyDescent="0.3">
      <c r="A570" t="s">
        <v>637</v>
      </c>
      <c r="B570" t="s">
        <v>48</v>
      </c>
      <c r="C570">
        <v>33.200000000000003</v>
      </c>
      <c r="D570">
        <v>91.9</v>
      </c>
      <c r="G570">
        <v>88.8</v>
      </c>
      <c r="H570">
        <v>83.9</v>
      </c>
      <c r="I570">
        <v>84.7</v>
      </c>
      <c r="J570">
        <v>74.2</v>
      </c>
      <c r="M570">
        <v>80.099999999999994</v>
      </c>
      <c r="N570">
        <v>4026</v>
      </c>
    </row>
    <row r="571" spans="1:14" x14ac:dyDescent="0.3">
      <c r="A571" t="s">
        <v>310</v>
      </c>
      <c r="B571" t="s">
        <v>146</v>
      </c>
      <c r="C571">
        <v>82.1</v>
      </c>
      <c r="D571">
        <v>91.9</v>
      </c>
      <c r="E571">
        <v>86</v>
      </c>
      <c r="H571">
        <v>85.8</v>
      </c>
      <c r="I571">
        <v>81</v>
      </c>
      <c r="N571">
        <v>10836</v>
      </c>
    </row>
    <row r="572" spans="1:14" x14ac:dyDescent="0.3">
      <c r="A572" t="s">
        <v>636</v>
      </c>
      <c r="B572" t="s">
        <v>48</v>
      </c>
      <c r="C572">
        <v>25.2</v>
      </c>
      <c r="D572">
        <v>91.8</v>
      </c>
      <c r="F572">
        <v>91.8</v>
      </c>
      <c r="H572">
        <v>83</v>
      </c>
      <c r="I572">
        <v>83.8</v>
      </c>
      <c r="N572">
        <v>16727</v>
      </c>
    </row>
    <row r="573" spans="1:14" x14ac:dyDescent="0.3">
      <c r="A573" t="s">
        <v>229</v>
      </c>
      <c r="B573" t="s">
        <v>62</v>
      </c>
      <c r="C573">
        <v>79.2</v>
      </c>
      <c r="D573">
        <v>91.8</v>
      </c>
      <c r="G573">
        <v>83.6</v>
      </c>
      <c r="H573">
        <v>84.3</v>
      </c>
      <c r="J573">
        <v>75.5</v>
      </c>
      <c r="N573">
        <v>10190</v>
      </c>
    </row>
    <row r="574" spans="1:14" x14ac:dyDescent="0.3">
      <c r="A574" t="s">
        <v>635</v>
      </c>
      <c r="B574" t="s">
        <v>58</v>
      </c>
      <c r="C574">
        <v>1.1000000000000001</v>
      </c>
      <c r="D574">
        <v>91.8</v>
      </c>
      <c r="G574">
        <v>92.2</v>
      </c>
      <c r="H574">
        <v>81</v>
      </c>
      <c r="I574">
        <v>81.400000000000006</v>
      </c>
      <c r="J574">
        <v>79.599999999999994</v>
      </c>
      <c r="N574">
        <v>10976</v>
      </c>
    </row>
    <row r="575" spans="1:14" x14ac:dyDescent="0.3">
      <c r="A575" t="s">
        <v>392</v>
      </c>
      <c r="B575" t="s">
        <v>62</v>
      </c>
      <c r="C575">
        <v>81</v>
      </c>
      <c r="D575">
        <v>91.8</v>
      </c>
      <c r="G575">
        <v>91.1</v>
      </c>
      <c r="H575">
        <v>81.900000000000006</v>
      </c>
      <c r="I575">
        <v>81</v>
      </c>
      <c r="J575">
        <v>75.8</v>
      </c>
      <c r="N575">
        <v>19911</v>
      </c>
    </row>
    <row r="576" spans="1:14" x14ac:dyDescent="0.3">
      <c r="A576" t="s">
        <v>379</v>
      </c>
      <c r="B576" t="s">
        <v>62</v>
      </c>
      <c r="C576">
        <v>82.2</v>
      </c>
      <c r="D576">
        <v>91.8</v>
      </c>
      <c r="G576">
        <v>92.3</v>
      </c>
      <c r="H576">
        <v>83.4</v>
      </c>
      <c r="I576">
        <v>84.1</v>
      </c>
      <c r="J576">
        <v>81.2</v>
      </c>
      <c r="N576">
        <v>18356</v>
      </c>
    </row>
    <row r="577" spans="1:14" x14ac:dyDescent="0.3">
      <c r="A577" t="s">
        <v>249</v>
      </c>
      <c r="B577" t="s">
        <v>102</v>
      </c>
      <c r="C577">
        <v>78.2</v>
      </c>
      <c r="D577">
        <v>91.8</v>
      </c>
      <c r="E577">
        <v>86.1</v>
      </c>
      <c r="G577">
        <v>89.7</v>
      </c>
      <c r="H577">
        <v>82.7</v>
      </c>
      <c r="I577">
        <v>79.3</v>
      </c>
      <c r="J577">
        <v>74.7</v>
      </c>
      <c r="N577">
        <v>17585</v>
      </c>
    </row>
    <row r="578" spans="1:14" x14ac:dyDescent="0.3">
      <c r="A578" t="s">
        <v>634</v>
      </c>
      <c r="B578" t="s">
        <v>98</v>
      </c>
      <c r="C578">
        <v>35.200000000000003</v>
      </c>
      <c r="D578">
        <v>91.8</v>
      </c>
      <c r="F578">
        <v>84.2</v>
      </c>
      <c r="I578">
        <v>84.5</v>
      </c>
      <c r="J578">
        <v>77.599999999999994</v>
      </c>
      <c r="N578">
        <v>7196</v>
      </c>
    </row>
    <row r="579" spans="1:14" x14ac:dyDescent="0.3">
      <c r="A579" t="s">
        <v>633</v>
      </c>
      <c r="B579" t="s">
        <v>143</v>
      </c>
      <c r="C579">
        <v>13.1</v>
      </c>
      <c r="D579">
        <v>91.8</v>
      </c>
      <c r="I579">
        <v>82.4</v>
      </c>
      <c r="J579">
        <v>78.599999999999994</v>
      </c>
      <c r="N579">
        <v>15101</v>
      </c>
    </row>
    <row r="580" spans="1:14" x14ac:dyDescent="0.3">
      <c r="A580" t="s">
        <v>632</v>
      </c>
      <c r="B580" t="s">
        <v>26</v>
      </c>
      <c r="C580">
        <v>28.2</v>
      </c>
      <c r="D580">
        <v>91.8</v>
      </c>
      <c r="G580">
        <v>92.3</v>
      </c>
      <c r="H580">
        <v>85.3</v>
      </c>
      <c r="I580">
        <v>85.9</v>
      </c>
      <c r="J580">
        <v>79.2</v>
      </c>
      <c r="N580">
        <v>9029</v>
      </c>
    </row>
    <row r="581" spans="1:14" x14ac:dyDescent="0.3">
      <c r="A581" t="s">
        <v>283</v>
      </c>
      <c r="B581" t="s">
        <v>26</v>
      </c>
      <c r="C581">
        <v>114.2</v>
      </c>
      <c r="D581">
        <v>91.7</v>
      </c>
      <c r="H581">
        <v>84.6</v>
      </c>
      <c r="I581">
        <v>86.1</v>
      </c>
      <c r="J581">
        <v>80.099999999999994</v>
      </c>
      <c r="N581">
        <v>13799</v>
      </c>
    </row>
    <row r="582" spans="1:14" x14ac:dyDescent="0.3">
      <c r="A582" t="s">
        <v>631</v>
      </c>
      <c r="B582" t="s">
        <v>40</v>
      </c>
      <c r="C582">
        <v>25.1</v>
      </c>
      <c r="D582">
        <v>91.7</v>
      </c>
      <c r="H582">
        <v>85.5</v>
      </c>
      <c r="I582">
        <v>83.6</v>
      </c>
      <c r="J582">
        <v>79.2</v>
      </c>
      <c r="N582">
        <v>18135</v>
      </c>
    </row>
    <row r="583" spans="1:14" x14ac:dyDescent="0.3">
      <c r="A583" t="s">
        <v>256</v>
      </c>
      <c r="B583" t="s">
        <v>102</v>
      </c>
      <c r="C583">
        <v>153.1</v>
      </c>
      <c r="D583">
        <v>91.7</v>
      </c>
      <c r="H583">
        <v>82.8</v>
      </c>
      <c r="I583">
        <v>83.6</v>
      </c>
      <c r="N583">
        <v>14875</v>
      </c>
    </row>
    <row r="584" spans="1:14" x14ac:dyDescent="0.3">
      <c r="A584" t="s">
        <v>295</v>
      </c>
      <c r="B584" t="s">
        <v>34</v>
      </c>
      <c r="C584">
        <v>59.2</v>
      </c>
      <c r="D584">
        <v>91.7</v>
      </c>
      <c r="E584">
        <v>86.3</v>
      </c>
      <c r="G584">
        <v>90.6</v>
      </c>
      <c r="H584">
        <v>83.1</v>
      </c>
      <c r="I584">
        <v>84</v>
      </c>
      <c r="J584">
        <v>72.8</v>
      </c>
      <c r="N584">
        <v>16980</v>
      </c>
    </row>
    <row r="585" spans="1:14" x14ac:dyDescent="0.3">
      <c r="A585" t="s">
        <v>185</v>
      </c>
      <c r="B585" t="s">
        <v>83</v>
      </c>
      <c r="C585">
        <v>207.2</v>
      </c>
      <c r="D585">
        <v>91.7</v>
      </c>
      <c r="E585">
        <v>87.5</v>
      </c>
      <c r="G585">
        <v>88.8</v>
      </c>
      <c r="H585">
        <v>84.5</v>
      </c>
      <c r="I585">
        <v>93.3</v>
      </c>
      <c r="J585">
        <v>79</v>
      </c>
      <c r="N585">
        <v>5524</v>
      </c>
    </row>
    <row r="586" spans="1:14" x14ac:dyDescent="0.3">
      <c r="A586" t="s">
        <v>630</v>
      </c>
      <c r="B586" t="s">
        <v>143</v>
      </c>
      <c r="C586">
        <v>12.2</v>
      </c>
      <c r="D586">
        <v>91.7</v>
      </c>
      <c r="G586">
        <v>90.4</v>
      </c>
      <c r="H586">
        <v>86.6</v>
      </c>
      <c r="I586">
        <v>80.099999999999994</v>
      </c>
      <c r="N586">
        <v>16618</v>
      </c>
    </row>
    <row r="587" spans="1:14" x14ac:dyDescent="0.3">
      <c r="A587" t="s">
        <v>629</v>
      </c>
      <c r="B587" t="s">
        <v>66</v>
      </c>
      <c r="C587">
        <v>25</v>
      </c>
      <c r="D587">
        <v>91.7</v>
      </c>
      <c r="H587">
        <v>85.4</v>
      </c>
      <c r="I587">
        <v>82.2</v>
      </c>
      <c r="N587">
        <v>18088</v>
      </c>
    </row>
    <row r="588" spans="1:14" x14ac:dyDescent="0.3">
      <c r="A588" t="s">
        <v>384</v>
      </c>
      <c r="B588" t="s">
        <v>43</v>
      </c>
      <c r="C588">
        <v>69.2</v>
      </c>
      <c r="D588">
        <v>91.7</v>
      </c>
      <c r="E588">
        <v>88.5</v>
      </c>
      <c r="G588">
        <v>90.8</v>
      </c>
      <c r="H588">
        <v>84.9</v>
      </c>
      <c r="I588">
        <v>85.2</v>
      </c>
      <c r="J588">
        <v>78.400000000000006</v>
      </c>
      <c r="N588">
        <v>2859</v>
      </c>
    </row>
    <row r="589" spans="1:14" x14ac:dyDescent="0.3">
      <c r="A589" t="s">
        <v>298</v>
      </c>
      <c r="B589" t="s">
        <v>143</v>
      </c>
      <c r="C589">
        <v>78</v>
      </c>
      <c r="D589">
        <v>91.7</v>
      </c>
      <c r="E589">
        <v>88.8</v>
      </c>
      <c r="G589">
        <v>91.3</v>
      </c>
      <c r="H589">
        <v>85.3</v>
      </c>
      <c r="I589">
        <v>86.8</v>
      </c>
      <c r="J589">
        <v>83.5</v>
      </c>
      <c r="N589">
        <v>5448</v>
      </c>
    </row>
    <row r="590" spans="1:14" x14ac:dyDescent="0.3">
      <c r="A590" t="s">
        <v>383</v>
      </c>
      <c r="B590" t="s">
        <v>102</v>
      </c>
      <c r="C590">
        <v>68.099999999999994</v>
      </c>
      <c r="D590">
        <v>91.7</v>
      </c>
      <c r="G590">
        <v>90.2</v>
      </c>
      <c r="H590">
        <v>84.3</v>
      </c>
      <c r="I590">
        <v>86.1</v>
      </c>
      <c r="J590">
        <v>74.400000000000006</v>
      </c>
      <c r="N590">
        <v>13071</v>
      </c>
    </row>
    <row r="591" spans="1:14" x14ac:dyDescent="0.3">
      <c r="A591" t="s">
        <v>628</v>
      </c>
      <c r="B591" t="s">
        <v>30</v>
      </c>
      <c r="C591">
        <v>10.199999999999999</v>
      </c>
      <c r="D591">
        <v>91.7</v>
      </c>
      <c r="F591">
        <v>84.2</v>
      </c>
      <c r="G591">
        <v>91.7</v>
      </c>
      <c r="I591">
        <v>82.3</v>
      </c>
      <c r="N591">
        <v>14962</v>
      </c>
    </row>
    <row r="592" spans="1:14" x14ac:dyDescent="0.3">
      <c r="A592" t="s">
        <v>311</v>
      </c>
      <c r="B592" t="s">
        <v>48</v>
      </c>
      <c r="C592">
        <v>91</v>
      </c>
      <c r="D592">
        <v>91.7</v>
      </c>
      <c r="E592">
        <v>87.5</v>
      </c>
      <c r="G592">
        <v>92.4</v>
      </c>
      <c r="H592">
        <v>84.5</v>
      </c>
      <c r="J592">
        <v>77.8</v>
      </c>
      <c r="N592">
        <v>4869</v>
      </c>
    </row>
    <row r="593" spans="1:14" x14ac:dyDescent="0.3">
      <c r="A593" t="s">
        <v>247</v>
      </c>
      <c r="B593" t="s">
        <v>40</v>
      </c>
      <c r="C593">
        <v>182</v>
      </c>
      <c r="D593">
        <v>91.7</v>
      </c>
      <c r="E593">
        <v>87.9</v>
      </c>
      <c r="F593">
        <v>87</v>
      </c>
      <c r="G593">
        <v>90.9</v>
      </c>
      <c r="I593">
        <v>83.4</v>
      </c>
      <c r="J593">
        <v>76.099999999999994</v>
      </c>
      <c r="N593">
        <v>15764</v>
      </c>
    </row>
    <row r="594" spans="1:14" x14ac:dyDescent="0.3">
      <c r="A594" t="s">
        <v>171</v>
      </c>
      <c r="B594" t="s">
        <v>77</v>
      </c>
      <c r="C594">
        <v>141.19999999999999</v>
      </c>
      <c r="D594">
        <v>91.7</v>
      </c>
      <c r="E594">
        <v>87.9</v>
      </c>
      <c r="G594">
        <v>91.3</v>
      </c>
      <c r="H594">
        <v>83.4</v>
      </c>
      <c r="J594">
        <v>78.099999999999994</v>
      </c>
      <c r="N594">
        <v>4972</v>
      </c>
    </row>
    <row r="595" spans="1:14" x14ac:dyDescent="0.3">
      <c r="A595" t="s">
        <v>627</v>
      </c>
      <c r="B595" t="s">
        <v>46</v>
      </c>
      <c r="C595">
        <v>17.2</v>
      </c>
      <c r="D595">
        <v>91.7</v>
      </c>
      <c r="G595">
        <v>91.7</v>
      </c>
      <c r="I595">
        <v>85.6</v>
      </c>
      <c r="J595">
        <v>75</v>
      </c>
      <c r="N595">
        <v>9948</v>
      </c>
    </row>
    <row r="596" spans="1:14" x14ac:dyDescent="0.3">
      <c r="A596" t="s">
        <v>266</v>
      </c>
      <c r="B596" t="s">
        <v>62</v>
      </c>
      <c r="C596">
        <v>96.1</v>
      </c>
      <c r="D596">
        <v>91.6</v>
      </c>
      <c r="G596">
        <v>92</v>
      </c>
      <c r="H596">
        <v>84.3</v>
      </c>
      <c r="I596">
        <v>82.7</v>
      </c>
      <c r="N596">
        <v>13403</v>
      </c>
    </row>
    <row r="597" spans="1:14" x14ac:dyDescent="0.3">
      <c r="A597" t="s">
        <v>260</v>
      </c>
      <c r="B597" t="s">
        <v>48</v>
      </c>
      <c r="C597">
        <v>61.1</v>
      </c>
      <c r="D597">
        <v>91.6</v>
      </c>
      <c r="E597">
        <v>88.4</v>
      </c>
      <c r="F597">
        <v>80.2</v>
      </c>
      <c r="J597">
        <v>76.3</v>
      </c>
      <c r="N597">
        <v>5224</v>
      </c>
    </row>
    <row r="598" spans="1:14" x14ac:dyDescent="0.3">
      <c r="A598" t="s">
        <v>279</v>
      </c>
      <c r="B598" t="s">
        <v>77</v>
      </c>
      <c r="C598">
        <v>171</v>
      </c>
      <c r="D598">
        <v>91.6</v>
      </c>
      <c r="G598">
        <v>91.6</v>
      </c>
      <c r="H598">
        <v>86.8</v>
      </c>
      <c r="J598">
        <v>77.099999999999994</v>
      </c>
      <c r="N598">
        <v>11423</v>
      </c>
    </row>
    <row r="599" spans="1:14" x14ac:dyDescent="0.3">
      <c r="A599" t="s">
        <v>626</v>
      </c>
      <c r="B599" t="s">
        <v>28</v>
      </c>
      <c r="C599">
        <v>5</v>
      </c>
      <c r="D599">
        <v>91.6</v>
      </c>
      <c r="H599">
        <v>84.8</v>
      </c>
      <c r="I599">
        <v>80.3</v>
      </c>
      <c r="J599">
        <v>78</v>
      </c>
      <c r="N599">
        <v>13393</v>
      </c>
    </row>
    <row r="600" spans="1:14" x14ac:dyDescent="0.3">
      <c r="A600" t="s">
        <v>625</v>
      </c>
      <c r="B600" t="s">
        <v>48</v>
      </c>
      <c r="C600">
        <v>31</v>
      </c>
      <c r="D600">
        <v>91.5</v>
      </c>
      <c r="G600">
        <v>89.5</v>
      </c>
      <c r="H600">
        <v>83.8</v>
      </c>
      <c r="I600">
        <v>84.7</v>
      </c>
      <c r="J600">
        <v>79.099999999999994</v>
      </c>
      <c r="N600">
        <v>14382</v>
      </c>
    </row>
    <row r="601" spans="1:14" x14ac:dyDescent="0.3">
      <c r="A601" t="s">
        <v>624</v>
      </c>
      <c r="B601" t="s">
        <v>38</v>
      </c>
      <c r="C601">
        <v>31</v>
      </c>
      <c r="D601">
        <v>91.5</v>
      </c>
      <c r="E601">
        <v>87.6</v>
      </c>
      <c r="G601">
        <v>91.8</v>
      </c>
      <c r="H601">
        <v>82</v>
      </c>
      <c r="I601">
        <v>84.5</v>
      </c>
      <c r="J601">
        <v>78.099999999999994</v>
      </c>
      <c r="N601">
        <v>10946</v>
      </c>
    </row>
    <row r="602" spans="1:14" x14ac:dyDescent="0.3">
      <c r="A602" t="s">
        <v>623</v>
      </c>
      <c r="B602" t="s">
        <v>46</v>
      </c>
      <c r="C602">
        <v>10</v>
      </c>
      <c r="D602">
        <v>91.5</v>
      </c>
      <c r="G602">
        <v>91.5</v>
      </c>
      <c r="H602">
        <v>81.900000000000006</v>
      </c>
      <c r="I602">
        <v>81.599999999999994</v>
      </c>
      <c r="N602">
        <v>16532</v>
      </c>
    </row>
    <row r="603" spans="1:14" x14ac:dyDescent="0.3">
      <c r="A603" t="s">
        <v>292</v>
      </c>
      <c r="B603" t="s">
        <v>146</v>
      </c>
      <c r="C603">
        <v>161.19999999999999</v>
      </c>
      <c r="D603">
        <v>91.5</v>
      </c>
      <c r="G603">
        <v>91.6</v>
      </c>
      <c r="H603">
        <v>83.8</v>
      </c>
      <c r="I603">
        <v>81.400000000000006</v>
      </c>
      <c r="J603">
        <v>75.2</v>
      </c>
      <c r="N603">
        <v>12917</v>
      </c>
    </row>
    <row r="604" spans="1:14" x14ac:dyDescent="0.3">
      <c r="A604" t="s">
        <v>622</v>
      </c>
      <c r="B604" t="s">
        <v>193</v>
      </c>
      <c r="C604">
        <v>4.2</v>
      </c>
      <c r="D604">
        <v>91.5</v>
      </c>
      <c r="H604">
        <v>81.900000000000006</v>
      </c>
      <c r="I604">
        <v>81.900000000000006</v>
      </c>
      <c r="J604">
        <v>77.3</v>
      </c>
      <c r="N604">
        <v>17553</v>
      </c>
    </row>
    <row r="605" spans="1:14" x14ac:dyDescent="0.3">
      <c r="A605" t="s">
        <v>621</v>
      </c>
      <c r="B605" t="s">
        <v>66</v>
      </c>
      <c r="C605">
        <v>27.2</v>
      </c>
      <c r="D605">
        <v>91.5</v>
      </c>
      <c r="H605">
        <v>84.4</v>
      </c>
      <c r="I605">
        <v>84.1</v>
      </c>
      <c r="J605">
        <v>73.900000000000006</v>
      </c>
      <c r="N605">
        <v>15906</v>
      </c>
    </row>
    <row r="606" spans="1:14" x14ac:dyDescent="0.3">
      <c r="A606" t="s">
        <v>620</v>
      </c>
      <c r="B606" t="s">
        <v>66</v>
      </c>
      <c r="C606">
        <v>1</v>
      </c>
      <c r="D606">
        <v>91.4</v>
      </c>
      <c r="H606">
        <v>85.8</v>
      </c>
      <c r="I606">
        <v>81.7</v>
      </c>
      <c r="J606">
        <v>78</v>
      </c>
      <c r="N606">
        <v>15036</v>
      </c>
    </row>
    <row r="607" spans="1:14" x14ac:dyDescent="0.3">
      <c r="A607" t="s">
        <v>619</v>
      </c>
      <c r="B607" t="s">
        <v>40</v>
      </c>
      <c r="C607">
        <v>2.2000000000000002</v>
      </c>
      <c r="D607">
        <v>91.4</v>
      </c>
      <c r="E607">
        <v>85.3</v>
      </c>
      <c r="H607">
        <v>87.8</v>
      </c>
      <c r="J607">
        <v>81</v>
      </c>
      <c r="N607">
        <v>14707</v>
      </c>
    </row>
    <row r="608" spans="1:14" x14ac:dyDescent="0.3">
      <c r="A608" t="s">
        <v>618</v>
      </c>
      <c r="B608" t="s">
        <v>46</v>
      </c>
      <c r="C608">
        <v>20.2</v>
      </c>
      <c r="D608">
        <v>91.4</v>
      </c>
      <c r="E608">
        <v>87.2</v>
      </c>
      <c r="G608">
        <v>90.5</v>
      </c>
      <c r="H608">
        <v>80.099999999999994</v>
      </c>
      <c r="J608">
        <v>73.599999999999994</v>
      </c>
      <c r="N608">
        <v>12880</v>
      </c>
    </row>
    <row r="609" spans="1:14" x14ac:dyDescent="0.3">
      <c r="A609" t="s">
        <v>206</v>
      </c>
      <c r="B609" t="s">
        <v>48</v>
      </c>
      <c r="C609">
        <v>55.1</v>
      </c>
      <c r="D609">
        <v>91.4</v>
      </c>
      <c r="G609">
        <v>91.5</v>
      </c>
      <c r="H609">
        <v>85.6</v>
      </c>
      <c r="I609">
        <v>85.5</v>
      </c>
      <c r="N609">
        <v>7947</v>
      </c>
    </row>
    <row r="610" spans="1:14" x14ac:dyDescent="0.3">
      <c r="A610" t="s">
        <v>617</v>
      </c>
      <c r="B610" t="s">
        <v>36</v>
      </c>
      <c r="C610">
        <v>45.1</v>
      </c>
      <c r="D610">
        <v>91.4</v>
      </c>
      <c r="G610">
        <v>90.4</v>
      </c>
      <c r="H610">
        <v>82.3</v>
      </c>
      <c r="I610">
        <v>79.8</v>
      </c>
      <c r="N610">
        <v>3551</v>
      </c>
    </row>
    <row r="611" spans="1:14" x14ac:dyDescent="0.3">
      <c r="A611" t="s">
        <v>182</v>
      </c>
      <c r="B611" t="s">
        <v>34</v>
      </c>
      <c r="C611">
        <v>176</v>
      </c>
      <c r="D611">
        <v>91.4</v>
      </c>
      <c r="E611">
        <v>88.8</v>
      </c>
      <c r="G611">
        <v>90.9</v>
      </c>
      <c r="H611">
        <v>82.8</v>
      </c>
      <c r="I611">
        <v>82.1</v>
      </c>
      <c r="J611">
        <v>75.900000000000006</v>
      </c>
      <c r="N611">
        <v>8223</v>
      </c>
    </row>
    <row r="612" spans="1:14" x14ac:dyDescent="0.3">
      <c r="A612" t="s">
        <v>616</v>
      </c>
      <c r="B612" t="s">
        <v>83</v>
      </c>
      <c r="C612">
        <v>17</v>
      </c>
      <c r="D612">
        <v>91.4</v>
      </c>
      <c r="H612">
        <v>82.9</v>
      </c>
      <c r="I612">
        <v>84.8</v>
      </c>
      <c r="J612">
        <v>80.2</v>
      </c>
      <c r="N612">
        <v>19199</v>
      </c>
    </row>
    <row r="613" spans="1:14" x14ac:dyDescent="0.3">
      <c r="A613" t="s">
        <v>615</v>
      </c>
      <c r="B613" t="s">
        <v>48</v>
      </c>
      <c r="C613">
        <v>12.2</v>
      </c>
      <c r="D613">
        <v>91.4</v>
      </c>
      <c r="H613">
        <v>86</v>
      </c>
      <c r="I613">
        <v>83</v>
      </c>
      <c r="N613">
        <v>13974</v>
      </c>
    </row>
    <row r="614" spans="1:14" x14ac:dyDescent="0.3">
      <c r="A614" t="s">
        <v>614</v>
      </c>
      <c r="B614" t="s">
        <v>58</v>
      </c>
      <c r="C614">
        <v>19.2</v>
      </c>
      <c r="D614">
        <v>91.4</v>
      </c>
      <c r="G614">
        <v>88.9</v>
      </c>
      <c r="H614">
        <v>81.5</v>
      </c>
      <c r="I614">
        <v>82</v>
      </c>
      <c r="N614">
        <v>13892</v>
      </c>
    </row>
    <row r="615" spans="1:14" x14ac:dyDescent="0.3">
      <c r="A615" t="s">
        <v>376</v>
      </c>
      <c r="B615" t="s">
        <v>48</v>
      </c>
      <c r="C615">
        <v>114</v>
      </c>
      <c r="D615">
        <v>91.3</v>
      </c>
      <c r="E615">
        <v>86.8</v>
      </c>
      <c r="H615">
        <v>82.5</v>
      </c>
      <c r="J615">
        <v>77.5</v>
      </c>
      <c r="N615">
        <v>11760</v>
      </c>
    </row>
    <row r="616" spans="1:14" x14ac:dyDescent="0.3">
      <c r="A616" t="s">
        <v>613</v>
      </c>
      <c r="B616" t="s">
        <v>46</v>
      </c>
      <c r="C616">
        <v>18.100000000000001</v>
      </c>
      <c r="D616">
        <v>91.3</v>
      </c>
      <c r="G616">
        <v>82.8</v>
      </c>
      <c r="H616">
        <v>82.7</v>
      </c>
      <c r="I616">
        <v>82.3</v>
      </c>
      <c r="J616">
        <v>73.400000000000006</v>
      </c>
      <c r="N616">
        <v>18719</v>
      </c>
    </row>
    <row r="617" spans="1:14" x14ac:dyDescent="0.3">
      <c r="A617" t="s">
        <v>612</v>
      </c>
      <c r="B617" t="s">
        <v>48</v>
      </c>
      <c r="C617">
        <v>36.200000000000003</v>
      </c>
      <c r="D617">
        <v>91.3</v>
      </c>
      <c r="E617">
        <v>85.2</v>
      </c>
      <c r="J617">
        <v>78.400000000000006</v>
      </c>
      <c r="N617">
        <v>18064</v>
      </c>
    </row>
    <row r="618" spans="1:14" x14ac:dyDescent="0.3">
      <c r="A618" t="s">
        <v>611</v>
      </c>
      <c r="B618" t="s">
        <v>146</v>
      </c>
      <c r="C618">
        <v>0.2</v>
      </c>
      <c r="D618">
        <v>91.3</v>
      </c>
      <c r="H618">
        <v>86.5</v>
      </c>
      <c r="I618">
        <v>81.8</v>
      </c>
      <c r="N618">
        <v>17697</v>
      </c>
    </row>
    <row r="619" spans="1:14" x14ac:dyDescent="0.3">
      <c r="A619" t="s">
        <v>610</v>
      </c>
      <c r="B619" t="s">
        <v>146</v>
      </c>
      <c r="C619">
        <v>4.2</v>
      </c>
      <c r="D619">
        <v>91.3</v>
      </c>
      <c r="H619">
        <v>84.4</v>
      </c>
      <c r="I619">
        <v>82.5</v>
      </c>
      <c r="N619">
        <v>16452</v>
      </c>
    </row>
    <row r="620" spans="1:14" x14ac:dyDescent="0.3">
      <c r="A620" t="s">
        <v>343</v>
      </c>
      <c r="B620" t="s">
        <v>38</v>
      </c>
      <c r="C620">
        <v>174.1</v>
      </c>
      <c r="D620">
        <v>91.2</v>
      </c>
      <c r="F620">
        <v>93.1</v>
      </c>
      <c r="G620">
        <v>89.9</v>
      </c>
      <c r="H620">
        <v>81.3</v>
      </c>
      <c r="I620">
        <v>84.5</v>
      </c>
      <c r="J620">
        <v>74.900000000000006</v>
      </c>
      <c r="N620">
        <v>2717</v>
      </c>
    </row>
    <row r="621" spans="1:14" x14ac:dyDescent="0.3">
      <c r="A621" t="s">
        <v>609</v>
      </c>
      <c r="B621" t="s">
        <v>193</v>
      </c>
      <c r="C621">
        <v>16.2</v>
      </c>
      <c r="D621">
        <v>91.2</v>
      </c>
      <c r="G621">
        <v>90.2</v>
      </c>
      <c r="H621">
        <v>85.1</v>
      </c>
      <c r="I621">
        <v>85.2</v>
      </c>
      <c r="N621">
        <v>12452</v>
      </c>
    </row>
    <row r="622" spans="1:14" x14ac:dyDescent="0.3">
      <c r="A622" t="s">
        <v>608</v>
      </c>
      <c r="B622" t="s">
        <v>143</v>
      </c>
      <c r="C622">
        <v>15.1</v>
      </c>
      <c r="D622">
        <v>91.2</v>
      </c>
      <c r="F622">
        <v>85</v>
      </c>
      <c r="G622">
        <v>91.6</v>
      </c>
      <c r="I622">
        <v>84.3</v>
      </c>
      <c r="J622">
        <v>75.900000000000006</v>
      </c>
      <c r="N622">
        <v>9033</v>
      </c>
    </row>
    <row r="623" spans="1:14" x14ac:dyDescent="0.3">
      <c r="A623" t="s">
        <v>287</v>
      </c>
      <c r="B623" t="s">
        <v>98</v>
      </c>
      <c r="C623">
        <v>53</v>
      </c>
      <c r="D623">
        <v>91.2</v>
      </c>
      <c r="F623">
        <v>83.9</v>
      </c>
      <c r="G623">
        <v>89.9</v>
      </c>
      <c r="H623">
        <v>92.6</v>
      </c>
      <c r="J623">
        <v>75.599999999999994</v>
      </c>
      <c r="N623">
        <v>19756</v>
      </c>
    </row>
    <row r="624" spans="1:14" x14ac:dyDescent="0.3">
      <c r="A624" t="s">
        <v>607</v>
      </c>
      <c r="B624" t="s">
        <v>127</v>
      </c>
      <c r="C624">
        <v>29.1</v>
      </c>
      <c r="D624">
        <v>91.2</v>
      </c>
      <c r="G624">
        <v>90.7</v>
      </c>
      <c r="H624">
        <v>82.6</v>
      </c>
      <c r="I624">
        <v>82.9</v>
      </c>
      <c r="J624">
        <v>78.2</v>
      </c>
      <c r="N624">
        <v>12027</v>
      </c>
    </row>
    <row r="625" spans="1:14" x14ac:dyDescent="0.3">
      <c r="A625" t="s">
        <v>606</v>
      </c>
      <c r="B625" t="s">
        <v>83</v>
      </c>
      <c r="C625">
        <v>16</v>
      </c>
      <c r="D625">
        <v>91.2</v>
      </c>
      <c r="G625">
        <v>91.1</v>
      </c>
      <c r="H625">
        <v>83.4</v>
      </c>
      <c r="I625">
        <v>84.1</v>
      </c>
      <c r="J625">
        <v>80.599999999999994</v>
      </c>
      <c r="N625">
        <v>6893</v>
      </c>
    </row>
    <row r="626" spans="1:14" x14ac:dyDescent="0.3">
      <c r="A626" t="s">
        <v>301</v>
      </c>
      <c r="B626" t="s">
        <v>56</v>
      </c>
      <c r="C626">
        <v>109.1</v>
      </c>
      <c r="D626">
        <v>91.2</v>
      </c>
      <c r="H626">
        <v>84.2</v>
      </c>
      <c r="I626">
        <v>86</v>
      </c>
      <c r="J626">
        <v>77.400000000000006</v>
      </c>
      <c r="N626">
        <v>15846</v>
      </c>
    </row>
    <row r="627" spans="1:14" x14ac:dyDescent="0.3">
      <c r="A627" t="s">
        <v>605</v>
      </c>
      <c r="B627" t="s">
        <v>66</v>
      </c>
      <c r="C627">
        <v>16.100000000000001</v>
      </c>
      <c r="D627">
        <v>91.2</v>
      </c>
      <c r="G627">
        <v>87.7</v>
      </c>
      <c r="H627">
        <v>77.2</v>
      </c>
      <c r="I627">
        <v>77</v>
      </c>
      <c r="J627">
        <v>87.9</v>
      </c>
      <c r="N627">
        <v>17002</v>
      </c>
    </row>
    <row r="628" spans="1:14" x14ac:dyDescent="0.3">
      <c r="A628" t="s">
        <v>604</v>
      </c>
      <c r="B628" t="s">
        <v>93</v>
      </c>
      <c r="C628">
        <v>2.1</v>
      </c>
      <c r="D628">
        <v>91.2</v>
      </c>
      <c r="G628">
        <v>91.6</v>
      </c>
      <c r="H628">
        <v>85.1</v>
      </c>
      <c r="I628">
        <v>82.6</v>
      </c>
      <c r="N628">
        <v>11243</v>
      </c>
    </row>
    <row r="629" spans="1:14" x14ac:dyDescent="0.3">
      <c r="A629" t="s">
        <v>203</v>
      </c>
      <c r="B629" t="s">
        <v>48</v>
      </c>
      <c r="C629">
        <v>135.1</v>
      </c>
      <c r="D629">
        <v>91.2</v>
      </c>
      <c r="F629">
        <v>85.8</v>
      </c>
      <c r="G629">
        <v>91.9</v>
      </c>
      <c r="H629">
        <v>83.8</v>
      </c>
      <c r="I629">
        <v>85.6</v>
      </c>
      <c r="J629">
        <v>79.400000000000006</v>
      </c>
      <c r="N629">
        <v>19309</v>
      </c>
    </row>
    <row r="630" spans="1:14" x14ac:dyDescent="0.3">
      <c r="A630" t="s">
        <v>333</v>
      </c>
      <c r="B630" t="s">
        <v>62</v>
      </c>
      <c r="C630">
        <v>72</v>
      </c>
      <c r="D630">
        <v>91.2</v>
      </c>
      <c r="G630">
        <v>91.1</v>
      </c>
      <c r="H630">
        <v>84.2</v>
      </c>
      <c r="I630">
        <v>82.6</v>
      </c>
      <c r="J630">
        <v>76.7</v>
      </c>
      <c r="N630">
        <v>18790</v>
      </c>
    </row>
    <row r="631" spans="1:14" x14ac:dyDescent="0.3">
      <c r="A631" t="s">
        <v>349</v>
      </c>
      <c r="B631" t="s">
        <v>83</v>
      </c>
      <c r="C631">
        <v>99</v>
      </c>
      <c r="D631">
        <v>91.2</v>
      </c>
      <c r="G631">
        <v>90.1</v>
      </c>
      <c r="H631">
        <v>84.9</v>
      </c>
      <c r="I631">
        <v>86.9</v>
      </c>
      <c r="J631">
        <v>76</v>
      </c>
      <c r="N631">
        <v>14509</v>
      </c>
    </row>
    <row r="632" spans="1:14" x14ac:dyDescent="0.3">
      <c r="A632" t="s">
        <v>253</v>
      </c>
      <c r="B632" t="s">
        <v>159</v>
      </c>
      <c r="C632">
        <v>144.1</v>
      </c>
      <c r="D632">
        <v>91.1</v>
      </c>
      <c r="G632">
        <v>90.7</v>
      </c>
      <c r="H632">
        <v>85.9</v>
      </c>
      <c r="I632">
        <v>84.6</v>
      </c>
      <c r="J632">
        <v>76.099999999999994</v>
      </c>
      <c r="N632">
        <v>13475</v>
      </c>
    </row>
    <row r="633" spans="1:14" x14ac:dyDescent="0.3">
      <c r="A633" t="s">
        <v>603</v>
      </c>
      <c r="B633" t="s">
        <v>146</v>
      </c>
      <c r="C633">
        <v>5.0999999999999996</v>
      </c>
      <c r="D633">
        <v>91.1</v>
      </c>
      <c r="G633">
        <v>88.2</v>
      </c>
      <c r="H633">
        <v>86.1</v>
      </c>
      <c r="J633">
        <v>80.2</v>
      </c>
      <c r="N633">
        <v>12638</v>
      </c>
    </row>
    <row r="634" spans="1:14" x14ac:dyDescent="0.3">
      <c r="A634" t="s">
        <v>330</v>
      </c>
      <c r="B634" t="s">
        <v>146</v>
      </c>
      <c r="C634">
        <v>57.1</v>
      </c>
      <c r="D634">
        <v>91.1</v>
      </c>
      <c r="E634">
        <v>85.1</v>
      </c>
      <c r="H634">
        <v>87.9</v>
      </c>
      <c r="I634">
        <v>84.2</v>
      </c>
      <c r="N634">
        <v>15832</v>
      </c>
    </row>
    <row r="635" spans="1:14" x14ac:dyDescent="0.3">
      <c r="A635" t="s">
        <v>602</v>
      </c>
      <c r="B635" t="s">
        <v>62</v>
      </c>
      <c r="C635">
        <v>8</v>
      </c>
      <c r="D635">
        <v>91.1</v>
      </c>
      <c r="F635">
        <v>86.2</v>
      </c>
      <c r="I635">
        <v>84.8</v>
      </c>
      <c r="J635">
        <v>78</v>
      </c>
      <c r="N635">
        <v>8302</v>
      </c>
    </row>
    <row r="636" spans="1:14" x14ac:dyDescent="0.3">
      <c r="A636" t="s">
        <v>601</v>
      </c>
      <c r="B636" t="s">
        <v>28</v>
      </c>
      <c r="C636">
        <v>18</v>
      </c>
      <c r="D636">
        <v>91</v>
      </c>
      <c r="H636">
        <v>82.8</v>
      </c>
      <c r="I636">
        <v>84.7</v>
      </c>
      <c r="J636">
        <v>78.900000000000006</v>
      </c>
      <c r="N636">
        <v>17679</v>
      </c>
    </row>
    <row r="637" spans="1:14" x14ac:dyDescent="0.3">
      <c r="A637" t="s">
        <v>306</v>
      </c>
      <c r="B637" t="s">
        <v>30</v>
      </c>
      <c r="C637">
        <v>73.099999999999994</v>
      </c>
      <c r="D637">
        <v>91</v>
      </c>
      <c r="G637">
        <v>91.3</v>
      </c>
      <c r="H637">
        <v>85.9</v>
      </c>
      <c r="I637">
        <v>83.1</v>
      </c>
      <c r="N637">
        <v>15821</v>
      </c>
    </row>
    <row r="638" spans="1:14" x14ac:dyDescent="0.3">
      <c r="A638" t="s">
        <v>190</v>
      </c>
      <c r="B638" t="s">
        <v>28</v>
      </c>
      <c r="C638">
        <v>167.1</v>
      </c>
      <c r="D638">
        <v>91</v>
      </c>
      <c r="E638">
        <v>87.5</v>
      </c>
      <c r="G638">
        <v>89.6</v>
      </c>
      <c r="H638">
        <v>81.400000000000006</v>
      </c>
      <c r="I638">
        <v>81.8</v>
      </c>
      <c r="J638">
        <v>75.7</v>
      </c>
      <c r="N638">
        <v>8779</v>
      </c>
    </row>
    <row r="639" spans="1:14" x14ac:dyDescent="0.3">
      <c r="A639" t="s">
        <v>600</v>
      </c>
      <c r="B639" t="s">
        <v>62</v>
      </c>
      <c r="C639">
        <v>13.2</v>
      </c>
      <c r="D639">
        <v>91</v>
      </c>
      <c r="F639">
        <v>82.8</v>
      </c>
      <c r="G639">
        <v>90.4</v>
      </c>
      <c r="H639">
        <v>81.900000000000006</v>
      </c>
      <c r="I639">
        <v>79.2</v>
      </c>
      <c r="N639">
        <v>12385</v>
      </c>
    </row>
    <row r="640" spans="1:14" x14ac:dyDescent="0.3">
      <c r="A640" t="s">
        <v>281</v>
      </c>
      <c r="B640" t="s">
        <v>28</v>
      </c>
      <c r="C640">
        <v>74.2</v>
      </c>
      <c r="D640">
        <v>91</v>
      </c>
      <c r="E640">
        <v>87.3</v>
      </c>
      <c r="G640">
        <v>88.8</v>
      </c>
      <c r="H640">
        <v>84.2</v>
      </c>
      <c r="I640">
        <v>79.900000000000006</v>
      </c>
      <c r="J640">
        <v>74.900000000000006</v>
      </c>
      <c r="N640">
        <v>7531</v>
      </c>
    </row>
    <row r="641" spans="1:14" x14ac:dyDescent="0.3">
      <c r="A641" t="s">
        <v>331</v>
      </c>
      <c r="B641" t="s">
        <v>26</v>
      </c>
      <c r="C641">
        <v>55.1</v>
      </c>
      <c r="D641">
        <v>91</v>
      </c>
      <c r="E641">
        <v>88.7</v>
      </c>
      <c r="G641">
        <v>90.7</v>
      </c>
      <c r="H641">
        <v>83.7</v>
      </c>
      <c r="I641">
        <v>83.2</v>
      </c>
      <c r="J641">
        <v>76.5</v>
      </c>
      <c r="N641">
        <v>10354</v>
      </c>
    </row>
    <row r="642" spans="1:14" x14ac:dyDescent="0.3">
      <c r="A642" t="s">
        <v>599</v>
      </c>
      <c r="B642" t="s">
        <v>43</v>
      </c>
      <c r="C642">
        <v>13.1</v>
      </c>
      <c r="D642">
        <v>91</v>
      </c>
      <c r="G642">
        <v>90</v>
      </c>
      <c r="H642">
        <v>84.6</v>
      </c>
      <c r="I642">
        <v>83</v>
      </c>
      <c r="N642">
        <v>3200</v>
      </c>
    </row>
    <row r="643" spans="1:14" x14ac:dyDescent="0.3">
      <c r="A643" t="s">
        <v>52</v>
      </c>
      <c r="B643" t="s">
        <v>53</v>
      </c>
      <c r="C643">
        <v>182.2</v>
      </c>
      <c r="D643">
        <v>90.9</v>
      </c>
      <c r="E643">
        <v>87.2</v>
      </c>
      <c r="G643">
        <v>90.4</v>
      </c>
      <c r="H643">
        <v>80.2</v>
      </c>
      <c r="I643">
        <v>80.8</v>
      </c>
      <c r="J643">
        <v>72.8</v>
      </c>
      <c r="K643">
        <v>65.2</v>
      </c>
      <c r="N643">
        <v>14444</v>
      </c>
    </row>
    <row r="644" spans="1:14" x14ac:dyDescent="0.3">
      <c r="A644" t="s">
        <v>100</v>
      </c>
      <c r="B644" t="s">
        <v>77</v>
      </c>
      <c r="C644">
        <v>64</v>
      </c>
      <c r="D644">
        <v>90.9</v>
      </c>
      <c r="G644">
        <v>90.9</v>
      </c>
      <c r="H644">
        <v>84.2</v>
      </c>
      <c r="I644">
        <v>79.2</v>
      </c>
      <c r="N644">
        <v>6483</v>
      </c>
    </row>
    <row r="645" spans="1:14" x14ac:dyDescent="0.3">
      <c r="A645" t="s">
        <v>314</v>
      </c>
      <c r="B645" t="s">
        <v>102</v>
      </c>
      <c r="C645">
        <v>82.1</v>
      </c>
      <c r="D645">
        <v>90.9</v>
      </c>
      <c r="G645">
        <v>89.4</v>
      </c>
      <c r="H645">
        <v>82.5</v>
      </c>
      <c r="I645">
        <v>78.7</v>
      </c>
      <c r="N645">
        <v>16933</v>
      </c>
    </row>
    <row r="646" spans="1:14" x14ac:dyDescent="0.3">
      <c r="A646" t="s">
        <v>598</v>
      </c>
      <c r="B646" t="s">
        <v>36</v>
      </c>
      <c r="C646">
        <v>28.2</v>
      </c>
      <c r="D646">
        <v>90.9</v>
      </c>
      <c r="F646">
        <v>84.9</v>
      </c>
      <c r="G646">
        <v>91</v>
      </c>
      <c r="I646">
        <v>82.2</v>
      </c>
      <c r="J646">
        <v>77</v>
      </c>
      <c r="N646">
        <v>4776</v>
      </c>
    </row>
    <row r="647" spans="1:14" x14ac:dyDescent="0.3">
      <c r="A647" t="s">
        <v>597</v>
      </c>
      <c r="B647" t="s">
        <v>146</v>
      </c>
      <c r="C647">
        <v>47.2</v>
      </c>
      <c r="D647">
        <v>90.9</v>
      </c>
      <c r="G647">
        <v>90.7</v>
      </c>
      <c r="H647">
        <v>84.6</v>
      </c>
      <c r="I647">
        <v>84.2</v>
      </c>
      <c r="J647">
        <v>76.8</v>
      </c>
      <c r="N647">
        <v>9460</v>
      </c>
    </row>
    <row r="648" spans="1:14" x14ac:dyDescent="0.3">
      <c r="A648" t="s">
        <v>596</v>
      </c>
      <c r="B648" t="s">
        <v>83</v>
      </c>
      <c r="C648">
        <v>19.2</v>
      </c>
      <c r="D648">
        <v>90.9</v>
      </c>
      <c r="G648">
        <v>90.3</v>
      </c>
      <c r="H648">
        <v>86.5</v>
      </c>
      <c r="I648">
        <v>84.6</v>
      </c>
      <c r="J648">
        <v>78.7</v>
      </c>
      <c r="N648">
        <v>18581</v>
      </c>
    </row>
    <row r="649" spans="1:14" x14ac:dyDescent="0.3">
      <c r="A649" t="s">
        <v>595</v>
      </c>
      <c r="B649" t="s">
        <v>36</v>
      </c>
      <c r="C649">
        <v>22.2</v>
      </c>
      <c r="D649">
        <v>90.8</v>
      </c>
      <c r="G649">
        <v>92.1</v>
      </c>
      <c r="H649">
        <v>83.4</v>
      </c>
      <c r="I649">
        <v>83.5</v>
      </c>
      <c r="J649">
        <v>75.7</v>
      </c>
      <c r="N649">
        <v>19269</v>
      </c>
    </row>
    <row r="650" spans="1:14" x14ac:dyDescent="0.3">
      <c r="A650" t="s">
        <v>594</v>
      </c>
      <c r="B650" t="s">
        <v>46</v>
      </c>
      <c r="C650">
        <v>7.1</v>
      </c>
      <c r="D650">
        <v>90.8</v>
      </c>
      <c r="I650">
        <v>81.099999999999994</v>
      </c>
      <c r="N650">
        <v>20030</v>
      </c>
    </row>
    <row r="651" spans="1:14" x14ac:dyDescent="0.3">
      <c r="A651" t="s">
        <v>220</v>
      </c>
      <c r="B651" t="s">
        <v>26</v>
      </c>
      <c r="C651">
        <v>163.19999999999999</v>
      </c>
      <c r="D651">
        <v>90.8</v>
      </c>
      <c r="E651">
        <v>90.2</v>
      </c>
      <c r="G651">
        <v>90.5</v>
      </c>
      <c r="H651">
        <v>79.2</v>
      </c>
      <c r="I651">
        <v>90.9</v>
      </c>
      <c r="J651">
        <v>76.2</v>
      </c>
      <c r="N651">
        <v>19320</v>
      </c>
    </row>
    <row r="652" spans="1:14" x14ac:dyDescent="0.3">
      <c r="A652" t="s">
        <v>388</v>
      </c>
      <c r="B652" t="s">
        <v>159</v>
      </c>
      <c r="C652">
        <v>112</v>
      </c>
      <c r="D652">
        <v>90.8</v>
      </c>
      <c r="G652">
        <v>90.4</v>
      </c>
      <c r="H652">
        <v>87.5</v>
      </c>
      <c r="I652">
        <v>86.1</v>
      </c>
      <c r="J652">
        <v>80.400000000000006</v>
      </c>
      <c r="N652">
        <v>4505</v>
      </c>
    </row>
    <row r="653" spans="1:14" x14ac:dyDescent="0.3">
      <c r="A653" t="s">
        <v>593</v>
      </c>
      <c r="B653" t="s">
        <v>93</v>
      </c>
      <c r="C653">
        <v>21</v>
      </c>
      <c r="D653">
        <v>90.8</v>
      </c>
      <c r="F653">
        <v>78.3</v>
      </c>
      <c r="I653">
        <v>83.5</v>
      </c>
      <c r="N653">
        <v>8280</v>
      </c>
    </row>
    <row r="654" spans="1:14" x14ac:dyDescent="0.3">
      <c r="A654" t="s">
        <v>248</v>
      </c>
      <c r="B654" t="s">
        <v>77</v>
      </c>
      <c r="C654">
        <v>171.2</v>
      </c>
      <c r="D654">
        <v>90.8</v>
      </c>
      <c r="E654">
        <v>88</v>
      </c>
      <c r="G654">
        <v>89.6</v>
      </c>
      <c r="H654">
        <v>84.4</v>
      </c>
      <c r="J654">
        <v>74.599999999999994</v>
      </c>
      <c r="N654">
        <v>4930</v>
      </c>
    </row>
    <row r="655" spans="1:14" x14ac:dyDescent="0.3">
      <c r="A655" t="s">
        <v>133</v>
      </c>
      <c r="B655" t="s">
        <v>53</v>
      </c>
      <c r="C655">
        <v>90.2</v>
      </c>
      <c r="D655">
        <v>90.8</v>
      </c>
      <c r="G655">
        <v>88.8</v>
      </c>
      <c r="H655">
        <v>83</v>
      </c>
      <c r="I655">
        <v>86.7</v>
      </c>
      <c r="J655">
        <v>80</v>
      </c>
      <c r="N655">
        <v>13273</v>
      </c>
    </row>
    <row r="656" spans="1:14" x14ac:dyDescent="0.3">
      <c r="A656" t="s">
        <v>184</v>
      </c>
      <c r="B656" t="s">
        <v>34</v>
      </c>
      <c r="C656">
        <v>184.2</v>
      </c>
      <c r="D656">
        <v>90.8</v>
      </c>
      <c r="E656">
        <v>86.4</v>
      </c>
      <c r="G656">
        <v>90.4</v>
      </c>
      <c r="H656">
        <v>84.3</v>
      </c>
      <c r="I656">
        <v>84.4</v>
      </c>
      <c r="J656">
        <v>74.3</v>
      </c>
      <c r="N656">
        <v>7754</v>
      </c>
    </row>
    <row r="657" spans="1:14" x14ac:dyDescent="0.3">
      <c r="A657" t="s">
        <v>592</v>
      </c>
      <c r="B657" t="s">
        <v>127</v>
      </c>
      <c r="C657">
        <v>39.200000000000003</v>
      </c>
      <c r="D657">
        <v>90.8</v>
      </c>
      <c r="G657">
        <v>90.3</v>
      </c>
      <c r="I657">
        <v>78.3</v>
      </c>
      <c r="N657">
        <v>16814</v>
      </c>
    </row>
    <row r="658" spans="1:14" x14ac:dyDescent="0.3">
      <c r="A658" t="s">
        <v>591</v>
      </c>
      <c r="B658" t="s">
        <v>77</v>
      </c>
      <c r="C658">
        <v>1.1000000000000001</v>
      </c>
      <c r="D658">
        <v>90.7</v>
      </c>
      <c r="E658">
        <v>88.3</v>
      </c>
      <c r="F658">
        <v>85.9</v>
      </c>
      <c r="G658">
        <v>91.3</v>
      </c>
      <c r="J658">
        <v>73.099999999999994</v>
      </c>
      <c r="N658">
        <v>3555</v>
      </c>
    </row>
    <row r="659" spans="1:14" x14ac:dyDescent="0.3">
      <c r="A659" t="s">
        <v>179</v>
      </c>
      <c r="B659" t="s">
        <v>93</v>
      </c>
      <c r="C659">
        <v>166</v>
      </c>
      <c r="D659">
        <v>90.7</v>
      </c>
      <c r="E659">
        <v>88.1</v>
      </c>
      <c r="F659">
        <v>70.900000000000006</v>
      </c>
      <c r="G659">
        <v>90.7</v>
      </c>
      <c r="H659">
        <v>84.6</v>
      </c>
      <c r="I659">
        <v>83.6</v>
      </c>
      <c r="J659">
        <v>77.099999999999994</v>
      </c>
      <c r="N659">
        <v>3284</v>
      </c>
    </row>
    <row r="660" spans="1:14" x14ac:dyDescent="0.3">
      <c r="A660" t="s">
        <v>302</v>
      </c>
      <c r="B660" t="s">
        <v>159</v>
      </c>
      <c r="C660">
        <v>53.2</v>
      </c>
      <c r="D660">
        <v>90.7</v>
      </c>
      <c r="G660">
        <v>90.7</v>
      </c>
      <c r="H660">
        <v>84.1</v>
      </c>
      <c r="I660">
        <v>85.3</v>
      </c>
      <c r="J660">
        <v>81.2</v>
      </c>
      <c r="N660">
        <v>17735</v>
      </c>
    </row>
    <row r="661" spans="1:14" x14ac:dyDescent="0.3">
      <c r="A661" t="s">
        <v>590</v>
      </c>
      <c r="B661" t="s">
        <v>48</v>
      </c>
      <c r="C661">
        <v>12.2</v>
      </c>
      <c r="D661">
        <v>90.7</v>
      </c>
      <c r="G661">
        <v>90</v>
      </c>
      <c r="H661">
        <v>84.7</v>
      </c>
      <c r="I661">
        <v>80.3</v>
      </c>
      <c r="N661">
        <v>13629</v>
      </c>
    </row>
    <row r="662" spans="1:14" x14ac:dyDescent="0.3">
      <c r="A662" t="s">
        <v>589</v>
      </c>
      <c r="B662" t="s">
        <v>75</v>
      </c>
      <c r="C662">
        <v>12</v>
      </c>
      <c r="D662">
        <v>90.7</v>
      </c>
      <c r="J662">
        <v>75.599999999999994</v>
      </c>
      <c r="N662">
        <v>11203</v>
      </c>
    </row>
    <row r="663" spans="1:14" x14ac:dyDescent="0.3">
      <c r="A663" t="s">
        <v>588</v>
      </c>
      <c r="B663" t="s">
        <v>32</v>
      </c>
      <c r="C663">
        <v>3</v>
      </c>
      <c r="D663">
        <v>90.7</v>
      </c>
      <c r="G663">
        <v>90.1</v>
      </c>
      <c r="H663">
        <v>85.3</v>
      </c>
      <c r="I663">
        <v>84.3</v>
      </c>
      <c r="N663">
        <v>15231</v>
      </c>
    </row>
    <row r="664" spans="1:14" x14ac:dyDescent="0.3">
      <c r="A664" t="s">
        <v>59</v>
      </c>
      <c r="B664" t="s">
        <v>53</v>
      </c>
      <c r="C664">
        <v>58.2</v>
      </c>
      <c r="D664">
        <v>90.6</v>
      </c>
      <c r="E664">
        <v>85.2</v>
      </c>
      <c r="G664">
        <v>88.5</v>
      </c>
      <c r="H664">
        <v>83</v>
      </c>
      <c r="J664">
        <v>74.5</v>
      </c>
      <c r="K664">
        <v>65</v>
      </c>
      <c r="N664">
        <v>4806</v>
      </c>
    </row>
    <row r="665" spans="1:14" x14ac:dyDescent="0.3">
      <c r="A665" t="s">
        <v>587</v>
      </c>
      <c r="B665" t="s">
        <v>146</v>
      </c>
      <c r="C665">
        <v>15.2</v>
      </c>
      <c r="D665">
        <v>90.6</v>
      </c>
      <c r="G665">
        <v>90.3</v>
      </c>
      <c r="H665">
        <v>86.2</v>
      </c>
      <c r="I665">
        <v>83.5</v>
      </c>
      <c r="N665">
        <v>11686</v>
      </c>
    </row>
    <row r="666" spans="1:14" x14ac:dyDescent="0.3">
      <c r="A666" t="s">
        <v>586</v>
      </c>
      <c r="B666" t="s">
        <v>58</v>
      </c>
      <c r="C666">
        <v>32</v>
      </c>
      <c r="D666">
        <v>90.6</v>
      </c>
      <c r="H666">
        <v>82.6</v>
      </c>
      <c r="J666">
        <v>75.5</v>
      </c>
      <c r="N666">
        <v>2882</v>
      </c>
    </row>
    <row r="667" spans="1:14" x14ac:dyDescent="0.3">
      <c r="A667" t="s">
        <v>585</v>
      </c>
      <c r="B667" t="s">
        <v>50</v>
      </c>
      <c r="C667">
        <v>2</v>
      </c>
      <c r="D667">
        <v>90.6</v>
      </c>
      <c r="F667">
        <v>82.5</v>
      </c>
      <c r="N667">
        <v>10855</v>
      </c>
    </row>
    <row r="668" spans="1:14" x14ac:dyDescent="0.3">
      <c r="A668" t="s">
        <v>584</v>
      </c>
      <c r="B668" t="s">
        <v>159</v>
      </c>
      <c r="C668">
        <v>35.1</v>
      </c>
      <c r="D668">
        <v>90.6</v>
      </c>
      <c r="E668">
        <v>89.1</v>
      </c>
      <c r="G668">
        <v>89.8</v>
      </c>
      <c r="H668">
        <v>89.8</v>
      </c>
      <c r="I668">
        <v>84.2</v>
      </c>
      <c r="N668">
        <v>7872</v>
      </c>
    </row>
    <row r="669" spans="1:14" x14ac:dyDescent="0.3">
      <c r="A669" t="s">
        <v>583</v>
      </c>
      <c r="B669" t="s">
        <v>127</v>
      </c>
      <c r="C669">
        <v>26.2</v>
      </c>
      <c r="D669">
        <v>90.6</v>
      </c>
      <c r="H669">
        <v>78.7</v>
      </c>
      <c r="I669">
        <v>86</v>
      </c>
      <c r="N669">
        <v>10133</v>
      </c>
    </row>
    <row r="670" spans="1:14" x14ac:dyDescent="0.3">
      <c r="A670" t="s">
        <v>582</v>
      </c>
      <c r="B670" t="s">
        <v>58</v>
      </c>
      <c r="C670">
        <v>7.1</v>
      </c>
      <c r="D670">
        <v>90.5</v>
      </c>
      <c r="H670">
        <v>83.3</v>
      </c>
      <c r="I670">
        <v>82.4</v>
      </c>
      <c r="N670">
        <v>13946</v>
      </c>
    </row>
    <row r="671" spans="1:14" x14ac:dyDescent="0.3">
      <c r="A671" t="s">
        <v>581</v>
      </c>
      <c r="B671" t="s">
        <v>159</v>
      </c>
      <c r="C671">
        <v>40.200000000000003</v>
      </c>
      <c r="D671">
        <v>90.5</v>
      </c>
      <c r="G671">
        <v>90.3</v>
      </c>
      <c r="H671">
        <v>83.8</v>
      </c>
      <c r="I671">
        <v>81.900000000000006</v>
      </c>
      <c r="J671">
        <v>76.599999999999994</v>
      </c>
      <c r="N671">
        <v>12699</v>
      </c>
    </row>
    <row r="672" spans="1:14" x14ac:dyDescent="0.3">
      <c r="A672" t="s">
        <v>580</v>
      </c>
      <c r="B672" t="s">
        <v>159</v>
      </c>
      <c r="C672">
        <v>23.1</v>
      </c>
      <c r="D672">
        <v>90.5</v>
      </c>
      <c r="H672">
        <v>82.1</v>
      </c>
      <c r="I672">
        <v>82.1</v>
      </c>
      <c r="J672">
        <v>76.7</v>
      </c>
      <c r="N672">
        <v>18076</v>
      </c>
    </row>
    <row r="673" spans="1:14" x14ac:dyDescent="0.3">
      <c r="A673" t="s">
        <v>103</v>
      </c>
      <c r="B673" t="s">
        <v>53</v>
      </c>
      <c r="C673">
        <v>178.1</v>
      </c>
      <c r="D673">
        <v>90.5</v>
      </c>
      <c r="G673">
        <v>87.5</v>
      </c>
      <c r="H673">
        <v>85.3</v>
      </c>
      <c r="I673">
        <v>87</v>
      </c>
      <c r="J673">
        <v>73.7</v>
      </c>
      <c r="N673">
        <v>2036</v>
      </c>
    </row>
    <row r="674" spans="1:14" x14ac:dyDescent="0.3">
      <c r="A674" t="s">
        <v>579</v>
      </c>
      <c r="B674" t="s">
        <v>30</v>
      </c>
      <c r="C674">
        <v>17.100000000000001</v>
      </c>
      <c r="D674">
        <v>90.5</v>
      </c>
      <c r="G674">
        <v>90.5</v>
      </c>
      <c r="H674">
        <v>84.5</v>
      </c>
      <c r="J674">
        <v>79.5</v>
      </c>
      <c r="N674">
        <v>19675</v>
      </c>
    </row>
    <row r="675" spans="1:14" x14ac:dyDescent="0.3">
      <c r="A675" t="s">
        <v>378</v>
      </c>
      <c r="B675" t="s">
        <v>193</v>
      </c>
      <c r="C675">
        <v>71.2</v>
      </c>
      <c r="D675">
        <v>90.4</v>
      </c>
      <c r="E675">
        <v>88.6</v>
      </c>
      <c r="G675">
        <v>89.9</v>
      </c>
      <c r="H675">
        <v>85.1</v>
      </c>
      <c r="I675">
        <v>84.1</v>
      </c>
      <c r="J675">
        <v>79.7</v>
      </c>
      <c r="N675">
        <v>4772</v>
      </c>
    </row>
    <row r="676" spans="1:14" x14ac:dyDescent="0.3">
      <c r="A676" t="s">
        <v>578</v>
      </c>
      <c r="B676" t="s">
        <v>46</v>
      </c>
      <c r="C676">
        <v>6</v>
      </c>
      <c r="D676">
        <v>90.4</v>
      </c>
      <c r="H676">
        <v>80.7</v>
      </c>
      <c r="J676">
        <v>77.599999999999994</v>
      </c>
      <c r="N676">
        <v>20023</v>
      </c>
    </row>
    <row r="677" spans="1:14" x14ac:dyDescent="0.3">
      <c r="A677" t="s">
        <v>577</v>
      </c>
      <c r="B677" t="s">
        <v>102</v>
      </c>
      <c r="C677">
        <v>34.1</v>
      </c>
      <c r="D677">
        <v>90.4</v>
      </c>
      <c r="G677">
        <v>89.5</v>
      </c>
      <c r="H677">
        <v>79.400000000000006</v>
      </c>
      <c r="I677">
        <v>79.2</v>
      </c>
      <c r="J677">
        <v>72.8</v>
      </c>
      <c r="N677">
        <v>19191</v>
      </c>
    </row>
    <row r="678" spans="1:14" x14ac:dyDescent="0.3">
      <c r="A678" t="s">
        <v>576</v>
      </c>
      <c r="B678" t="s">
        <v>62</v>
      </c>
      <c r="C678">
        <v>5</v>
      </c>
      <c r="D678">
        <v>90.4</v>
      </c>
      <c r="H678">
        <v>84.8</v>
      </c>
      <c r="J678">
        <v>79.599999999999994</v>
      </c>
      <c r="N678">
        <v>18607</v>
      </c>
    </row>
    <row r="679" spans="1:14" x14ac:dyDescent="0.3">
      <c r="A679" t="s">
        <v>207</v>
      </c>
      <c r="B679" t="s">
        <v>159</v>
      </c>
      <c r="C679">
        <v>79.2</v>
      </c>
      <c r="D679">
        <v>90.4</v>
      </c>
      <c r="E679">
        <v>87.3</v>
      </c>
      <c r="G679">
        <v>89.3</v>
      </c>
      <c r="H679">
        <v>79.3</v>
      </c>
      <c r="I679">
        <v>83.8</v>
      </c>
      <c r="J679">
        <v>78.599999999999994</v>
      </c>
      <c r="N679">
        <v>12575</v>
      </c>
    </row>
    <row r="680" spans="1:14" x14ac:dyDescent="0.3">
      <c r="A680" t="s">
        <v>370</v>
      </c>
      <c r="B680" t="s">
        <v>48</v>
      </c>
      <c r="C680">
        <v>103.1</v>
      </c>
      <c r="D680">
        <v>90.3</v>
      </c>
      <c r="E680">
        <v>87.4</v>
      </c>
      <c r="F680">
        <v>83.1</v>
      </c>
      <c r="G680">
        <v>90.1</v>
      </c>
      <c r="H680">
        <v>90.5</v>
      </c>
      <c r="I680">
        <v>80</v>
      </c>
      <c r="J680">
        <v>77.099999999999994</v>
      </c>
      <c r="N680">
        <v>2608</v>
      </c>
    </row>
    <row r="681" spans="1:14" x14ac:dyDescent="0.3">
      <c r="A681" t="s">
        <v>575</v>
      </c>
      <c r="B681" t="s">
        <v>71</v>
      </c>
      <c r="C681">
        <v>16</v>
      </c>
      <c r="D681">
        <v>90.3</v>
      </c>
      <c r="H681">
        <v>83.9</v>
      </c>
      <c r="I681">
        <v>83.2</v>
      </c>
      <c r="J681">
        <v>75</v>
      </c>
      <c r="N681">
        <v>16904</v>
      </c>
    </row>
    <row r="682" spans="1:14" x14ac:dyDescent="0.3">
      <c r="A682" t="s">
        <v>574</v>
      </c>
      <c r="B682" t="s">
        <v>48</v>
      </c>
      <c r="C682">
        <v>27</v>
      </c>
      <c r="D682">
        <v>90.3</v>
      </c>
      <c r="H682">
        <v>79.900000000000006</v>
      </c>
      <c r="I682">
        <v>84.1</v>
      </c>
      <c r="J682">
        <v>77.099999999999994</v>
      </c>
      <c r="N682">
        <v>14361</v>
      </c>
    </row>
    <row r="683" spans="1:14" x14ac:dyDescent="0.3">
      <c r="A683" t="s">
        <v>90</v>
      </c>
      <c r="B683" t="s">
        <v>56</v>
      </c>
      <c r="C683">
        <v>62</v>
      </c>
      <c r="D683">
        <v>90.2</v>
      </c>
      <c r="F683">
        <v>81.900000000000006</v>
      </c>
      <c r="G683">
        <v>90</v>
      </c>
      <c r="H683">
        <v>78.599999999999994</v>
      </c>
      <c r="I683">
        <v>83.4</v>
      </c>
      <c r="J683">
        <v>74.5</v>
      </c>
      <c r="N683">
        <v>5640</v>
      </c>
    </row>
    <row r="684" spans="1:14" x14ac:dyDescent="0.3">
      <c r="A684" t="s">
        <v>382</v>
      </c>
      <c r="B684" t="s">
        <v>36</v>
      </c>
      <c r="C684">
        <v>59</v>
      </c>
      <c r="D684">
        <v>90.2</v>
      </c>
      <c r="E684">
        <v>84.9</v>
      </c>
      <c r="G684">
        <v>89.7</v>
      </c>
      <c r="H684">
        <v>77</v>
      </c>
      <c r="J684">
        <v>75.5</v>
      </c>
      <c r="N684">
        <v>3543</v>
      </c>
    </row>
    <row r="685" spans="1:14" x14ac:dyDescent="0.3">
      <c r="A685" t="s">
        <v>573</v>
      </c>
      <c r="B685" t="s">
        <v>30</v>
      </c>
      <c r="C685">
        <v>1</v>
      </c>
      <c r="D685">
        <v>90.2</v>
      </c>
      <c r="N685">
        <v>6677</v>
      </c>
    </row>
    <row r="686" spans="1:14" x14ac:dyDescent="0.3">
      <c r="A686" t="s">
        <v>166</v>
      </c>
      <c r="B686" t="s">
        <v>50</v>
      </c>
      <c r="C686">
        <v>55</v>
      </c>
      <c r="D686">
        <v>90.1</v>
      </c>
      <c r="G686">
        <v>90</v>
      </c>
      <c r="H686">
        <v>80</v>
      </c>
      <c r="I686">
        <v>77</v>
      </c>
      <c r="J686">
        <v>76.2</v>
      </c>
      <c r="N686">
        <v>14974</v>
      </c>
    </row>
    <row r="687" spans="1:14" x14ac:dyDescent="0.3">
      <c r="A687" t="s">
        <v>138</v>
      </c>
      <c r="B687" t="s">
        <v>77</v>
      </c>
      <c r="C687">
        <v>61</v>
      </c>
      <c r="D687">
        <v>90.1</v>
      </c>
      <c r="E687">
        <v>87.5</v>
      </c>
      <c r="G687">
        <v>89.4</v>
      </c>
      <c r="H687">
        <v>86.8</v>
      </c>
      <c r="I687">
        <v>80</v>
      </c>
      <c r="N687">
        <v>11753</v>
      </c>
    </row>
    <row r="688" spans="1:14" x14ac:dyDescent="0.3">
      <c r="A688" t="s">
        <v>572</v>
      </c>
      <c r="B688" t="s">
        <v>89</v>
      </c>
      <c r="C688">
        <v>35.200000000000003</v>
      </c>
      <c r="D688">
        <v>90.1</v>
      </c>
      <c r="G688">
        <v>89.9</v>
      </c>
      <c r="H688">
        <v>83.6</v>
      </c>
      <c r="I688">
        <v>81.400000000000006</v>
      </c>
      <c r="N688">
        <v>13781</v>
      </c>
    </row>
    <row r="689" spans="1:14" x14ac:dyDescent="0.3">
      <c r="A689" t="s">
        <v>571</v>
      </c>
      <c r="B689" t="s">
        <v>83</v>
      </c>
      <c r="C689">
        <v>10.1</v>
      </c>
      <c r="D689">
        <v>90.1</v>
      </c>
      <c r="I689">
        <v>80</v>
      </c>
      <c r="N689">
        <v>13397</v>
      </c>
    </row>
    <row r="690" spans="1:14" x14ac:dyDescent="0.3">
      <c r="A690" t="s">
        <v>375</v>
      </c>
      <c r="B690" t="s">
        <v>36</v>
      </c>
      <c r="C690">
        <v>73</v>
      </c>
      <c r="D690">
        <v>90.1</v>
      </c>
      <c r="E690">
        <v>84.9</v>
      </c>
      <c r="G690">
        <v>91.6</v>
      </c>
      <c r="H690">
        <v>83.7</v>
      </c>
      <c r="J690">
        <v>74</v>
      </c>
      <c r="N690">
        <v>17281</v>
      </c>
    </row>
    <row r="691" spans="1:14" x14ac:dyDescent="0.3">
      <c r="A691" t="s">
        <v>96</v>
      </c>
      <c r="B691" t="s">
        <v>48</v>
      </c>
      <c r="C691">
        <v>208.2</v>
      </c>
      <c r="D691">
        <v>90</v>
      </c>
      <c r="E691">
        <v>86.3</v>
      </c>
      <c r="F691">
        <v>77.8</v>
      </c>
      <c r="G691">
        <v>90.6</v>
      </c>
      <c r="H691">
        <v>87.5</v>
      </c>
      <c r="I691">
        <v>83.7</v>
      </c>
      <c r="J691">
        <v>70.7</v>
      </c>
      <c r="K691">
        <v>67.599999999999994</v>
      </c>
      <c r="N691">
        <v>1943</v>
      </c>
    </row>
    <row r="692" spans="1:14" x14ac:dyDescent="0.3">
      <c r="A692" t="s">
        <v>570</v>
      </c>
      <c r="B692" t="s">
        <v>34</v>
      </c>
      <c r="C692">
        <v>29.2</v>
      </c>
      <c r="D692">
        <v>90</v>
      </c>
      <c r="H692">
        <v>81.2</v>
      </c>
      <c r="I692">
        <v>79.5</v>
      </c>
      <c r="N692">
        <v>15873</v>
      </c>
    </row>
    <row r="693" spans="1:14" x14ac:dyDescent="0.3">
      <c r="A693" t="s">
        <v>569</v>
      </c>
      <c r="B693" t="s">
        <v>95</v>
      </c>
      <c r="C693">
        <v>2.2000000000000002</v>
      </c>
      <c r="D693">
        <v>90</v>
      </c>
      <c r="E693">
        <v>87.3</v>
      </c>
      <c r="H693">
        <v>84.2</v>
      </c>
      <c r="J693">
        <v>80.599999999999994</v>
      </c>
      <c r="N693">
        <v>4971</v>
      </c>
    </row>
    <row r="694" spans="1:14" x14ac:dyDescent="0.3">
      <c r="A694" t="s">
        <v>568</v>
      </c>
      <c r="B694" t="s">
        <v>48</v>
      </c>
      <c r="C694">
        <v>12.2</v>
      </c>
      <c r="D694">
        <v>90</v>
      </c>
      <c r="G694">
        <v>89.5</v>
      </c>
      <c r="H694">
        <v>84.1</v>
      </c>
      <c r="I694">
        <v>79.599999999999994</v>
      </c>
      <c r="N694">
        <v>11334</v>
      </c>
    </row>
    <row r="695" spans="1:14" x14ac:dyDescent="0.3">
      <c r="A695" t="s">
        <v>567</v>
      </c>
      <c r="B695" t="s">
        <v>95</v>
      </c>
      <c r="C695">
        <v>41.2</v>
      </c>
      <c r="D695">
        <v>90</v>
      </c>
      <c r="G695">
        <v>90.2</v>
      </c>
      <c r="H695">
        <v>83.6</v>
      </c>
      <c r="I695">
        <v>84.4</v>
      </c>
      <c r="J695">
        <v>76.400000000000006</v>
      </c>
      <c r="N695">
        <v>19244</v>
      </c>
    </row>
    <row r="696" spans="1:14" x14ac:dyDescent="0.3">
      <c r="A696" t="s">
        <v>566</v>
      </c>
      <c r="B696" t="s">
        <v>40</v>
      </c>
      <c r="C696">
        <v>2</v>
      </c>
      <c r="D696">
        <v>89.9</v>
      </c>
      <c r="H696">
        <v>85.1</v>
      </c>
      <c r="I696">
        <v>83.6</v>
      </c>
      <c r="J696">
        <v>77.099999999999994</v>
      </c>
      <c r="N696">
        <v>17942</v>
      </c>
    </row>
    <row r="697" spans="1:14" x14ac:dyDescent="0.3">
      <c r="A697" t="s">
        <v>565</v>
      </c>
      <c r="B697" t="s">
        <v>127</v>
      </c>
      <c r="C697">
        <v>21</v>
      </c>
      <c r="D697">
        <v>89.9</v>
      </c>
      <c r="G697">
        <v>89.7</v>
      </c>
      <c r="H697">
        <v>83.3</v>
      </c>
      <c r="I697">
        <v>84.8</v>
      </c>
      <c r="J697">
        <v>77</v>
      </c>
      <c r="N697">
        <v>16155</v>
      </c>
    </row>
    <row r="698" spans="1:14" x14ac:dyDescent="0.3">
      <c r="A698" t="s">
        <v>564</v>
      </c>
      <c r="B698" t="s">
        <v>146</v>
      </c>
      <c r="C698">
        <v>14.1</v>
      </c>
      <c r="D698">
        <v>89.9</v>
      </c>
      <c r="G698">
        <v>87.7</v>
      </c>
      <c r="H698">
        <v>82.6</v>
      </c>
      <c r="I698">
        <v>80.400000000000006</v>
      </c>
      <c r="N698">
        <v>18510</v>
      </c>
    </row>
    <row r="699" spans="1:14" x14ac:dyDescent="0.3">
      <c r="A699" t="s">
        <v>222</v>
      </c>
      <c r="B699" t="s">
        <v>50</v>
      </c>
      <c r="C699">
        <v>171.2</v>
      </c>
      <c r="D699">
        <v>89.9</v>
      </c>
      <c r="E699">
        <v>85.1</v>
      </c>
      <c r="G699">
        <v>90.3</v>
      </c>
      <c r="H699">
        <v>84.2</v>
      </c>
      <c r="J699">
        <v>75.099999999999994</v>
      </c>
      <c r="K699">
        <v>64.099999999999994</v>
      </c>
      <c r="N699">
        <v>2233</v>
      </c>
    </row>
    <row r="700" spans="1:14" x14ac:dyDescent="0.3">
      <c r="A700" t="s">
        <v>354</v>
      </c>
      <c r="B700" t="s">
        <v>95</v>
      </c>
      <c r="C700">
        <v>58.1</v>
      </c>
      <c r="D700">
        <v>89.9</v>
      </c>
      <c r="G700">
        <v>90.1</v>
      </c>
      <c r="I700">
        <v>84.2</v>
      </c>
      <c r="J700">
        <v>75</v>
      </c>
      <c r="N700">
        <v>12664</v>
      </c>
    </row>
    <row r="701" spans="1:14" x14ac:dyDescent="0.3">
      <c r="A701" t="s">
        <v>563</v>
      </c>
      <c r="B701" t="s">
        <v>30</v>
      </c>
      <c r="C701">
        <v>2.1</v>
      </c>
      <c r="D701">
        <v>89.9</v>
      </c>
      <c r="H701">
        <v>77.8</v>
      </c>
      <c r="J701">
        <v>72.099999999999994</v>
      </c>
      <c r="N701">
        <v>12937</v>
      </c>
    </row>
    <row r="702" spans="1:14" x14ac:dyDescent="0.3">
      <c r="A702" t="s">
        <v>562</v>
      </c>
      <c r="B702" t="s">
        <v>146</v>
      </c>
      <c r="C702">
        <v>2.1</v>
      </c>
      <c r="D702">
        <v>89.9</v>
      </c>
      <c r="H702">
        <v>78.7</v>
      </c>
      <c r="I702">
        <v>80.3</v>
      </c>
      <c r="J702">
        <v>72.3</v>
      </c>
      <c r="N702">
        <v>12781</v>
      </c>
    </row>
    <row r="703" spans="1:14" x14ac:dyDescent="0.3">
      <c r="A703" t="s">
        <v>141</v>
      </c>
      <c r="B703" t="s">
        <v>98</v>
      </c>
      <c r="C703">
        <v>83.1</v>
      </c>
      <c r="D703">
        <v>89.9</v>
      </c>
      <c r="E703">
        <v>85.1</v>
      </c>
      <c r="G703">
        <v>89.1</v>
      </c>
      <c r="H703">
        <v>84.6</v>
      </c>
      <c r="J703">
        <v>81.5</v>
      </c>
      <c r="N703">
        <v>18333</v>
      </c>
    </row>
    <row r="704" spans="1:14" x14ac:dyDescent="0.3">
      <c r="A704" t="s">
        <v>174</v>
      </c>
      <c r="B704" t="s">
        <v>75</v>
      </c>
      <c r="C704">
        <v>174.2</v>
      </c>
      <c r="D704">
        <v>89.9</v>
      </c>
      <c r="G704">
        <v>89.4</v>
      </c>
      <c r="H704">
        <v>84</v>
      </c>
      <c r="I704">
        <v>82.3</v>
      </c>
      <c r="J704">
        <v>74.8</v>
      </c>
      <c r="N704">
        <v>6797</v>
      </c>
    </row>
    <row r="705" spans="1:14" x14ac:dyDescent="0.3">
      <c r="A705" t="s">
        <v>312</v>
      </c>
      <c r="B705" t="s">
        <v>40</v>
      </c>
      <c r="C705">
        <v>107.1</v>
      </c>
      <c r="D705">
        <v>89.8</v>
      </c>
      <c r="E705">
        <v>88.6</v>
      </c>
      <c r="G705">
        <v>89.4</v>
      </c>
      <c r="H705">
        <v>82.9</v>
      </c>
      <c r="I705">
        <v>79.400000000000006</v>
      </c>
      <c r="N705">
        <v>404</v>
      </c>
    </row>
    <row r="706" spans="1:14" x14ac:dyDescent="0.3">
      <c r="A706" t="s">
        <v>561</v>
      </c>
      <c r="B706" t="s">
        <v>93</v>
      </c>
      <c r="C706">
        <v>0</v>
      </c>
      <c r="D706">
        <v>89.7</v>
      </c>
      <c r="I706">
        <v>80.3</v>
      </c>
      <c r="N706">
        <v>8553</v>
      </c>
    </row>
    <row r="707" spans="1:14" x14ac:dyDescent="0.3">
      <c r="A707" t="s">
        <v>134</v>
      </c>
      <c r="B707" t="s">
        <v>71</v>
      </c>
      <c r="C707">
        <v>87.1</v>
      </c>
      <c r="D707">
        <v>89.7</v>
      </c>
      <c r="G707">
        <v>89.1</v>
      </c>
      <c r="H707">
        <v>82.5</v>
      </c>
      <c r="J707">
        <v>75.400000000000006</v>
      </c>
      <c r="N707">
        <v>7448</v>
      </c>
    </row>
    <row r="708" spans="1:14" x14ac:dyDescent="0.3">
      <c r="A708" t="s">
        <v>560</v>
      </c>
      <c r="B708" t="s">
        <v>143</v>
      </c>
      <c r="C708">
        <v>6.2</v>
      </c>
      <c r="D708">
        <v>89.7</v>
      </c>
      <c r="G708">
        <v>89.5</v>
      </c>
      <c r="H708">
        <v>81.8</v>
      </c>
      <c r="I708">
        <v>77.900000000000006</v>
      </c>
      <c r="N708">
        <v>16850</v>
      </c>
    </row>
    <row r="709" spans="1:14" x14ac:dyDescent="0.3">
      <c r="A709" t="s">
        <v>170</v>
      </c>
      <c r="B709" t="s">
        <v>66</v>
      </c>
      <c r="C709">
        <v>54.1</v>
      </c>
      <c r="D709">
        <v>89.7</v>
      </c>
      <c r="H709">
        <v>76.599999999999994</v>
      </c>
      <c r="I709">
        <v>75.8</v>
      </c>
      <c r="J709">
        <v>70</v>
      </c>
      <c r="N709">
        <v>12680</v>
      </c>
    </row>
    <row r="710" spans="1:14" x14ac:dyDescent="0.3">
      <c r="A710" t="s">
        <v>559</v>
      </c>
      <c r="B710" t="s">
        <v>77</v>
      </c>
      <c r="C710">
        <v>36</v>
      </c>
      <c r="D710">
        <v>89.6</v>
      </c>
      <c r="G710">
        <v>90</v>
      </c>
      <c r="H710">
        <v>80.8</v>
      </c>
      <c r="I710">
        <v>78.2</v>
      </c>
      <c r="J710">
        <v>67.599999999999994</v>
      </c>
      <c r="N710">
        <v>13834</v>
      </c>
    </row>
    <row r="711" spans="1:14" x14ac:dyDescent="0.3">
      <c r="A711" t="s">
        <v>79</v>
      </c>
      <c r="B711" t="s">
        <v>34</v>
      </c>
      <c r="C711">
        <v>83</v>
      </c>
      <c r="D711">
        <v>89.5</v>
      </c>
      <c r="E711">
        <v>85.8</v>
      </c>
      <c r="H711">
        <v>81.900000000000006</v>
      </c>
      <c r="J711">
        <v>76.7</v>
      </c>
      <c r="N711">
        <v>4020</v>
      </c>
    </row>
    <row r="712" spans="1:14" x14ac:dyDescent="0.3">
      <c r="A712" t="s">
        <v>352</v>
      </c>
      <c r="B712" t="s">
        <v>40</v>
      </c>
      <c r="C712">
        <v>66.2</v>
      </c>
      <c r="D712">
        <v>89.5</v>
      </c>
      <c r="H712">
        <v>82.3</v>
      </c>
      <c r="I712">
        <v>81.8</v>
      </c>
      <c r="J712">
        <v>74.2</v>
      </c>
      <c r="N712">
        <v>17874</v>
      </c>
    </row>
    <row r="713" spans="1:14" x14ac:dyDescent="0.3">
      <c r="A713" t="s">
        <v>558</v>
      </c>
      <c r="B713" t="s">
        <v>34</v>
      </c>
      <c r="C713">
        <v>11</v>
      </c>
      <c r="D713">
        <v>89.5</v>
      </c>
      <c r="E713">
        <v>85.1</v>
      </c>
      <c r="G713">
        <v>90.7</v>
      </c>
      <c r="H713">
        <v>85</v>
      </c>
      <c r="I713">
        <v>88.3</v>
      </c>
      <c r="J713">
        <v>79</v>
      </c>
      <c r="N713">
        <v>14739</v>
      </c>
    </row>
    <row r="714" spans="1:14" x14ac:dyDescent="0.3">
      <c r="A714" t="s">
        <v>557</v>
      </c>
      <c r="B714" t="s">
        <v>38</v>
      </c>
      <c r="C714">
        <v>11.2</v>
      </c>
      <c r="D714">
        <v>89.5</v>
      </c>
      <c r="H714">
        <v>82.5</v>
      </c>
      <c r="I714">
        <v>82.8</v>
      </c>
      <c r="J714">
        <v>77.3</v>
      </c>
      <c r="N714">
        <v>17987</v>
      </c>
    </row>
    <row r="715" spans="1:14" x14ac:dyDescent="0.3">
      <c r="A715" t="s">
        <v>162</v>
      </c>
      <c r="B715" t="s">
        <v>75</v>
      </c>
      <c r="C715">
        <v>112.2</v>
      </c>
      <c r="D715">
        <v>89.5</v>
      </c>
      <c r="E715">
        <v>86.1</v>
      </c>
      <c r="G715">
        <v>88.3</v>
      </c>
      <c r="H715">
        <v>79.7</v>
      </c>
      <c r="I715">
        <v>78.3</v>
      </c>
      <c r="N715">
        <v>9434</v>
      </c>
    </row>
    <row r="716" spans="1:14" x14ac:dyDescent="0.3">
      <c r="A716" t="s">
        <v>194</v>
      </c>
      <c r="B716" t="s">
        <v>62</v>
      </c>
      <c r="C716">
        <v>67.2</v>
      </c>
      <c r="D716">
        <v>89.5</v>
      </c>
      <c r="H716">
        <v>84.5</v>
      </c>
      <c r="I716">
        <v>77.900000000000006</v>
      </c>
      <c r="N716">
        <v>12800</v>
      </c>
    </row>
    <row r="717" spans="1:14" x14ac:dyDescent="0.3">
      <c r="A717" t="s">
        <v>269</v>
      </c>
      <c r="B717" t="s">
        <v>36</v>
      </c>
      <c r="C717">
        <v>95.2</v>
      </c>
      <c r="D717">
        <v>89.5</v>
      </c>
      <c r="G717">
        <v>89.6</v>
      </c>
      <c r="H717">
        <v>82.9</v>
      </c>
      <c r="I717">
        <v>84.6</v>
      </c>
      <c r="J717">
        <v>80.3</v>
      </c>
      <c r="N717">
        <v>12778</v>
      </c>
    </row>
    <row r="718" spans="1:14" x14ac:dyDescent="0.3">
      <c r="A718" t="s">
        <v>556</v>
      </c>
      <c r="B718" t="s">
        <v>48</v>
      </c>
      <c r="C718">
        <v>44.2</v>
      </c>
      <c r="D718">
        <v>89.4</v>
      </c>
      <c r="E718">
        <v>87.4</v>
      </c>
      <c r="G718">
        <v>89.5</v>
      </c>
      <c r="H718">
        <v>84</v>
      </c>
      <c r="I718">
        <v>84.2</v>
      </c>
      <c r="J718">
        <v>82.9</v>
      </c>
      <c r="N718">
        <v>7555</v>
      </c>
    </row>
    <row r="719" spans="1:14" x14ac:dyDescent="0.3">
      <c r="A719" t="s">
        <v>555</v>
      </c>
      <c r="B719" t="s">
        <v>46</v>
      </c>
      <c r="C719">
        <v>33.1</v>
      </c>
      <c r="D719">
        <v>89.4</v>
      </c>
      <c r="H719">
        <v>82.5</v>
      </c>
      <c r="I719">
        <v>83.2</v>
      </c>
      <c r="J719">
        <v>75.2</v>
      </c>
      <c r="N719">
        <v>9149</v>
      </c>
    </row>
    <row r="720" spans="1:14" x14ac:dyDescent="0.3">
      <c r="A720" t="s">
        <v>192</v>
      </c>
      <c r="B720" t="s">
        <v>193</v>
      </c>
      <c r="C720">
        <v>203</v>
      </c>
      <c r="D720">
        <v>89.3</v>
      </c>
      <c r="E720">
        <v>85.6</v>
      </c>
      <c r="G720">
        <v>89.2</v>
      </c>
      <c r="H720">
        <v>81.599999999999994</v>
      </c>
      <c r="J720">
        <v>76.599999999999994</v>
      </c>
      <c r="N720">
        <v>15467</v>
      </c>
    </row>
    <row r="721" spans="1:14" x14ac:dyDescent="0.3">
      <c r="A721" t="s">
        <v>160</v>
      </c>
      <c r="B721" t="s">
        <v>75</v>
      </c>
      <c r="C721">
        <v>79.099999999999994</v>
      </c>
      <c r="D721">
        <v>89.3</v>
      </c>
      <c r="E721">
        <v>86.9</v>
      </c>
      <c r="H721">
        <v>84.8</v>
      </c>
      <c r="J721">
        <v>76.5</v>
      </c>
      <c r="N721">
        <v>9388</v>
      </c>
    </row>
    <row r="722" spans="1:14" x14ac:dyDescent="0.3">
      <c r="A722" t="s">
        <v>554</v>
      </c>
      <c r="B722" t="s">
        <v>28</v>
      </c>
      <c r="C722">
        <v>25</v>
      </c>
      <c r="D722">
        <v>89.2</v>
      </c>
      <c r="G722">
        <v>87.3</v>
      </c>
      <c r="H722">
        <v>78.2</v>
      </c>
      <c r="I722">
        <v>79.7</v>
      </c>
      <c r="N722">
        <v>3281</v>
      </c>
    </row>
    <row r="723" spans="1:14" x14ac:dyDescent="0.3">
      <c r="A723" t="s">
        <v>553</v>
      </c>
      <c r="B723" t="s">
        <v>75</v>
      </c>
      <c r="C723">
        <v>2</v>
      </c>
      <c r="D723">
        <v>89.1</v>
      </c>
      <c r="I723">
        <v>77.099999999999994</v>
      </c>
      <c r="N723">
        <v>3298</v>
      </c>
    </row>
    <row r="724" spans="1:14" x14ac:dyDescent="0.3">
      <c r="A724" t="s">
        <v>552</v>
      </c>
      <c r="B724" t="s">
        <v>93</v>
      </c>
      <c r="C724">
        <v>39</v>
      </c>
      <c r="D724">
        <v>89.1</v>
      </c>
      <c r="E724">
        <v>86</v>
      </c>
      <c r="G724">
        <v>89.2</v>
      </c>
      <c r="H724">
        <v>80.2</v>
      </c>
      <c r="J724">
        <v>74</v>
      </c>
      <c r="N724">
        <v>4371</v>
      </c>
    </row>
    <row r="725" spans="1:14" x14ac:dyDescent="0.3">
      <c r="A725" t="s">
        <v>551</v>
      </c>
      <c r="B725" t="s">
        <v>40</v>
      </c>
      <c r="C725">
        <v>3</v>
      </c>
      <c r="D725">
        <v>89.1</v>
      </c>
      <c r="G725">
        <v>88.6</v>
      </c>
      <c r="H725">
        <v>81.5</v>
      </c>
      <c r="I725">
        <v>77.900000000000006</v>
      </c>
      <c r="N725">
        <v>14857</v>
      </c>
    </row>
    <row r="726" spans="1:14" x14ac:dyDescent="0.3">
      <c r="A726" t="s">
        <v>550</v>
      </c>
      <c r="B726" t="s">
        <v>66</v>
      </c>
      <c r="C726">
        <v>49</v>
      </c>
      <c r="D726">
        <v>89</v>
      </c>
      <c r="H726">
        <v>82.8</v>
      </c>
      <c r="I726">
        <v>82.9</v>
      </c>
      <c r="J726">
        <v>76.8</v>
      </c>
      <c r="N726">
        <v>19487</v>
      </c>
    </row>
    <row r="727" spans="1:14" x14ac:dyDescent="0.3">
      <c r="A727" t="s">
        <v>549</v>
      </c>
      <c r="B727" t="s">
        <v>46</v>
      </c>
      <c r="C727">
        <v>1</v>
      </c>
      <c r="D727">
        <v>89</v>
      </c>
      <c r="E727">
        <v>86.6</v>
      </c>
      <c r="G727">
        <v>88.8</v>
      </c>
      <c r="H727">
        <v>82.3</v>
      </c>
      <c r="N727">
        <v>9895</v>
      </c>
    </row>
    <row r="728" spans="1:14" x14ac:dyDescent="0.3">
      <c r="A728" t="s">
        <v>293</v>
      </c>
      <c r="B728" t="s">
        <v>98</v>
      </c>
      <c r="C728">
        <v>56</v>
      </c>
      <c r="D728">
        <v>89</v>
      </c>
      <c r="G728">
        <v>89.5</v>
      </c>
      <c r="H728">
        <v>82</v>
      </c>
      <c r="I728">
        <v>81</v>
      </c>
      <c r="N728">
        <v>3237</v>
      </c>
    </row>
    <row r="729" spans="1:14" x14ac:dyDescent="0.3">
      <c r="A729" t="s">
        <v>548</v>
      </c>
      <c r="B729" t="s">
        <v>38</v>
      </c>
      <c r="C729">
        <v>40.1</v>
      </c>
      <c r="D729">
        <v>89</v>
      </c>
      <c r="G729">
        <v>88.8</v>
      </c>
      <c r="H729">
        <v>83.7</v>
      </c>
      <c r="I729">
        <v>77.900000000000006</v>
      </c>
      <c r="J729">
        <v>75.2</v>
      </c>
      <c r="N729">
        <v>14272</v>
      </c>
    </row>
    <row r="730" spans="1:14" x14ac:dyDescent="0.3">
      <c r="A730" t="s">
        <v>547</v>
      </c>
      <c r="B730" t="s">
        <v>58</v>
      </c>
      <c r="C730">
        <v>8.1999999999999993</v>
      </c>
      <c r="D730">
        <v>89</v>
      </c>
      <c r="H730">
        <v>84.6</v>
      </c>
      <c r="I730">
        <v>78.599999999999994</v>
      </c>
      <c r="J730">
        <v>90.2</v>
      </c>
      <c r="N730">
        <v>17811</v>
      </c>
    </row>
    <row r="731" spans="1:14" x14ac:dyDescent="0.3">
      <c r="A731" t="s">
        <v>546</v>
      </c>
      <c r="B731" t="s">
        <v>75</v>
      </c>
      <c r="C731">
        <v>32.1</v>
      </c>
      <c r="D731">
        <v>89</v>
      </c>
      <c r="H731">
        <v>83.1</v>
      </c>
      <c r="J731">
        <v>72.400000000000006</v>
      </c>
      <c r="N731">
        <v>7841</v>
      </c>
    </row>
    <row r="732" spans="1:14" x14ac:dyDescent="0.3">
      <c r="A732" t="s">
        <v>545</v>
      </c>
      <c r="B732" t="s">
        <v>56</v>
      </c>
      <c r="C732">
        <v>29.2</v>
      </c>
      <c r="D732">
        <v>88.9</v>
      </c>
      <c r="G732">
        <v>89.5</v>
      </c>
      <c r="H732">
        <v>82.7</v>
      </c>
      <c r="I732">
        <v>79.099999999999994</v>
      </c>
      <c r="N732">
        <v>7385</v>
      </c>
    </row>
    <row r="733" spans="1:14" x14ac:dyDescent="0.3">
      <c r="A733" t="s">
        <v>230</v>
      </c>
      <c r="B733" t="s">
        <v>48</v>
      </c>
      <c r="C733">
        <v>197</v>
      </c>
      <c r="D733">
        <v>88.9</v>
      </c>
      <c r="E733">
        <v>86.9</v>
      </c>
      <c r="G733">
        <v>88.5</v>
      </c>
      <c r="H733">
        <v>84.3</v>
      </c>
      <c r="I733">
        <v>80.3</v>
      </c>
      <c r="J733">
        <v>79.400000000000006</v>
      </c>
      <c r="N733">
        <v>10130</v>
      </c>
    </row>
    <row r="734" spans="1:14" x14ac:dyDescent="0.3">
      <c r="A734" t="s">
        <v>332</v>
      </c>
      <c r="B734" t="s">
        <v>146</v>
      </c>
      <c r="C734">
        <v>55.1</v>
      </c>
      <c r="D734">
        <v>88.9</v>
      </c>
      <c r="E734">
        <v>87.8</v>
      </c>
      <c r="G734">
        <v>89.4</v>
      </c>
      <c r="H734">
        <v>81.7</v>
      </c>
      <c r="I734">
        <v>79.900000000000006</v>
      </c>
      <c r="N734">
        <v>7803</v>
      </c>
    </row>
    <row r="735" spans="1:14" x14ac:dyDescent="0.3">
      <c r="A735" t="s">
        <v>544</v>
      </c>
      <c r="B735" t="s">
        <v>38</v>
      </c>
      <c r="C735">
        <v>40.200000000000003</v>
      </c>
      <c r="D735">
        <v>88.8</v>
      </c>
      <c r="E735">
        <v>86.5</v>
      </c>
      <c r="G735">
        <v>89.5</v>
      </c>
      <c r="H735">
        <v>81.8</v>
      </c>
      <c r="I735">
        <v>78.599999999999994</v>
      </c>
      <c r="J735">
        <v>76.599999999999994</v>
      </c>
      <c r="N735">
        <v>10160</v>
      </c>
    </row>
    <row r="736" spans="1:14" x14ac:dyDescent="0.3">
      <c r="A736" t="s">
        <v>543</v>
      </c>
      <c r="B736" t="s">
        <v>95</v>
      </c>
      <c r="C736">
        <v>1</v>
      </c>
      <c r="D736">
        <v>88.7</v>
      </c>
      <c r="J736">
        <v>70.5</v>
      </c>
      <c r="N736">
        <v>11270</v>
      </c>
    </row>
    <row r="737" spans="1:14" x14ac:dyDescent="0.3">
      <c r="A737" t="s">
        <v>542</v>
      </c>
      <c r="B737" t="s">
        <v>159</v>
      </c>
      <c r="C737">
        <v>44.1</v>
      </c>
      <c r="D737">
        <v>88.7</v>
      </c>
      <c r="E737">
        <v>86.4</v>
      </c>
      <c r="G737">
        <v>87.6</v>
      </c>
      <c r="H737">
        <v>79.599999999999994</v>
      </c>
      <c r="I737">
        <v>80.099999999999994</v>
      </c>
      <c r="J737">
        <v>76.900000000000006</v>
      </c>
      <c r="N737">
        <v>6499</v>
      </c>
    </row>
    <row r="738" spans="1:14" x14ac:dyDescent="0.3">
      <c r="A738" t="s">
        <v>387</v>
      </c>
      <c r="B738" t="s">
        <v>26</v>
      </c>
      <c r="C738">
        <v>57</v>
      </c>
      <c r="D738">
        <v>88.6</v>
      </c>
      <c r="G738">
        <v>89</v>
      </c>
      <c r="H738">
        <v>79.3</v>
      </c>
      <c r="I738">
        <v>80.599999999999994</v>
      </c>
      <c r="J738">
        <v>71.2</v>
      </c>
      <c r="N738">
        <v>20395</v>
      </c>
    </row>
    <row r="739" spans="1:14" x14ac:dyDescent="0.3">
      <c r="A739" t="s">
        <v>213</v>
      </c>
      <c r="B739" t="s">
        <v>32</v>
      </c>
      <c r="C739">
        <v>141.19999999999999</v>
      </c>
      <c r="D739">
        <v>88.4</v>
      </c>
      <c r="E739">
        <v>84.3</v>
      </c>
      <c r="H739">
        <v>79.8</v>
      </c>
      <c r="I739">
        <v>73.099999999999994</v>
      </c>
      <c r="N739">
        <v>16502</v>
      </c>
    </row>
    <row r="740" spans="1:14" x14ac:dyDescent="0.3">
      <c r="A740" t="s">
        <v>541</v>
      </c>
      <c r="B740" t="s">
        <v>89</v>
      </c>
      <c r="C740">
        <v>23.1</v>
      </c>
      <c r="D740">
        <v>88.3</v>
      </c>
      <c r="G740">
        <v>89.4</v>
      </c>
      <c r="H740">
        <v>81</v>
      </c>
      <c r="I740">
        <v>80.5</v>
      </c>
      <c r="J740">
        <v>74.400000000000006</v>
      </c>
      <c r="N740">
        <v>3840</v>
      </c>
    </row>
    <row r="741" spans="1:14" x14ac:dyDescent="0.3">
      <c r="A741" t="s">
        <v>540</v>
      </c>
      <c r="B741" t="s">
        <v>193</v>
      </c>
      <c r="C741">
        <v>3</v>
      </c>
      <c r="D741">
        <v>88.1</v>
      </c>
      <c r="I741">
        <v>80.7</v>
      </c>
      <c r="N741">
        <v>13499</v>
      </c>
    </row>
    <row r="742" spans="1:14" x14ac:dyDescent="0.3">
      <c r="A742" t="s">
        <v>539</v>
      </c>
      <c r="B742" t="s">
        <v>34</v>
      </c>
      <c r="C742">
        <v>23.2</v>
      </c>
      <c r="D742">
        <v>88</v>
      </c>
      <c r="E742">
        <v>84.4</v>
      </c>
      <c r="H742">
        <v>76.5</v>
      </c>
      <c r="J742">
        <v>75.900000000000006</v>
      </c>
      <c r="N742">
        <v>1118</v>
      </c>
    </row>
    <row r="743" spans="1:14" x14ac:dyDescent="0.3">
      <c r="A743" t="s">
        <v>538</v>
      </c>
      <c r="B743" t="s">
        <v>56</v>
      </c>
      <c r="C743">
        <v>30.2</v>
      </c>
      <c r="D743">
        <v>87.8</v>
      </c>
      <c r="E743">
        <v>87.3</v>
      </c>
      <c r="G743">
        <v>86.5</v>
      </c>
      <c r="H743">
        <v>81.7</v>
      </c>
      <c r="J743">
        <v>73.599999999999994</v>
      </c>
      <c r="N743">
        <v>14741</v>
      </c>
    </row>
    <row r="744" spans="1:14" x14ac:dyDescent="0.3">
      <c r="A744" t="s">
        <v>537</v>
      </c>
      <c r="B744" t="s">
        <v>98</v>
      </c>
      <c r="C744">
        <v>7.1</v>
      </c>
      <c r="D744">
        <v>87.7</v>
      </c>
      <c r="H744">
        <v>83.8</v>
      </c>
      <c r="I744">
        <v>79.099999999999994</v>
      </c>
      <c r="J744">
        <v>72.900000000000006</v>
      </c>
      <c r="N744">
        <v>13042</v>
      </c>
    </row>
    <row r="745" spans="1:14" x14ac:dyDescent="0.3">
      <c r="A745" t="s">
        <v>536</v>
      </c>
      <c r="B745" t="s">
        <v>71</v>
      </c>
      <c r="C745">
        <v>18.100000000000001</v>
      </c>
      <c r="D745">
        <v>87.7</v>
      </c>
      <c r="G745">
        <v>87.8</v>
      </c>
      <c r="H745">
        <v>80.7</v>
      </c>
      <c r="I745">
        <v>74.099999999999994</v>
      </c>
      <c r="N745">
        <v>13942</v>
      </c>
    </row>
    <row r="746" spans="1:14" x14ac:dyDescent="0.3">
      <c r="A746" t="s">
        <v>205</v>
      </c>
      <c r="B746" t="s">
        <v>71</v>
      </c>
      <c r="C746">
        <v>62</v>
      </c>
      <c r="D746">
        <v>87.5</v>
      </c>
      <c r="G746">
        <v>85.9</v>
      </c>
      <c r="H746">
        <v>73.599999999999994</v>
      </c>
      <c r="I746">
        <v>76.7</v>
      </c>
      <c r="N746">
        <v>12890</v>
      </c>
    </row>
    <row r="747" spans="1:14" x14ac:dyDescent="0.3">
      <c r="A747" t="s">
        <v>288</v>
      </c>
      <c r="B747" t="s">
        <v>193</v>
      </c>
      <c r="C747">
        <v>111.2</v>
      </c>
      <c r="D747">
        <v>87.3</v>
      </c>
      <c r="F747">
        <v>89.1</v>
      </c>
      <c r="H747">
        <v>79.599999999999994</v>
      </c>
      <c r="I747">
        <v>78.099999999999994</v>
      </c>
      <c r="J747">
        <v>75.7</v>
      </c>
      <c r="N747">
        <v>7608</v>
      </c>
    </row>
    <row r="748" spans="1:14" x14ac:dyDescent="0.3">
      <c r="A748" t="s">
        <v>131</v>
      </c>
      <c r="B748" t="s">
        <v>77</v>
      </c>
      <c r="C748">
        <v>177</v>
      </c>
      <c r="D748">
        <v>87.3</v>
      </c>
      <c r="G748">
        <v>86.9</v>
      </c>
      <c r="H748">
        <v>78.8</v>
      </c>
      <c r="J748">
        <v>71.5</v>
      </c>
      <c r="N748">
        <v>12049</v>
      </c>
    </row>
    <row r="749" spans="1:14" x14ac:dyDescent="0.3">
      <c r="A749" t="s">
        <v>535</v>
      </c>
      <c r="B749" t="s">
        <v>75</v>
      </c>
      <c r="C749">
        <v>5.0999999999999996</v>
      </c>
      <c r="D749">
        <v>86.9</v>
      </c>
      <c r="G749">
        <v>86.3</v>
      </c>
      <c r="I749">
        <v>79</v>
      </c>
      <c r="N749">
        <v>3321</v>
      </c>
    </row>
    <row r="750" spans="1:14" x14ac:dyDescent="0.3">
      <c r="A750" t="s">
        <v>140</v>
      </c>
      <c r="B750" t="s">
        <v>71</v>
      </c>
      <c r="C750">
        <v>159.19999999999999</v>
      </c>
      <c r="D750">
        <v>86.9</v>
      </c>
      <c r="E750">
        <v>87.2</v>
      </c>
      <c r="G750">
        <v>88.6</v>
      </c>
      <c r="H750">
        <v>80.2</v>
      </c>
      <c r="I750">
        <v>81</v>
      </c>
      <c r="J750">
        <v>75.900000000000006</v>
      </c>
      <c r="N750">
        <v>13183</v>
      </c>
    </row>
    <row r="751" spans="1:14" x14ac:dyDescent="0.3">
      <c r="A751" t="s">
        <v>534</v>
      </c>
      <c r="B751" t="s">
        <v>56</v>
      </c>
      <c r="C751">
        <v>4</v>
      </c>
      <c r="D751">
        <v>86.8</v>
      </c>
      <c r="H751">
        <v>79.5</v>
      </c>
      <c r="I751">
        <v>78.7</v>
      </c>
      <c r="J751">
        <v>70.900000000000006</v>
      </c>
      <c r="N751">
        <v>5867</v>
      </c>
    </row>
    <row r="752" spans="1:14" x14ac:dyDescent="0.3">
      <c r="A752" t="s">
        <v>533</v>
      </c>
      <c r="B752" t="s">
        <v>53</v>
      </c>
      <c r="C752">
        <v>4</v>
      </c>
      <c r="D752">
        <v>86.8</v>
      </c>
      <c r="H752">
        <v>85.4</v>
      </c>
      <c r="J752">
        <v>73.3</v>
      </c>
      <c r="N752">
        <v>4616</v>
      </c>
    </row>
    <row r="753" spans="1:14" x14ac:dyDescent="0.3">
      <c r="A753" t="s">
        <v>130</v>
      </c>
      <c r="B753" t="s">
        <v>48</v>
      </c>
      <c r="C753">
        <v>60.1</v>
      </c>
      <c r="D753">
        <v>86.7</v>
      </c>
      <c r="G753">
        <v>86.4</v>
      </c>
      <c r="H753">
        <v>80.400000000000006</v>
      </c>
      <c r="I753">
        <v>77.599999999999994</v>
      </c>
      <c r="N753">
        <v>9817</v>
      </c>
    </row>
    <row r="754" spans="1:14" x14ac:dyDescent="0.3">
      <c r="A754" t="s">
        <v>532</v>
      </c>
      <c r="B754" t="s">
        <v>50</v>
      </c>
      <c r="C754">
        <v>5.2</v>
      </c>
      <c r="D754">
        <v>86.7</v>
      </c>
      <c r="G754">
        <v>87.3</v>
      </c>
      <c r="H754">
        <v>83</v>
      </c>
      <c r="I754">
        <v>79</v>
      </c>
      <c r="N754">
        <v>4090</v>
      </c>
    </row>
    <row r="755" spans="1:14" x14ac:dyDescent="0.3">
      <c r="A755" t="s">
        <v>355</v>
      </c>
      <c r="B755" t="s">
        <v>193</v>
      </c>
      <c r="C755">
        <v>121.1</v>
      </c>
      <c r="D755">
        <v>86.7</v>
      </c>
      <c r="E755">
        <v>84.4</v>
      </c>
      <c r="G755">
        <v>86.4</v>
      </c>
      <c r="H755">
        <v>78.900000000000006</v>
      </c>
      <c r="I755">
        <v>74.400000000000006</v>
      </c>
      <c r="J755">
        <v>72.7</v>
      </c>
      <c r="N755">
        <v>5221</v>
      </c>
    </row>
    <row r="756" spans="1:14" x14ac:dyDescent="0.3">
      <c r="A756" t="s">
        <v>531</v>
      </c>
      <c r="B756" t="s">
        <v>43</v>
      </c>
      <c r="C756">
        <v>1</v>
      </c>
      <c r="D756">
        <v>86.4</v>
      </c>
      <c r="H756">
        <v>78.7</v>
      </c>
      <c r="N756">
        <v>16246</v>
      </c>
    </row>
    <row r="757" spans="1:14" x14ac:dyDescent="0.3">
      <c r="A757" t="s">
        <v>530</v>
      </c>
      <c r="B757" t="s">
        <v>95</v>
      </c>
      <c r="C757">
        <v>1.1000000000000001</v>
      </c>
      <c r="D757">
        <v>85.8</v>
      </c>
      <c r="J757">
        <v>71.7</v>
      </c>
      <c r="N757">
        <v>6589</v>
      </c>
    </row>
    <row r="758" spans="1:14" x14ac:dyDescent="0.3">
      <c r="A758" t="s">
        <v>529</v>
      </c>
      <c r="B758" t="s">
        <v>146</v>
      </c>
      <c r="C758">
        <v>36</v>
      </c>
      <c r="D758">
        <v>85.8</v>
      </c>
      <c r="G758">
        <v>85.9</v>
      </c>
      <c r="H758">
        <v>79</v>
      </c>
      <c r="I758">
        <v>81.099999999999994</v>
      </c>
      <c r="J758">
        <v>76.400000000000006</v>
      </c>
      <c r="N758">
        <v>18361</v>
      </c>
    </row>
    <row r="759" spans="1:14" x14ac:dyDescent="0.3">
      <c r="A759" t="s">
        <v>528</v>
      </c>
      <c r="B759" t="s">
        <v>36</v>
      </c>
      <c r="C759">
        <v>5.2</v>
      </c>
      <c r="D759">
        <v>85.7</v>
      </c>
      <c r="H759">
        <v>76.7</v>
      </c>
      <c r="J759">
        <v>72</v>
      </c>
      <c r="L759">
        <v>74.8</v>
      </c>
      <c r="N759">
        <v>6336</v>
      </c>
    </row>
    <row r="760" spans="1:14" x14ac:dyDescent="0.3">
      <c r="A760" t="s">
        <v>527</v>
      </c>
      <c r="B760" t="s">
        <v>83</v>
      </c>
      <c r="C760">
        <v>3.1</v>
      </c>
      <c r="D760">
        <v>85.3</v>
      </c>
      <c r="H760">
        <v>77.900000000000006</v>
      </c>
      <c r="J760">
        <v>72.400000000000006</v>
      </c>
      <c r="N760">
        <v>7108</v>
      </c>
    </row>
    <row r="761" spans="1:14" x14ac:dyDescent="0.3">
      <c r="A761" t="s">
        <v>367</v>
      </c>
      <c r="B761" t="s">
        <v>48</v>
      </c>
      <c r="C761">
        <v>92</v>
      </c>
      <c r="D761">
        <v>85.1</v>
      </c>
      <c r="E761">
        <v>88.8</v>
      </c>
      <c r="G761">
        <v>90.2</v>
      </c>
      <c r="H761">
        <v>83.6</v>
      </c>
      <c r="J761">
        <v>82</v>
      </c>
      <c r="N761">
        <v>14862</v>
      </c>
    </row>
    <row r="762" spans="1:14" x14ac:dyDescent="0.3">
      <c r="A762" t="s">
        <v>526</v>
      </c>
      <c r="B762" t="s">
        <v>46</v>
      </c>
      <c r="C762">
        <v>1</v>
      </c>
      <c r="D762">
        <v>84.9</v>
      </c>
      <c r="N762">
        <v>6885</v>
      </c>
    </row>
    <row r="763" spans="1:14" x14ac:dyDescent="0.3">
      <c r="A763" t="s">
        <v>525</v>
      </c>
      <c r="B763" t="s">
        <v>102</v>
      </c>
      <c r="C763">
        <v>6.1</v>
      </c>
      <c r="D763">
        <v>84.6</v>
      </c>
      <c r="G763">
        <v>85</v>
      </c>
      <c r="I763">
        <v>72.2</v>
      </c>
      <c r="N763">
        <v>9646</v>
      </c>
    </row>
    <row r="764" spans="1:14" x14ac:dyDescent="0.3">
      <c r="A764" t="s">
        <v>255</v>
      </c>
      <c r="B764" t="s">
        <v>48</v>
      </c>
      <c r="C764">
        <v>149.19999999999999</v>
      </c>
      <c r="D764">
        <v>84.5</v>
      </c>
      <c r="G764">
        <v>84.3</v>
      </c>
      <c r="H764">
        <v>78.900000000000006</v>
      </c>
      <c r="J764">
        <v>70.7</v>
      </c>
      <c r="N764">
        <v>8044</v>
      </c>
    </row>
    <row r="765" spans="1:14" x14ac:dyDescent="0.3">
      <c r="A765" t="s">
        <v>524</v>
      </c>
      <c r="B765" t="s">
        <v>146</v>
      </c>
      <c r="C765">
        <v>1</v>
      </c>
      <c r="D765">
        <v>84.4</v>
      </c>
      <c r="H765">
        <v>77.3</v>
      </c>
      <c r="N765">
        <v>9272</v>
      </c>
    </row>
    <row r="766" spans="1:14" x14ac:dyDescent="0.3">
      <c r="A766" t="s">
        <v>523</v>
      </c>
      <c r="B766" t="s">
        <v>34</v>
      </c>
      <c r="C766">
        <v>1</v>
      </c>
      <c r="D766">
        <v>83.6</v>
      </c>
      <c r="H766">
        <v>68.8</v>
      </c>
      <c r="N766">
        <v>8610</v>
      </c>
    </row>
    <row r="767" spans="1:14" x14ac:dyDescent="0.3">
      <c r="A767" t="s">
        <v>522</v>
      </c>
      <c r="B767" t="s">
        <v>38</v>
      </c>
      <c r="C767">
        <v>6.1</v>
      </c>
      <c r="D767">
        <v>83.1</v>
      </c>
      <c r="G767">
        <v>82.6</v>
      </c>
      <c r="L767">
        <v>74.400000000000006</v>
      </c>
      <c r="N767">
        <v>8185</v>
      </c>
    </row>
    <row r="768" spans="1:14" x14ac:dyDescent="0.3">
      <c r="A768" t="s">
        <v>521</v>
      </c>
      <c r="B768" t="s">
        <v>38</v>
      </c>
      <c r="C768">
        <v>1</v>
      </c>
      <c r="D768">
        <v>82.8</v>
      </c>
      <c r="H768">
        <v>64.3</v>
      </c>
      <c r="J768">
        <v>63</v>
      </c>
      <c r="N768">
        <v>6848</v>
      </c>
    </row>
    <row r="769" spans="1:14" x14ac:dyDescent="0.3">
      <c r="A769" t="s">
        <v>520</v>
      </c>
      <c r="B769" t="s">
        <v>36</v>
      </c>
      <c r="C769">
        <v>1</v>
      </c>
      <c r="D769">
        <v>82.7</v>
      </c>
      <c r="N769">
        <v>16411</v>
      </c>
    </row>
    <row r="770" spans="1:14" x14ac:dyDescent="0.3">
      <c r="A770" t="s">
        <v>519</v>
      </c>
      <c r="B770" t="s">
        <v>26</v>
      </c>
      <c r="C770">
        <v>2</v>
      </c>
      <c r="D770">
        <v>82.5</v>
      </c>
      <c r="J770">
        <v>69.099999999999994</v>
      </c>
      <c r="N770">
        <v>17982</v>
      </c>
    </row>
    <row r="771" spans="1:14" x14ac:dyDescent="0.3">
      <c r="A771" t="s">
        <v>518</v>
      </c>
      <c r="B771" t="s">
        <v>83</v>
      </c>
      <c r="C771">
        <v>1</v>
      </c>
      <c r="D771">
        <v>82.4</v>
      </c>
      <c r="H771">
        <v>72.599999999999994</v>
      </c>
      <c r="J771">
        <v>70.3</v>
      </c>
      <c r="N771">
        <v>5409</v>
      </c>
    </row>
    <row r="772" spans="1:14" x14ac:dyDescent="0.3">
      <c r="A772" t="s">
        <v>245</v>
      </c>
      <c r="B772" t="s">
        <v>56</v>
      </c>
      <c r="C772">
        <v>56.2</v>
      </c>
      <c r="D772">
        <v>82.2</v>
      </c>
      <c r="G772">
        <v>85.5</v>
      </c>
      <c r="I772">
        <v>75.7</v>
      </c>
      <c r="N772">
        <v>15288</v>
      </c>
    </row>
    <row r="773" spans="1:14" x14ac:dyDescent="0.3">
      <c r="A773" t="s">
        <v>224</v>
      </c>
      <c r="B773" t="s">
        <v>58</v>
      </c>
      <c r="C773">
        <v>160.1</v>
      </c>
      <c r="D773">
        <v>81.2</v>
      </c>
      <c r="G773">
        <v>93.6</v>
      </c>
      <c r="H773">
        <v>84.5</v>
      </c>
      <c r="I773">
        <v>89.7</v>
      </c>
      <c r="J773">
        <v>78.7</v>
      </c>
      <c r="N773">
        <v>13361</v>
      </c>
    </row>
    <row r="774" spans="1:14" x14ac:dyDescent="0.3">
      <c r="A774" t="s">
        <v>517</v>
      </c>
      <c r="B774" t="s">
        <v>77</v>
      </c>
      <c r="C774">
        <v>1</v>
      </c>
      <c r="D774">
        <v>80.7</v>
      </c>
      <c r="G774">
        <v>77</v>
      </c>
      <c r="H774">
        <v>70.2</v>
      </c>
      <c r="I774">
        <v>70.400000000000006</v>
      </c>
      <c r="J774">
        <v>64.5</v>
      </c>
      <c r="N774">
        <v>7435</v>
      </c>
    </row>
    <row r="775" spans="1:14" x14ac:dyDescent="0.3">
      <c r="A775" t="s">
        <v>516</v>
      </c>
      <c r="B775" t="s">
        <v>26</v>
      </c>
      <c r="C775">
        <v>1</v>
      </c>
      <c r="D775">
        <v>80.3</v>
      </c>
      <c r="J775">
        <v>71.8</v>
      </c>
      <c r="N775">
        <v>6195</v>
      </c>
    </row>
    <row r="776" spans="1:14" x14ac:dyDescent="0.3">
      <c r="A776" t="s">
        <v>515</v>
      </c>
      <c r="B776" t="s">
        <v>127</v>
      </c>
      <c r="C776">
        <v>1.2</v>
      </c>
      <c r="D776">
        <v>80.3</v>
      </c>
      <c r="H776">
        <v>71.7</v>
      </c>
      <c r="J776">
        <v>69.5</v>
      </c>
      <c r="N776">
        <v>13595</v>
      </c>
    </row>
    <row r="777" spans="1:14" x14ac:dyDescent="0.3">
      <c r="A777" t="s">
        <v>514</v>
      </c>
      <c r="B777" t="s">
        <v>127</v>
      </c>
      <c r="C777">
        <v>2.1</v>
      </c>
      <c r="D777">
        <v>79.599999999999994</v>
      </c>
      <c r="H777">
        <v>68.7</v>
      </c>
      <c r="J777">
        <v>71.400000000000006</v>
      </c>
      <c r="N777">
        <v>5209</v>
      </c>
    </row>
    <row r="778" spans="1:14" x14ac:dyDescent="0.3">
      <c r="A778" t="s">
        <v>513</v>
      </c>
      <c r="B778" t="s">
        <v>40</v>
      </c>
      <c r="C778">
        <v>2</v>
      </c>
      <c r="D778">
        <v>79.400000000000006</v>
      </c>
      <c r="J778">
        <v>64</v>
      </c>
      <c r="N778">
        <v>15585</v>
      </c>
    </row>
    <row r="779" spans="1:14" x14ac:dyDescent="0.3">
      <c r="A779" t="s">
        <v>512</v>
      </c>
      <c r="B779" t="s">
        <v>95</v>
      </c>
      <c r="C779">
        <v>3.1</v>
      </c>
      <c r="D779">
        <v>79.2</v>
      </c>
      <c r="N779">
        <v>13546</v>
      </c>
    </row>
    <row r="780" spans="1:14" x14ac:dyDescent="0.3">
      <c r="A780" t="s">
        <v>511</v>
      </c>
      <c r="B780" t="s">
        <v>32</v>
      </c>
      <c r="C780">
        <v>1</v>
      </c>
      <c r="D780">
        <v>78.8</v>
      </c>
      <c r="N780">
        <v>14145</v>
      </c>
    </row>
    <row r="781" spans="1:14" x14ac:dyDescent="0.3">
      <c r="A781" t="s">
        <v>510</v>
      </c>
      <c r="B781" t="s">
        <v>77</v>
      </c>
      <c r="C781">
        <v>1</v>
      </c>
      <c r="D781">
        <v>78.8</v>
      </c>
      <c r="J781">
        <v>68.3</v>
      </c>
      <c r="N781">
        <v>8392</v>
      </c>
    </row>
    <row r="782" spans="1:14" x14ac:dyDescent="0.3">
      <c r="A782" t="s">
        <v>509</v>
      </c>
      <c r="B782" t="s">
        <v>46</v>
      </c>
      <c r="C782">
        <v>1</v>
      </c>
      <c r="D782">
        <v>78.8</v>
      </c>
      <c r="H782">
        <v>72.2</v>
      </c>
      <c r="J782">
        <v>66.900000000000006</v>
      </c>
      <c r="N782">
        <v>7619</v>
      </c>
    </row>
    <row r="783" spans="1:14" x14ac:dyDescent="0.3">
      <c r="A783" t="s">
        <v>508</v>
      </c>
      <c r="B783" t="s">
        <v>28</v>
      </c>
      <c r="C783">
        <v>3.1</v>
      </c>
      <c r="D783">
        <v>78.7</v>
      </c>
      <c r="G783">
        <v>75.400000000000006</v>
      </c>
      <c r="H783">
        <v>65.8</v>
      </c>
      <c r="I783">
        <v>66.3</v>
      </c>
      <c r="N783">
        <v>15564</v>
      </c>
    </row>
    <row r="784" spans="1:14" x14ac:dyDescent="0.3">
      <c r="A784" t="s">
        <v>507</v>
      </c>
      <c r="B784" t="s">
        <v>50</v>
      </c>
      <c r="C784">
        <v>0.1</v>
      </c>
      <c r="D784">
        <v>78.599999999999994</v>
      </c>
      <c r="H784">
        <v>68.7</v>
      </c>
      <c r="N784">
        <v>10816</v>
      </c>
    </row>
    <row r="785" spans="1:14" x14ac:dyDescent="0.3">
      <c r="A785" t="s">
        <v>506</v>
      </c>
      <c r="B785" t="s">
        <v>56</v>
      </c>
      <c r="C785">
        <v>2</v>
      </c>
      <c r="D785">
        <v>78.3</v>
      </c>
      <c r="J785">
        <v>65.8</v>
      </c>
      <c r="N785">
        <v>13807</v>
      </c>
    </row>
    <row r="786" spans="1:14" x14ac:dyDescent="0.3">
      <c r="A786" t="s">
        <v>505</v>
      </c>
      <c r="B786" t="s">
        <v>89</v>
      </c>
      <c r="C786">
        <v>1.1000000000000001</v>
      </c>
      <c r="D786">
        <v>78</v>
      </c>
      <c r="H786">
        <v>73.7</v>
      </c>
      <c r="N786">
        <v>13593</v>
      </c>
    </row>
    <row r="787" spans="1:14" x14ac:dyDescent="0.3">
      <c r="A787" t="s">
        <v>504</v>
      </c>
      <c r="B787" t="s">
        <v>30</v>
      </c>
      <c r="C787">
        <v>1</v>
      </c>
      <c r="D787">
        <v>77.7</v>
      </c>
      <c r="N787">
        <v>13723</v>
      </c>
    </row>
    <row r="788" spans="1:14" x14ac:dyDescent="0.3">
      <c r="A788" t="s">
        <v>503</v>
      </c>
      <c r="B788" t="s">
        <v>36</v>
      </c>
      <c r="C788">
        <v>2</v>
      </c>
      <c r="D788">
        <v>77.599999999999994</v>
      </c>
      <c r="L788">
        <v>63.3</v>
      </c>
      <c r="N788">
        <v>13355</v>
      </c>
    </row>
    <row r="789" spans="1:14" x14ac:dyDescent="0.3">
      <c r="A789" t="s">
        <v>502</v>
      </c>
      <c r="B789" t="s">
        <v>143</v>
      </c>
      <c r="C789">
        <v>2</v>
      </c>
      <c r="D789">
        <v>77.400000000000006</v>
      </c>
      <c r="H789">
        <v>70.3</v>
      </c>
      <c r="N789">
        <v>3448</v>
      </c>
    </row>
    <row r="790" spans="1:14" x14ac:dyDescent="0.3">
      <c r="A790" t="s">
        <v>501</v>
      </c>
      <c r="B790" t="s">
        <v>98</v>
      </c>
      <c r="C790">
        <v>1.1000000000000001</v>
      </c>
      <c r="D790">
        <v>77.099999999999994</v>
      </c>
      <c r="H790">
        <v>69</v>
      </c>
      <c r="J790">
        <v>55.4</v>
      </c>
      <c r="N790">
        <v>7087</v>
      </c>
    </row>
    <row r="791" spans="1:14" x14ac:dyDescent="0.3">
      <c r="A791" t="s">
        <v>500</v>
      </c>
      <c r="B791" t="s">
        <v>28</v>
      </c>
      <c r="C791">
        <v>0.1</v>
      </c>
      <c r="D791">
        <v>76.099999999999994</v>
      </c>
      <c r="N791">
        <v>10059</v>
      </c>
    </row>
    <row r="792" spans="1:14" x14ac:dyDescent="0.3">
      <c r="A792" t="s">
        <v>499</v>
      </c>
      <c r="B792" t="s">
        <v>32</v>
      </c>
      <c r="C792">
        <v>4</v>
      </c>
      <c r="D792">
        <v>75</v>
      </c>
      <c r="H792">
        <v>59.6</v>
      </c>
      <c r="N792">
        <v>19683</v>
      </c>
    </row>
    <row r="793" spans="1:14" x14ac:dyDescent="0.3">
      <c r="A793" t="s">
        <v>498</v>
      </c>
      <c r="B793" t="s">
        <v>40</v>
      </c>
      <c r="C793">
        <v>1</v>
      </c>
      <c r="D793">
        <v>74.5</v>
      </c>
      <c r="I793">
        <v>74.3</v>
      </c>
      <c r="N793">
        <v>5491</v>
      </c>
    </row>
    <row r="794" spans="1:14" x14ac:dyDescent="0.3">
      <c r="A794" t="s">
        <v>497</v>
      </c>
      <c r="B794" t="s">
        <v>98</v>
      </c>
      <c r="C794">
        <v>2</v>
      </c>
      <c r="D794">
        <v>73.5</v>
      </c>
      <c r="N794">
        <v>7476</v>
      </c>
    </row>
    <row r="795" spans="1:14" x14ac:dyDescent="0.3">
      <c r="A795" t="s">
        <v>496</v>
      </c>
      <c r="B795" t="s">
        <v>143</v>
      </c>
      <c r="C795">
        <v>1</v>
      </c>
      <c r="D795">
        <v>71.900000000000006</v>
      </c>
      <c r="H795">
        <v>57.4</v>
      </c>
      <c r="J795">
        <v>51.3</v>
      </c>
      <c r="N795">
        <v>8609</v>
      </c>
    </row>
    <row r="796" spans="1:14" x14ac:dyDescent="0.3">
      <c r="A796" t="s">
        <v>495</v>
      </c>
      <c r="B796" t="s">
        <v>146</v>
      </c>
      <c r="C796">
        <v>1</v>
      </c>
      <c r="D796">
        <v>71.599999999999994</v>
      </c>
      <c r="N796">
        <v>11902</v>
      </c>
    </row>
    <row r="797" spans="1:14" x14ac:dyDescent="0.3">
      <c r="A797" t="s">
        <v>494</v>
      </c>
      <c r="B797" t="s">
        <v>193</v>
      </c>
      <c r="C797">
        <v>1</v>
      </c>
      <c r="D797">
        <v>71</v>
      </c>
      <c r="I797">
        <v>67.8</v>
      </c>
      <c r="N797">
        <v>18042</v>
      </c>
    </row>
    <row r="798" spans="1:14" x14ac:dyDescent="0.3">
      <c r="A798" t="s">
        <v>493</v>
      </c>
      <c r="B798" t="s">
        <v>127</v>
      </c>
      <c r="C798">
        <v>1.2</v>
      </c>
      <c r="D798">
        <v>70.8</v>
      </c>
      <c r="J798">
        <v>60</v>
      </c>
      <c r="N798">
        <v>10030</v>
      </c>
    </row>
    <row r="799" spans="1:14" x14ac:dyDescent="0.3">
      <c r="A799" t="s">
        <v>492</v>
      </c>
      <c r="B799" t="s">
        <v>71</v>
      </c>
      <c r="C799">
        <v>3</v>
      </c>
      <c r="D799">
        <v>70.2</v>
      </c>
      <c r="I799">
        <v>60</v>
      </c>
      <c r="N799">
        <v>5751</v>
      </c>
    </row>
    <row r="800" spans="1:14" x14ac:dyDescent="0.3">
      <c r="A800" t="s">
        <v>491</v>
      </c>
      <c r="B800" t="s">
        <v>66</v>
      </c>
      <c r="C800">
        <v>1</v>
      </c>
      <c r="D800">
        <v>69.400000000000006</v>
      </c>
      <c r="J800">
        <v>61.6</v>
      </c>
      <c r="N800">
        <v>8418</v>
      </c>
    </row>
    <row r="801" spans="1:14" x14ac:dyDescent="0.3">
      <c r="A801" t="s">
        <v>490</v>
      </c>
      <c r="B801" t="s">
        <v>93</v>
      </c>
      <c r="C801">
        <v>1</v>
      </c>
      <c r="D801">
        <v>68.8</v>
      </c>
      <c r="N801">
        <v>9810</v>
      </c>
    </row>
    <row r="802" spans="1:14" x14ac:dyDescent="0.3">
      <c r="A802" t="s">
        <v>489</v>
      </c>
      <c r="B802" t="s">
        <v>34</v>
      </c>
      <c r="C802">
        <v>1</v>
      </c>
      <c r="D802">
        <v>68</v>
      </c>
      <c r="N802">
        <v>12005</v>
      </c>
    </row>
    <row r="803" spans="1:14" x14ac:dyDescent="0.3">
      <c r="A803" t="s">
        <v>488</v>
      </c>
      <c r="B803" t="s">
        <v>77</v>
      </c>
      <c r="C803">
        <v>2</v>
      </c>
      <c r="D803">
        <v>66.3</v>
      </c>
      <c r="N803">
        <v>14968</v>
      </c>
    </row>
    <row r="804" spans="1:14" x14ac:dyDescent="0.3">
      <c r="A804" t="s">
        <v>487</v>
      </c>
      <c r="B804" t="s">
        <v>146</v>
      </c>
      <c r="C804">
        <v>1</v>
      </c>
      <c r="D804">
        <v>65.099999999999994</v>
      </c>
      <c r="J804">
        <v>54.1</v>
      </c>
      <c r="N804">
        <v>5942</v>
      </c>
    </row>
    <row r="805" spans="1:14" x14ac:dyDescent="0.3">
      <c r="A805" t="s">
        <v>486</v>
      </c>
      <c r="B805" t="s">
        <v>56</v>
      </c>
      <c r="C805">
        <v>2</v>
      </c>
      <c r="D805">
        <v>64</v>
      </c>
      <c r="J805">
        <v>55.6</v>
      </c>
      <c r="N805">
        <v>11241</v>
      </c>
    </row>
    <row r="806" spans="1:14" x14ac:dyDescent="0.3">
      <c r="A806" t="s">
        <v>485</v>
      </c>
      <c r="B806" t="s">
        <v>159</v>
      </c>
      <c r="C806">
        <v>2</v>
      </c>
      <c r="D806">
        <v>63.5</v>
      </c>
      <c r="N806">
        <v>15214</v>
      </c>
    </row>
    <row r="807" spans="1:14" x14ac:dyDescent="0.3">
      <c r="A807" t="s">
        <v>484</v>
      </c>
      <c r="B807" t="s">
        <v>98</v>
      </c>
      <c r="C807">
        <v>3</v>
      </c>
      <c r="D807">
        <v>61.4</v>
      </c>
      <c r="N807">
        <v>10346</v>
      </c>
    </row>
    <row r="808" spans="1:14" x14ac:dyDescent="0.3">
      <c r="A808" t="s">
        <v>483</v>
      </c>
      <c r="B808" t="s">
        <v>77</v>
      </c>
      <c r="C808">
        <v>1</v>
      </c>
      <c r="D808">
        <v>59.6</v>
      </c>
      <c r="N808">
        <v>12782</v>
      </c>
    </row>
    <row r="809" spans="1:14" x14ac:dyDescent="0.3">
      <c r="A809" t="s">
        <v>482</v>
      </c>
      <c r="B809" t="s">
        <v>146</v>
      </c>
      <c r="C809">
        <v>5.0999999999999996</v>
      </c>
      <c r="D809">
        <v>57.9</v>
      </c>
      <c r="N809">
        <v>16041</v>
      </c>
    </row>
    <row r="810" spans="1:14" x14ac:dyDescent="0.3">
      <c r="A810" t="s">
        <v>481</v>
      </c>
      <c r="B810" t="s">
        <v>43</v>
      </c>
      <c r="C810">
        <v>1</v>
      </c>
      <c r="D810">
        <v>55</v>
      </c>
      <c r="N810">
        <v>14140</v>
      </c>
    </row>
    <row r="811" spans="1:14" x14ac:dyDescent="0.3">
      <c r="A811" t="s">
        <v>480</v>
      </c>
      <c r="B811" t="s">
        <v>77</v>
      </c>
      <c r="C811">
        <v>2</v>
      </c>
      <c r="E811">
        <v>86</v>
      </c>
      <c r="J811">
        <v>77.7</v>
      </c>
      <c r="N811">
        <v>36</v>
      </c>
    </row>
    <row r="812" spans="1:14" x14ac:dyDescent="0.3">
      <c r="A812" t="s">
        <v>155</v>
      </c>
      <c r="B812" t="s">
        <v>53</v>
      </c>
      <c r="C812">
        <v>63</v>
      </c>
      <c r="E812">
        <v>92.1</v>
      </c>
      <c r="G812">
        <v>93.5</v>
      </c>
      <c r="I812">
        <v>82</v>
      </c>
      <c r="N812">
        <v>3096</v>
      </c>
    </row>
    <row r="813" spans="1:14" x14ac:dyDescent="0.3">
      <c r="A813" t="s">
        <v>27</v>
      </c>
      <c r="B813" t="s">
        <v>28</v>
      </c>
      <c r="C813">
        <v>60</v>
      </c>
      <c r="E813">
        <v>91.5</v>
      </c>
      <c r="J813">
        <v>81.5</v>
      </c>
      <c r="N813">
        <v>3192</v>
      </c>
    </row>
    <row r="814" spans="1:14" x14ac:dyDescent="0.3">
      <c r="A814" t="s">
        <v>479</v>
      </c>
      <c r="B814" t="s">
        <v>95</v>
      </c>
      <c r="C814">
        <v>18</v>
      </c>
      <c r="G814">
        <v>88.9</v>
      </c>
      <c r="H814">
        <v>63.6</v>
      </c>
      <c r="I814">
        <v>82</v>
      </c>
      <c r="N814">
        <v>4682</v>
      </c>
    </row>
    <row r="815" spans="1:14" x14ac:dyDescent="0.3">
      <c r="A815" t="s">
        <v>334</v>
      </c>
      <c r="B815" t="s">
        <v>46</v>
      </c>
      <c r="C815">
        <v>72</v>
      </c>
      <c r="E815">
        <v>92.5</v>
      </c>
      <c r="G815">
        <v>87.9</v>
      </c>
      <c r="H815">
        <v>84</v>
      </c>
      <c r="I815">
        <v>82</v>
      </c>
      <c r="N815">
        <v>8110</v>
      </c>
    </row>
    <row r="816" spans="1:14" x14ac:dyDescent="0.3">
      <c r="A816" t="s">
        <v>478</v>
      </c>
      <c r="B816" t="s">
        <v>95</v>
      </c>
      <c r="C816">
        <v>6.2</v>
      </c>
      <c r="E816">
        <v>92.2</v>
      </c>
      <c r="G816">
        <v>92.7</v>
      </c>
      <c r="I816">
        <v>87.3</v>
      </c>
      <c r="J816">
        <v>83.2</v>
      </c>
      <c r="N816">
        <v>8241</v>
      </c>
    </row>
    <row r="817" spans="1:14" x14ac:dyDescent="0.3">
      <c r="A817" t="s">
        <v>477</v>
      </c>
      <c r="B817" t="s">
        <v>26</v>
      </c>
      <c r="C817">
        <v>3.1</v>
      </c>
      <c r="E817">
        <v>84.9</v>
      </c>
      <c r="G817">
        <v>92.2</v>
      </c>
      <c r="H817">
        <v>79.599999999999994</v>
      </c>
      <c r="J817">
        <v>77.599999999999994</v>
      </c>
      <c r="N817">
        <v>10343</v>
      </c>
    </row>
    <row r="818" spans="1:14" x14ac:dyDescent="0.3">
      <c r="A818" t="s">
        <v>476</v>
      </c>
      <c r="B818" t="s">
        <v>102</v>
      </c>
      <c r="C818">
        <v>0.1</v>
      </c>
      <c r="J818">
        <v>63.7</v>
      </c>
      <c r="N818">
        <v>11287</v>
      </c>
    </row>
    <row r="819" spans="1:14" x14ac:dyDescent="0.3">
      <c r="A819" t="s">
        <v>475</v>
      </c>
      <c r="B819" t="s">
        <v>193</v>
      </c>
      <c r="C819">
        <v>9.1999999999999993</v>
      </c>
      <c r="E819">
        <v>90.9</v>
      </c>
      <c r="F819">
        <v>81.7</v>
      </c>
      <c r="G819">
        <v>95.6</v>
      </c>
      <c r="H819">
        <v>88.3</v>
      </c>
      <c r="N819">
        <v>13276</v>
      </c>
    </row>
    <row r="820" spans="1:14" x14ac:dyDescent="0.3">
      <c r="A820" t="s">
        <v>474</v>
      </c>
      <c r="B820" t="s">
        <v>32</v>
      </c>
      <c r="C820">
        <v>3.2</v>
      </c>
      <c r="G820">
        <v>87.9</v>
      </c>
      <c r="H820">
        <v>78.5</v>
      </c>
      <c r="J820">
        <v>75.900000000000006</v>
      </c>
      <c r="N820">
        <v>13346</v>
      </c>
    </row>
    <row r="821" spans="1:14" x14ac:dyDescent="0.3">
      <c r="A821" t="s">
        <v>473</v>
      </c>
      <c r="B821" t="s">
        <v>58</v>
      </c>
      <c r="C821">
        <v>16.100000000000001</v>
      </c>
      <c r="E821">
        <v>87.9</v>
      </c>
      <c r="G821">
        <v>92.3</v>
      </c>
      <c r="H821">
        <v>86.1</v>
      </c>
      <c r="I821">
        <v>81.900000000000006</v>
      </c>
      <c r="N821">
        <v>14151</v>
      </c>
    </row>
    <row r="822" spans="1:14" x14ac:dyDescent="0.3">
      <c r="A822" t="s">
        <v>472</v>
      </c>
      <c r="B822" t="s">
        <v>89</v>
      </c>
      <c r="C822">
        <v>1.1000000000000001</v>
      </c>
      <c r="N822">
        <v>14813</v>
      </c>
    </row>
    <row r="823" spans="1:14" x14ac:dyDescent="0.3">
      <c r="A823" t="s">
        <v>471</v>
      </c>
      <c r="B823" t="s">
        <v>48</v>
      </c>
      <c r="C823">
        <v>7.2</v>
      </c>
      <c r="G823">
        <v>87.3</v>
      </c>
      <c r="H823">
        <v>81</v>
      </c>
      <c r="I823">
        <v>77.099999999999994</v>
      </c>
      <c r="J823">
        <v>86.6</v>
      </c>
      <c r="N823">
        <v>15306</v>
      </c>
    </row>
    <row r="824" spans="1:14" x14ac:dyDescent="0.3">
      <c r="A824" t="s">
        <v>305</v>
      </c>
      <c r="B824" t="s">
        <v>62</v>
      </c>
      <c r="C824">
        <v>95.1</v>
      </c>
      <c r="G824">
        <v>92.7</v>
      </c>
      <c r="H824">
        <v>84.8</v>
      </c>
      <c r="J824">
        <v>79.5</v>
      </c>
      <c r="N824">
        <v>15423</v>
      </c>
    </row>
    <row r="825" spans="1:14" x14ac:dyDescent="0.3">
      <c r="A825" t="s">
        <v>470</v>
      </c>
      <c r="B825" t="s">
        <v>26</v>
      </c>
      <c r="C825">
        <v>11.2</v>
      </c>
      <c r="G825">
        <v>86.3</v>
      </c>
      <c r="I825">
        <v>72.2</v>
      </c>
      <c r="N825">
        <v>15538</v>
      </c>
    </row>
    <row r="826" spans="1:14" x14ac:dyDescent="0.3">
      <c r="A826" t="s">
        <v>469</v>
      </c>
      <c r="B826" t="s">
        <v>83</v>
      </c>
      <c r="C826">
        <v>17.2</v>
      </c>
      <c r="G826">
        <v>82.4</v>
      </c>
      <c r="I826">
        <v>72.8</v>
      </c>
      <c r="N826">
        <v>15541</v>
      </c>
    </row>
    <row r="827" spans="1:14" x14ac:dyDescent="0.3">
      <c r="A827" t="s">
        <v>468</v>
      </c>
      <c r="B827" t="s">
        <v>143</v>
      </c>
      <c r="C827">
        <v>16</v>
      </c>
      <c r="G827">
        <v>92.4</v>
      </c>
      <c r="H827">
        <v>85</v>
      </c>
      <c r="I827">
        <v>84.9</v>
      </c>
      <c r="N827">
        <v>15605</v>
      </c>
    </row>
    <row r="828" spans="1:14" x14ac:dyDescent="0.3">
      <c r="A828" t="s">
        <v>276</v>
      </c>
      <c r="B828" t="s">
        <v>146</v>
      </c>
      <c r="C828">
        <v>73.099999999999994</v>
      </c>
      <c r="G828">
        <v>97.8</v>
      </c>
      <c r="H828">
        <v>90.9</v>
      </c>
      <c r="I828">
        <v>86.5</v>
      </c>
      <c r="N828">
        <v>15684</v>
      </c>
    </row>
    <row r="829" spans="1:14" x14ac:dyDescent="0.3">
      <c r="A829" t="s">
        <v>254</v>
      </c>
      <c r="B829" t="s">
        <v>93</v>
      </c>
      <c r="C829">
        <v>78</v>
      </c>
      <c r="E829">
        <v>87.5</v>
      </c>
      <c r="F829">
        <v>85.7</v>
      </c>
      <c r="G829">
        <v>92.6</v>
      </c>
      <c r="I829">
        <v>80.099999999999994</v>
      </c>
      <c r="J829">
        <v>79.2</v>
      </c>
      <c r="N829">
        <v>17425</v>
      </c>
    </row>
    <row r="830" spans="1:14" x14ac:dyDescent="0.3">
      <c r="A830" t="s">
        <v>467</v>
      </c>
      <c r="B830" t="s">
        <v>38</v>
      </c>
      <c r="C830">
        <v>8.1</v>
      </c>
      <c r="E830">
        <v>83.6</v>
      </c>
      <c r="G830">
        <v>88.9</v>
      </c>
      <c r="H830">
        <v>81.599999999999994</v>
      </c>
      <c r="I830">
        <v>79.099999999999994</v>
      </c>
      <c r="N830">
        <v>18454</v>
      </c>
    </row>
    <row r="831" spans="1:14" x14ac:dyDescent="0.3">
      <c r="A831" t="s">
        <v>466</v>
      </c>
      <c r="B831" t="s">
        <v>66</v>
      </c>
      <c r="C831">
        <v>0</v>
      </c>
      <c r="G831">
        <v>85.5</v>
      </c>
      <c r="J831">
        <v>78.3</v>
      </c>
      <c r="N831">
        <v>19482</v>
      </c>
    </row>
    <row r="832" spans="1:14" x14ac:dyDescent="0.3">
      <c r="A832" t="s">
        <v>465</v>
      </c>
      <c r="B832" t="s">
        <v>40</v>
      </c>
      <c r="C832">
        <v>2</v>
      </c>
      <c r="G832">
        <v>91.6</v>
      </c>
      <c r="H832">
        <v>84.9</v>
      </c>
      <c r="I832">
        <v>83</v>
      </c>
      <c r="N832">
        <v>19853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All</vt:lpstr>
      <vt:lpstr>verticalmove_pitchers_2019</vt:lpstr>
      <vt:lpstr>battedball_pitchers_2019</vt:lpstr>
      <vt:lpstr>pitchvalue_pitchers_2019</vt:lpstr>
      <vt:lpstr>plate_discipline_pitchers_2019</vt:lpstr>
      <vt:lpstr>advanced_pitchers_2019</vt:lpstr>
      <vt:lpstr>standard_pitchers_2019</vt:lpstr>
      <vt:lpstr>velocity_pitchers_2019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the-EDG</dc:creator>
  <cp:lastModifiedBy>the-EDG</cp:lastModifiedBy>
  <dcterms:created xsi:type="dcterms:W3CDTF">2021-01-16T01:05:38Z</dcterms:created>
  <dcterms:modified xsi:type="dcterms:W3CDTF">2021-01-16T15:54:52Z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2d824765-c59b-4444-ad38-bbbd7ef8b06f</vt:lpwstr>
  </property>
</Properties>
</file>